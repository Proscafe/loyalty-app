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 D" sheetId="1" r:id="rId5"/>
    <sheet state="visible" name="F&amp;B" sheetId="2" r:id="rId6"/>
    <sheet state="visible" name="SAUCES" sheetId="3" r:id="rId7"/>
    <sheet state="visible" name="UTL COST" sheetId="4" r:id="rId8"/>
    <sheet state="visible" name="Prep" sheetId="5" r:id="rId9"/>
    <sheet state="visible" name="COMBOS" sheetId="6" r:id="rId10"/>
    <sheet state="hidden" name="BAR" sheetId="7" r:id="rId11"/>
    <sheet state="visible" name="KIDS MENU" sheetId="8" r:id="rId12"/>
    <sheet state="visible" name="BIRTHDAYS" sheetId="9" r:id="rId13"/>
    <sheet state="visible" name="RICE MEALS" sheetId="10" r:id="rId14"/>
    <sheet state="visible" name="STARTERS" sheetId="11" r:id="rId15"/>
    <sheet state="visible" name="MAINS" sheetId="12" r:id="rId16"/>
    <sheet state="visible" name="Ramadan" sheetId="13" r:id="rId17"/>
    <sheet state="visible" name="PIZZA" sheetId="14" r:id="rId18"/>
    <sheet state="visible" name="SALADS" sheetId="15" r:id="rId19"/>
    <sheet state="visible" name="HALF SALADS" sheetId="16" r:id="rId20"/>
    <sheet state="visible" name="MANAKISH" sheetId="17" r:id="rId21"/>
    <sheet state="visible" name="LENT" sheetId="18" r:id="rId22"/>
    <sheet state="visible" name="SANDWICHES" sheetId="19" r:id="rId23"/>
    <sheet state="visible" name="PASTA" sheetId="20" r:id="rId24"/>
    <sheet state="visible" name="LEBANESE" sheetId="21" r:id="rId25"/>
    <sheet state="visible" name="BURGERS  " sheetId="22" r:id="rId26"/>
    <sheet state="visible" name="WRAP" sheetId="23" r:id="rId27"/>
    <sheet state="visible" name="DESSERTS" sheetId="24" r:id="rId28"/>
    <sheet state="visible" name="HOOKA" sheetId="25" r:id="rId29"/>
    <sheet state="hidden" name="Live Rate" sheetId="26" r:id="rId30"/>
    <sheet state="hidden" name="CON D" sheetId="27" r:id="rId31"/>
    <sheet state="hidden" name="ENG MENU TEMPLATE" sheetId="28" r:id="rId32"/>
  </sheets>
  <definedNames>
    <definedName name="DATA">'F&amp;B'!$1:$1048606</definedName>
    <definedName localSheetId="25" name="ExternalData_1">'Live Rate'!$A$1:$C$398</definedName>
    <definedName hidden="1" localSheetId="1" name="_xlnm._FilterDatabase">'F&amp;B'!$B$1:$I$323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6">
      <text>
        <t xml:space="preserve">Nuts </t>
      </text>
    </comment>
    <comment authorId="0" ref="H14">
      <text>
        <t xml:space="preserve">Nuts 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7">
      <text>
        <t xml:space="preserve">Estimated Sale Price:
Enter estimated price of the dish to calculate your cost margin and estimated profit.
</t>
      </text>
    </comment>
    <comment authorId="0" ref="J6">
      <text>
        <t xml:space="preserve">Estimated Sale Price:
Enter estimated price of the dish to calculate your cost margin and estimated profit.
</t>
      </text>
    </comment>
    <comment authorId="0" ref="C142">
      <text>
        <t xml:space="preserve">Estimated Sale Price:
Enter estimated price of the dish to calculate your cost margin and estimated profit.
</t>
      </text>
    </comment>
    <comment authorId="0" ref="J52">
      <text>
        <t xml:space="preserve">Estimated Sale Price:
Enter estimated price of the dish to calculate your cost margin and estimated profit.
</t>
      </text>
    </comment>
    <comment authorId="0" ref="J97">
      <text>
        <t xml:space="preserve">Estimated Sale Price:
Enter estimated price of the dish to calculate your cost margin and estimated profit.
</t>
      </text>
    </comment>
    <comment authorId="0" ref="C186">
      <text>
        <t xml:space="preserve">Estimated Sale Price:
Enter estimated price of the dish to calculate your cost margin and estimated profit.
</t>
      </text>
    </comment>
    <comment authorId="0" ref="C7">
      <text>
        <t xml:space="preserve">Estimated Sale Price:
Enter estimated price of the dish to calculate your cost margin and estimated profit.
</t>
      </text>
    </comment>
    <comment authorId="0" ref="J142">
      <text>
        <t xml:space="preserve">Estimated Sale Price:
Enter estimated price of the dish to calculate your cost margin and estimated profit.
</t>
      </text>
    </comment>
    <comment authorId="0" ref="C52">
      <text>
        <t xml:space="preserve">Estimated Sale Price:
Enter estimated price of the dish to calculate your cost margin and estimated profit.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9">
      <text>
        <t xml:space="preserve">Estimated Sale Price:
Enter estimated price of the dish to calculate your cost margin and estimated profit.
</t>
      </text>
    </comment>
    <comment authorId="0" ref="K8">
      <text>
        <t xml:space="preserve">Estimated Sale Price:
Enter estimated price of the dish to calculate your cost margin and estimated profit.
</t>
      </text>
    </comment>
    <comment authorId="0" ref="K53">
      <text>
        <t xml:space="preserve">Estimated Sale Price:
Enter estimated price of the dish to calculate your cost margin and estimated profit.
</t>
      </text>
    </comment>
    <comment authorId="0" ref="C8">
      <text>
        <t xml:space="preserve">Estimated Sale Price:
Enter estimated price of the dish to calculate your cost margin and estimated profit.
</t>
      </text>
    </comment>
    <comment authorId="0" ref="C53">
      <text>
        <t xml:space="preserve">Estimated Sale Price:
Enter estimated price of the dish to calculate your cost margin and estimated profit.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18">
      <text>
        <t xml:space="preserve">Estimated Sale Price:
Enter estimated price of the dish to calculate your cost margin and estimated profit.
</t>
      </text>
    </comment>
    <comment authorId="0" ref="L552">
      <text>
        <t xml:space="preserve">Estimated Sale Price:
Enter estimated price of the dish to calculate your cost margin and estimated profit.
</t>
      </text>
    </comment>
    <comment authorId="0" ref="L327">
      <text>
        <t xml:space="preserve">Estimated Sale Price:
Enter estimated price of the dish to calculate your cost margin and estimated profit.
</t>
      </text>
    </comment>
    <comment authorId="0" ref="C189">
      <text>
        <t xml:space="preserve">Estimated Sale Price:
Enter estimated price of the dish to calculate your cost margin and estimated profit.
</t>
      </text>
    </comment>
    <comment authorId="0" ref="C282">
      <text>
        <t xml:space="preserve">Estimated Sale Price:
Enter estimated price of the dish to calculate your cost margin and estimated profit.
</t>
      </text>
    </comment>
    <comment authorId="0" ref="L418">
      <text>
        <t xml:space="preserve">Estimated Sale Price:
Enter estimated price of the dish to calculate your cost margin and estimated profit.
</t>
      </text>
    </comment>
    <comment authorId="0" ref="L189">
      <text>
        <t xml:space="preserve">Estimated Sale Price:
Enter estimated price of the dish to calculate your cost margin and estimated profit.
</t>
      </text>
    </comment>
    <comment authorId="0" ref="L282">
      <text>
        <t xml:space="preserve">Estimated Sale Price:
Enter estimated price of the dish to calculate your cost margin and estimated profit.
</t>
      </text>
    </comment>
    <comment authorId="0" ref="C142">
      <text>
        <t xml:space="preserve">Estimated Sale Price:
Enter estimated price of the dish to calculate your cost margin and estimated profit.
</t>
      </text>
    </comment>
    <comment authorId="0" ref="C235">
      <text>
        <t xml:space="preserve">Estimated Sale Price:
Enter estimated price of the dish to calculate your cost margin and estimated profit.
</t>
      </text>
    </comment>
    <comment authorId="0" ref="C8">
      <text>
        <t xml:space="preserve">Estimated Sale Price:
Enter estimated price of the dish to calculate your cost margin and estimated profit.
</t>
      </text>
    </comment>
    <comment authorId="0" ref="L142">
      <text>
        <t xml:space="preserve">Estimated Sale Price:
Enter estimated price of the dish to calculate your cost margin and estimated profit.
</t>
      </text>
    </comment>
    <comment authorId="0" ref="L235">
      <text>
        <t xml:space="preserve">Estimated Sale Price:
Enter estimated price of the dish to calculate your cost margin and estimated profit.
</t>
      </text>
    </comment>
    <comment authorId="0" ref="C642">
      <text>
        <t xml:space="preserve">Estimated Sale Price:
Enter estimated price of the dish to calculate your cost margin and estimated profit.
</t>
      </text>
    </comment>
    <comment authorId="0" ref="C97">
      <text>
        <t xml:space="preserve">Estimated Sale Price:
Enter estimated price of the dish to calculate your cost margin and estimated profit.
</t>
      </text>
    </comment>
    <comment authorId="0" ref="L8">
      <text>
        <t xml:space="preserve">Estimated Sale Price:
Enter estimated price of the dish to calculate your cost margin and estimated profit.
</t>
      </text>
    </comment>
    <comment authorId="0" ref="C508">
      <text>
        <t xml:space="preserve">Estimated Sale Price:
Enter estimated price of the dish to calculate your cost margin and estimated profit.
</t>
      </text>
    </comment>
    <comment authorId="0" ref="L642">
      <text>
        <t xml:space="preserve">Estimated Sale Price:
Enter estimated price of the dish to calculate your cost margin and estimated profit.
</t>
      </text>
    </comment>
    <comment authorId="0" ref="L97">
      <text>
        <t xml:space="preserve">Estimated Sale Price:
Enter estimated price of the dish to calculate your cost margin and estimated profit.
</t>
      </text>
    </comment>
    <comment authorId="0" ref="C597">
      <text>
        <t xml:space="preserve">Estimated Sale Price:
Enter estimated price of the dish to calculate your cost margin and estimated profit.
</t>
      </text>
    </comment>
    <comment authorId="0" ref="C52">
      <text>
        <t xml:space="preserve">Estimated Sale Price:
Enter estimated price of the dish to calculate your cost margin and estimated profit.
</t>
      </text>
    </comment>
    <comment authorId="0" ref="C372">
      <text>
        <t xml:space="preserve">Estimated Sale Price:
Enter estimated price of the dish to calculate your cost margin and estimated profit.
</t>
      </text>
    </comment>
    <comment authorId="0" ref="L508">
      <text>
        <t xml:space="preserve">Estimated Sale Price:
Enter estimated price of the dish to calculate your cost margin and estimated profit.
</t>
      </text>
    </comment>
    <comment authorId="0" ref="C463">
      <text>
        <t xml:space="preserve">Estimated Sale Price:
Enter estimated price of the dish to calculate your cost margin and estimated profit.
</t>
      </text>
    </comment>
    <comment authorId="0" ref="L597">
      <text>
        <t xml:space="preserve">Estimated Sale Price:
Enter estimated price of the dish to calculate your cost margin and estimated profit.
</t>
      </text>
    </comment>
    <comment authorId="0" ref="L52">
      <text>
        <t xml:space="preserve">Estimated Sale Price:
Enter estimated price of the dish to calculate your cost margin and estimated profit.
</t>
      </text>
    </comment>
    <comment authorId="0" ref="L372">
      <text>
        <t xml:space="preserve">Estimated Sale Price:
Enter estimated price of the dish to calculate your cost margin and estimated profit.
</t>
      </text>
    </comment>
    <comment authorId="0" ref="C552">
      <text>
        <t xml:space="preserve">Estimated Sale Price:
Enter estimated price of the dish to calculate your cost margin and estimated profit.
</t>
      </text>
    </comment>
    <comment authorId="0" ref="C327">
      <text>
        <t xml:space="preserve">Estimated Sale Price:
Enter estimated price of the dish to calculate your cost margin and estimated profit.
</t>
      </text>
    </comment>
    <comment authorId="0" ref="L463">
      <text>
        <t xml:space="preserve">Estimated Sale Price:
Enter estimated price of the dish to calculate your cost margin and estimated profit.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23">
      <text>
        <t xml:space="preserve">Estimated Sale Price:
Enter estimated price of the dish to calculate your cost margin and estimated profit.
</t>
      </text>
    </comment>
    <comment authorId="0" ref="C97">
      <text>
        <t xml:space="preserve">Estimated Sale Price:
Enter estimated price of the dish to calculate your cost margin and estimated profit.
</t>
      </text>
    </comment>
    <comment authorId="0" ref="L8">
      <text>
        <t xml:space="preserve">Estimated Sale Price:
Enter estimated price of the dish to calculate your cost margin and estimated profit.
</t>
      </text>
    </comment>
    <comment authorId="0" ref="L232">
      <text>
        <t xml:space="preserve">Estimated Sale Price:
Enter estimated price of the dish to calculate your cost margin and estimated profit.
</t>
      </text>
    </comment>
    <comment authorId="0" ref="C413">
      <text>
        <t xml:space="preserve">Estimated Sale Price:
Enter estimated price of the dish to calculate your cost margin and estimated profit.
</t>
      </text>
    </comment>
    <comment authorId="0" ref="C187">
      <text>
        <t xml:space="preserve">Estimated Sale Price:
Enter estimated price of the dish to calculate your cost margin and estimated profit.
</t>
      </text>
    </comment>
    <comment authorId="0" ref="L323">
      <text>
        <t xml:space="preserve">Estimated Sale Price:
Enter estimated price of the dish to calculate your cost margin and estimated profit.
</t>
      </text>
    </comment>
    <comment authorId="0" ref="L97">
      <text>
        <t xml:space="preserve">Estimated Sale Price:
Enter estimated price of the dish to calculate your cost margin and estimated profit.
</t>
      </text>
    </comment>
    <comment authorId="0" ref="C277">
      <text>
        <t xml:space="preserve">Estimated Sale Price:
Enter estimated price of the dish to calculate your cost margin and estimated profit.
</t>
      </text>
    </comment>
    <comment authorId="0" ref="C52">
      <text>
        <t xml:space="preserve">Estimated Sale Price:
Enter estimated price of the dish to calculate your cost margin and estimated profit.
</t>
      </text>
    </comment>
    <comment authorId="0" ref="L187">
      <text>
        <t xml:space="preserve">Estimated Sale Price:
Enter estimated price of the dish to calculate your cost margin and estimated profit.
</t>
      </text>
    </comment>
    <comment authorId="0" ref="C368">
      <text>
        <t xml:space="preserve">Estimated Sale Price:
Enter estimated price of the dish to calculate your cost margin and estimated profit.
</t>
      </text>
    </comment>
    <comment authorId="0" ref="C142">
      <text>
        <t xml:space="preserve">Estimated Sale Price:
Enter estimated price of the dish to calculate your cost margin and estimated profit.
</t>
      </text>
    </comment>
    <comment authorId="0" ref="L277">
      <text>
        <t xml:space="preserve">Estimated Sale Price:
Enter estimated price of the dish to calculate your cost margin and estimated profit.
</t>
      </text>
    </comment>
    <comment authorId="0" ref="L52">
      <text>
        <t xml:space="preserve">Estimated Sale Price:
Enter estimated price of the dish to calculate your cost margin and estimated profit.
</t>
      </text>
    </comment>
    <comment authorId="0" ref="C8">
      <text>
        <t xml:space="preserve">Estimated Sale Price:
Enter estimated price of the dish to calculate your cost margin and estimated profit.
</t>
      </text>
    </comment>
    <comment authorId="0" ref="C232">
      <text>
        <t xml:space="preserve">Estimated Sale Price:
Enter estimated price of the dish to calculate your cost margin and estimated profit.
</t>
      </text>
    </comment>
    <comment authorId="0" ref="L368">
      <text>
        <t xml:space="preserve">Estimated Sale Price:
Enter estimated price of the dish to calculate your cost margin and estimated profit.
</t>
      </text>
    </comment>
    <comment authorId="0" ref="L142">
      <text>
        <t xml:space="preserve">Estimated Sale Price:
Enter estimated price of the dish to calculate your cost margin and estimated profit.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8">
      <text>
        <t xml:space="preserve">Estimated Sale Price:
Enter estimated price of the dish to calculate your cost margin and estimated profit.
</t>
      </text>
    </comment>
    <comment authorId="0" ref="L8">
      <text>
        <t xml:space="preserve">Estimated Sale Price:
Enter estimated price of the dish to calculate your cost margin and estimated profit.
</t>
      </text>
    </comment>
    <comment authorId="0" ref="L52">
      <text>
        <t xml:space="preserve">Estimated Sale Price:
Enter estimated price of the dish to calculate your cost margin and estimated profit.
</t>
      </text>
    </comment>
    <comment authorId="0" ref="L98">
      <text>
        <t xml:space="preserve">Estimated Sale Price:
Enter estimated price of the dish to calculate your cost margin and estimated profit.
</t>
      </text>
    </comment>
    <comment authorId="0" ref="C8">
      <text>
        <t xml:space="preserve">Estimated Sale Price:
Enter estimated price of the dish to calculate your cost margin and estimated profit.
</t>
      </text>
    </comment>
    <comment authorId="0" ref="C52">
      <text>
        <t xml:space="preserve">Estimated Sale Price:
Enter estimated price of the dish to calculate your cost margin and estimated profit.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7">
      <text>
        <t xml:space="preserve">Estimated Sale Price:
Enter estimated price of the dish to calculate your cost margin and estimated profit.
</t>
      </text>
    </comment>
    <comment authorId="0" ref="L234">
      <text>
        <t xml:space="preserve">Estimated Sale Price:
Enter estimated price of the dish to calculate your cost margin and estimated profit.
</t>
      </text>
    </comment>
    <comment authorId="0" ref="L8">
      <text>
        <t xml:space="preserve">Estimated Sale Price:
Enter estimated price of the dish to calculate your cost margin and estimated profit.
</t>
      </text>
    </comment>
    <comment authorId="0" ref="C189">
      <text>
        <t xml:space="preserve">Estimated Sale Price:
Enter estimated price of the dish to calculate your cost margin and estimated profit.
</t>
      </text>
    </comment>
    <comment authorId="0" ref="L97">
      <text>
        <t xml:space="preserve">Estimated Sale Price:
Enter estimated price of the dish to calculate your cost margin and estimated profit.
</t>
      </text>
    </comment>
    <comment authorId="0" ref="C52">
      <text>
        <t xml:space="preserve">Estimated Sale Price:
Enter estimated price of the dish to calculate your cost margin and estimated profit.
</t>
      </text>
    </comment>
    <comment authorId="0" ref="L189">
      <text>
        <t xml:space="preserve">Estimated Sale Price:
Enter estimated price of the dish to calculate your cost margin and estimated profit.
</t>
      </text>
    </comment>
    <comment authorId="0" ref="C144">
      <text>
        <t xml:space="preserve">Estimated Sale Price:
Enter estimated price of the dish to calculate your cost margin and estimated profit.
</t>
      </text>
    </comment>
    <comment authorId="0" ref="L52">
      <text>
        <t xml:space="preserve">Estimated Sale Price:
Enter estimated price of the dish to calculate your cost margin and estimated profit.
</t>
      </text>
    </comment>
    <comment authorId="0" ref="C234">
      <text>
        <t xml:space="preserve">Estimated Sale Price:
Enter estimated price of the dish to calculate your cost margin and estimated profit.
</t>
      </text>
    </comment>
    <comment authorId="0" ref="C8">
      <text>
        <t xml:space="preserve">Estimated Sale Price:
Enter estimated price of the dish to calculate your cost margin and estimated profit.
</t>
      </text>
    </comment>
    <comment authorId="0" ref="L144">
      <text>
        <t xml:space="preserve">Estimated Sale Price:
Enter estimated price of the dish to calculate your cost margin and estimated profit.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16">
      <text>
        <t xml:space="preserve">Estimated Sale Price:
Enter estimated price of the dish to calculate your cost margin and estimated profit.
</t>
      </text>
    </comment>
    <comment authorId="0" ref="C507">
      <text>
        <t xml:space="preserve">Estimated Sale Price:
Enter estimated price of the dish to calculate your cost margin and estimated profit.
</t>
      </text>
    </comment>
    <comment authorId="0" ref="C280">
      <text>
        <t xml:space="preserve">Estimated Sale Price:
Enter estimated price of the dish to calculate your cost margin and estimated profit.
</t>
      </text>
    </comment>
    <comment authorId="0" ref="L416">
      <text>
        <t xml:space="preserve">Estimated Sale Price:
Enter estimated price of the dish to calculate your cost margin and estimated profit.
</t>
      </text>
    </comment>
    <comment authorId="0" ref="C371">
      <text>
        <t xml:space="preserve">Estimated Sale Price:
Enter estimated price of the dish to calculate your cost margin and estimated profit.
</t>
      </text>
    </comment>
    <comment authorId="0" ref="L507">
      <text>
        <t xml:space="preserve">Estimated Sale Price:
Enter estimated price of the dish to calculate your cost margin and estimated profit.
</t>
      </text>
    </comment>
    <comment authorId="0" ref="C144">
      <text>
        <t xml:space="preserve">Estimated Sale Price:
Enter estimated price of the dish to calculate your cost margin and estimated profit.
</t>
      </text>
    </comment>
    <comment authorId="0" ref="L280">
      <text>
        <t xml:space="preserve">Estimated Sale Price:
Enter estimated price of the dish to calculate your cost margin and estimated profit.
</t>
      </text>
    </comment>
    <comment authorId="0" ref="C235">
      <text>
        <t xml:space="preserve">Estimated Sale Price:
Enter estimated price of the dish to calculate your cost margin and estimated profit.
</t>
      </text>
    </comment>
    <comment authorId="0" ref="L371">
      <text>
        <t xml:space="preserve">Estimated Sale Price:
Enter estimated price of the dish to calculate your cost margin and estimated profit.
</t>
      </text>
    </comment>
    <comment authorId="0" ref="C8">
      <text>
        <t xml:space="preserve">Estimated Sale Price:
Enter estimated price of the dish to calculate your cost margin and estimated profit.
</t>
      </text>
    </comment>
    <comment authorId="0" ref="L144">
      <text>
        <t xml:space="preserve">Estimated Sale Price:
Enter estimated price of the dish to calculate your cost margin and estimated profit.
</t>
      </text>
    </comment>
    <comment authorId="0" ref="C326">
      <text>
        <t xml:space="preserve">Estimated Sale Price:
Enter estimated price of the dish to calculate your cost margin and estimated profit.
</t>
      </text>
    </comment>
    <comment authorId="0" ref="L235">
      <text>
        <t xml:space="preserve">Estimated Sale Price:
Enter estimated price of the dish to calculate your cost margin and estimated profit.
</t>
      </text>
    </comment>
    <comment authorId="0" ref="C97">
      <text>
        <t xml:space="preserve">Estimated Sale Price:
Enter estimated price of the dish to calculate your cost margin and estimated profit.
</t>
      </text>
    </comment>
    <comment authorId="0" ref="L8">
      <text>
        <t xml:space="preserve">Estimated Sale Price:
Enter estimated price of the dish to calculate your cost margin and estimated profit.
</t>
      </text>
    </comment>
    <comment authorId="0" ref="C190">
      <text>
        <t xml:space="preserve">Estimated Sale Price:
Enter estimated price of the dish to calculate your cost margin and estimated profit.
</t>
      </text>
    </comment>
    <comment authorId="0" ref="L326">
      <text>
        <t xml:space="preserve">Estimated Sale Price:
Enter estimated price of the dish to calculate your cost margin and estimated profit.
</t>
      </text>
    </comment>
    <comment authorId="0" ref="L97">
      <text>
        <t xml:space="preserve">Estimated Sale Price:
Enter estimated price of the dish to calculate your cost margin and estimated profit.
</t>
      </text>
    </comment>
    <comment authorId="0" ref="L190">
      <text>
        <t xml:space="preserve">Estimated Sale Price:
Enter estimated price of the dish to calculate your cost margin and estimated profit.
</t>
      </text>
    </comment>
    <comment authorId="0" ref="C52">
      <text>
        <t xml:space="preserve">Estimated Sale Price:
Enter estimated price of the dish to calculate your cost margin and estimated profit.
</t>
      </text>
    </comment>
    <comment authorId="0" ref="C461">
      <text>
        <t xml:space="preserve">Estimated Sale Price:
Enter estimated price of the dish to calculate your cost margin and estimated profit.
</t>
      </text>
    </comment>
    <comment authorId="0" ref="L52">
      <text>
        <t xml:space="preserve">Estimated Sale Price:
Enter estimated price of the dish to calculate your cost margin and estimated profit.
</t>
      </text>
    </comment>
    <comment authorId="0" ref="C552">
      <text>
        <t xml:space="preserve">Estimated Sale Price:
Enter estimated price of the dish to calculate your cost margin and estimated profit.
</t>
      </text>
    </comment>
    <comment authorId="0" ref="L461">
      <text>
        <t xml:space="preserve">Estimated Sale Price:
Enter estimated price of the dish to calculate your cost margin and estimated profit.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16">
      <text>
        <t xml:space="preserve">Estimated Sale Price:
Enter estimated price of the dish to calculate your cost margin and estimated profit.
</t>
      </text>
    </comment>
    <comment authorId="0" ref="C507">
      <text>
        <t xml:space="preserve">Estimated Sale Price:
Enter estimated price of the dish to calculate your cost margin and estimated profit.
</t>
      </text>
    </comment>
    <comment authorId="0" ref="C280">
      <text>
        <t xml:space="preserve">Estimated Sale Price:
Enter estimated price of the dish to calculate your cost margin and estimated profit.
</t>
      </text>
    </comment>
    <comment authorId="0" ref="L416">
      <text>
        <t xml:space="preserve">Estimated Sale Price:
Enter estimated price of the dish to calculate your cost margin and estimated profit.
</t>
      </text>
    </comment>
    <comment authorId="0" ref="C371">
      <text>
        <t xml:space="preserve">Estimated Sale Price:
Enter estimated price of the dish to calculate your cost margin and estimated profit.
</t>
      </text>
    </comment>
    <comment authorId="0" ref="L507">
      <text>
        <t xml:space="preserve">Estimated Sale Price:
Enter estimated price of the dish to calculate your cost margin and estimated profit.
</t>
      </text>
    </comment>
    <comment authorId="0" ref="C144">
      <text>
        <t xml:space="preserve">Estimated Sale Price:
Enter estimated price of the dish to calculate your cost margin and estimated profit.
</t>
      </text>
    </comment>
    <comment authorId="0" ref="L280">
      <text>
        <t xml:space="preserve">Estimated Sale Price:
Enter estimated price of the dish to calculate your cost margin and estimated profit.
</t>
      </text>
    </comment>
    <comment authorId="0" ref="C235">
      <text>
        <t xml:space="preserve">Estimated Sale Price:
Enter estimated price of the dish to calculate your cost margin and estimated profit.
</t>
      </text>
    </comment>
    <comment authorId="0" ref="L371">
      <text>
        <t xml:space="preserve">Estimated Sale Price:
Enter estimated price of the dish to calculate your cost margin and estimated profit.
</t>
      </text>
    </comment>
    <comment authorId="0" ref="C8">
      <text>
        <t xml:space="preserve">Estimated Sale Price:
Enter estimated price of the dish to calculate your cost margin and estimated profit.
</t>
      </text>
    </comment>
    <comment authorId="0" ref="L144">
      <text>
        <t xml:space="preserve">Estimated Sale Price:
Enter estimated price of the dish to calculate your cost margin and estimated profit.
</t>
      </text>
    </comment>
    <comment authorId="0" ref="C326">
      <text>
        <t xml:space="preserve">Estimated Sale Price:
Enter estimated price of the dish to calculate your cost margin and estimated profit.
</t>
      </text>
    </comment>
    <comment authorId="0" ref="L235">
      <text>
        <t xml:space="preserve">Estimated Sale Price:
Enter estimated price of the dish to calculate your cost margin and estimated profit.
</t>
      </text>
    </comment>
    <comment authorId="0" ref="C97">
      <text>
        <t xml:space="preserve">Estimated Sale Price:
Enter estimated price of the dish to calculate your cost margin and estimated profit.
</t>
      </text>
    </comment>
    <comment authorId="0" ref="L8">
      <text>
        <t xml:space="preserve">Estimated Sale Price:
Enter estimated price of the dish to calculate your cost margin and estimated profit.
</t>
      </text>
    </comment>
    <comment authorId="0" ref="C190">
      <text>
        <t xml:space="preserve">Estimated Sale Price:
Enter estimated price of the dish to calculate your cost margin and estimated profit.
</t>
      </text>
    </comment>
    <comment authorId="0" ref="L326">
      <text>
        <t xml:space="preserve">Estimated Sale Price:
Enter estimated price of the dish to calculate your cost margin and estimated profit.
</t>
      </text>
    </comment>
    <comment authorId="0" ref="L97">
      <text>
        <t xml:space="preserve">Estimated Sale Price:
Enter estimated price of the dish to calculate your cost margin and estimated profit.
</t>
      </text>
    </comment>
    <comment authorId="0" ref="L190">
      <text>
        <t xml:space="preserve">Estimated Sale Price:
Enter estimated price of the dish to calculate your cost margin and estimated profit.
</t>
      </text>
    </comment>
    <comment authorId="0" ref="C52">
      <text>
        <t xml:space="preserve">Estimated Sale Price:
Enter estimated price of the dish to calculate your cost margin and estimated profit.
</t>
      </text>
    </comment>
    <comment authorId="0" ref="C461">
      <text>
        <t xml:space="preserve">Estimated Sale Price:
Enter estimated price of the dish to calculate your cost margin and estimated profit.
</t>
      </text>
    </comment>
    <comment authorId="0" ref="L52">
      <text>
        <t xml:space="preserve">Estimated Sale Price:
Enter estimated price of the dish to calculate your cost margin and estimated profit.
</t>
      </text>
    </comment>
    <comment authorId="0" ref="C552">
      <text>
        <t xml:space="preserve">Estimated Sale Price:
Enter estimated price of the dish to calculate your cost margin and estimated profit.
</t>
      </text>
    </comment>
    <comment authorId="0" ref="L461">
      <text>
        <t xml:space="preserve">Estimated Sale Price:
Enter estimated price of the dish to calculate your cost margin and estimated profit.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8">
      <text>
        <t xml:space="preserve">Estimated Sale Price:
Enter estimated price of the dish to calculate your cost margin and estimated profit.
</t>
      </text>
    </comment>
    <comment authorId="0" ref="L459">
      <text>
        <t xml:space="preserve">Estimated Sale Price:
Enter estimated price of the dish to calculate your cost margin and estimated profit.
</t>
      </text>
    </comment>
    <comment authorId="0" ref="L234">
      <text>
        <t xml:space="preserve">Estimated Sale Price:
Enter estimated price of the dish to calculate your cost margin and estimated profit.
</t>
      </text>
    </comment>
    <comment authorId="0" ref="L8">
      <text>
        <t xml:space="preserve">Estimated Sale Price:
Enter estimated price of the dish to calculate your cost margin and estimated profit.
</t>
      </text>
    </comment>
    <comment authorId="0" ref="C414">
      <text>
        <t xml:space="preserve">Estimated Sale Price:
Enter estimated price of the dish to calculate your cost margin and estimated profit.
</t>
      </text>
    </comment>
    <comment authorId="0" ref="C189">
      <text>
        <t xml:space="preserve">Estimated Sale Price:
Enter estimated price of the dish to calculate your cost margin and estimated profit.
</t>
      </text>
    </comment>
    <comment authorId="0" ref="L324">
      <text>
        <t xml:space="preserve">Estimated Sale Price:
Enter estimated price of the dish to calculate your cost margin and estimated profit.
</t>
      </text>
    </comment>
    <comment authorId="0" ref="L98">
      <text>
        <t xml:space="preserve">Estimated Sale Price:
Enter estimated price of the dish to calculate your cost margin and estimated profit.
</t>
      </text>
    </comment>
    <comment authorId="0" ref="S8">
      <text>
        <t xml:space="preserve">Estimated Sale Price:
Enter estimated price of the dish to calculate your cost margin and estimated profit.
</t>
      </text>
    </comment>
    <comment authorId="0" ref="C279">
      <text>
        <t xml:space="preserve">Estimated Sale Price:
Enter estimated price of the dish to calculate your cost margin and estimated profit.
</t>
      </text>
    </comment>
    <comment authorId="0" ref="L414">
      <text>
        <t xml:space="preserve">Estimated Sale Price:
Enter estimated price of the dish to calculate your cost margin and estimated profit.
</t>
      </text>
    </comment>
    <comment authorId="0" ref="C52">
      <text>
        <t xml:space="preserve">Estimated Sale Price:
Enter estimated price of the dish to calculate your cost margin and estimated profit.
</t>
      </text>
    </comment>
    <comment authorId="0" ref="L189">
      <text>
        <t xml:space="preserve">Estimated Sale Price:
Enter estimated price of the dish to calculate your cost margin and estimated profit.
</t>
      </text>
    </comment>
    <comment authorId="0" ref="C369">
      <text>
        <t xml:space="preserve">Estimated Sale Price:
Enter estimated price of the dish to calculate your cost margin and estimated profit.
</t>
      </text>
    </comment>
    <comment authorId="0" ref="C143">
      <text>
        <t xml:space="preserve">Estimated Sale Price:
Enter estimated price of the dish to calculate your cost margin and estimated profit.
</t>
      </text>
    </comment>
    <comment authorId="0" ref="L279">
      <text>
        <t xml:space="preserve">Estimated Sale Price:
Enter estimated price of the dish to calculate your cost margin and estimated profit.
</t>
      </text>
    </comment>
    <comment authorId="0" ref="L52">
      <text>
        <t xml:space="preserve">Estimated Sale Price:
Enter estimated price of the dish to calculate your cost margin and estimated profit.
</t>
      </text>
    </comment>
    <comment authorId="0" ref="C234">
      <text>
        <t xml:space="preserve">Estimated Sale Price:
Enter estimated price of the dish to calculate your cost margin and estimated profit.
</t>
      </text>
    </comment>
    <comment authorId="0" ref="C8">
      <text>
        <t xml:space="preserve">Estimated Sale Price:
Enter estimated price of the dish to calculate your cost margin and estimated profit.
</t>
      </text>
    </comment>
    <comment authorId="0" ref="L369">
      <text>
        <t xml:space="preserve">Estimated Sale Price:
Enter estimated price of the dish to calculate your cost margin and estimated profit.
</t>
      </text>
    </comment>
    <comment authorId="0" ref="L143">
      <text>
        <t xml:space="preserve">Estimated Sale Price:
Enter estimated price of the dish to calculate your cost margin and estimated profit.
</t>
      </text>
    </comment>
    <comment authorId="0" ref="C324">
      <text>
        <t xml:space="preserve">Estimated Sale Price:
Enter estimated price of the dish to calculate your cost margin and estimated profit.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236">
      <text>
        <t xml:space="preserve">Estimated Sale Price:
Enter estimated price of the dish to calculate your cost margin and estimated profit.
</t>
      </text>
    </comment>
    <comment authorId="0" ref="L8">
      <text>
        <t xml:space="preserve">Estimated Sale Price:
Enter estimated price of the dish to calculate your cost margin and estimated profit.
</t>
      </text>
    </comment>
    <comment authorId="0" ref="C191">
      <text>
        <t xml:space="preserve">Estimated Sale Price:
Enter estimated price of the dish to calculate your cost margin and estimated profit.
</t>
      </text>
    </comment>
    <comment authorId="0" ref="L100">
      <text>
        <t xml:space="preserve">Estimated Sale Price:
Enter estimated price of the dish to calculate your cost margin and estimated profit.
</t>
      </text>
    </comment>
    <comment authorId="0" ref="L191">
      <text>
        <t xml:space="preserve">Estimated Sale Price:
Enter estimated price of the dish to calculate your cost margin and estimated profit.
</t>
      </text>
    </comment>
    <comment authorId="0" ref="C52">
      <text>
        <t xml:space="preserve">Estimated Sale Price:
Enter estimated price of the dish to calculate your cost margin and estimated profit.
</t>
      </text>
    </comment>
    <comment authorId="0" ref="C145">
      <text>
        <t xml:space="preserve">Estimated Sale Price:
Enter estimated price of the dish to calculate your cost margin and estimated profit.
</t>
      </text>
    </comment>
    <comment authorId="0" ref="C236">
      <text>
        <t xml:space="preserve">Estimated Sale Price:
Enter estimated price of the dish to calculate your cost margin and estimated profit.
</t>
      </text>
    </comment>
    <comment authorId="0" ref="L52">
      <text>
        <t xml:space="preserve">Estimated Sale Price:
Enter estimated price of the dish to calculate your cost margin and estimated profit.
</t>
      </text>
    </comment>
    <comment authorId="0" ref="C8">
      <text>
        <t xml:space="preserve">Estimated Sale Price:
Enter estimated price of the dish to calculate your cost margin and estimated profit.
</t>
      </text>
    </comment>
    <comment authorId="0" ref="L145">
      <text>
        <t xml:space="preserve">Estimated Sale Price:
Enter estimated price of the dish to calculate your cost margin and estimated profit.
</t>
      </text>
    </comment>
    <comment authorId="0" ref="C100">
      <text>
        <t xml:space="preserve">Estimated Sale Price:
Enter estimated price of the dish to calculate your cost margin and estimated profit.
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235">
      <text>
        <t xml:space="preserve">Estimated Sale Price:
Enter estimated price of the dish to calculate your cost margin and estimated profit.
</t>
      </text>
    </comment>
    <comment authorId="0" ref="C418">
      <text>
        <t xml:space="preserve">Estimated Sale Price:
Enter estimated price of the dish to calculate your cost margin and estimated profit.
</t>
      </text>
    </comment>
    <comment authorId="0" ref="C97">
      <text>
        <t xml:space="preserve">Estimated Sale Price:
Enter estimated price of the dish to calculate your cost margin and estimated profit.
</t>
      </text>
    </comment>
    <comment authorId="0" ref="L8">
      <text>
        <t xml:space="preserve">Estimated Sale Price:
Enter estimated price of the dish to calculate your cost margin and estimated profit.
</t>
      </text>
    </comment>
    <comment authorId="0" ref="L327">
      <text>
        <t xml:space="preserve">Estimated Sale Price:
Enter estimated price of the dish to calculate your cost margin and estimated profit.
</t>
      </text>
    </comment>
    <comment authorId="0" ref="C189">
      <text>
        <t xml:space="preserve">Estimated Sale Price:
Enter estimated price of the dish to calculate your cost margin and estimated profit.
</t>
      </text>
    </comment>
    <comment authorId="0" ref="C281">
      <text>
        <t xml:space="preserve">Estimated Sale Price:
Enter estimated price of the dish to calculate your cost margin and estimated profit.
</t>
      </text>
    </comment>
    <comment authorId="0" ref="L418">
      <text>
        <t xml:space="preserve">Estimated Sale Price:
Enter estimated price of the dish to calculate your cost margin and estimated profit.
</t>
      </text>
    </comment>
    <comment authorId="0" ref="L97">
      <text>
        <t xml:space="preserve">Estimated Sale Price:
Enter estimated price of the dish to calculate your cost margin and estimated profit.
</t>
      </text>
    </comment>
    <comment authorId="0" ref="C373">
      <text>
        <t xml:space="preserve">Estimated Sale Price:
Enter estimated price of the dish to calculate your cost margin and estimated profit.
</t>
      </text>
    </comment>
    <comment authorId="0" ref="C52">
      <text>
        <t xml:space="preserve">Estimated Sale Price:
Enter estimated price of the dish to calculate your cost margin and estimated profit.
</t>
      </text>
    </comment>
    <comment authorId="0" ref="L189">
      <text>
        <t xml:space="preserve">Estimated Sale Price:
Enter estimated price of the dish to calculate your cost margin and estimated profit.
</t>
      </text>
    </comment>
    <comment authorId="0" ref="C465">
      <text>
        <t xml:space="preserve">Estimated Sale Price:
Enter estimated price of the dish to calculate your cost margin and estimated profit.
</t>
      </text>
    </comment>
    <comment authorId="0" ref="L281">
      <text>
        <t xml:space="preserve">Estimated Sale Price:
Enter estimated price of the dish to calculate your cost margin and estimated profit.
</t>
      </text>
    </comment>
    <comment authorId="0" ref="C142">
      <text>
        <t xml:space="preserve">Estimated Sale Price:
Enter estimated price of the dish to calculate your cost margin and estimated profit.
</t>
      </text>
    </comment>
    <comment authorId="0" ref="L373">
      <text>
        <t xml:space="preserve">Estimated Sale Price:
Enter estimated price of the dish to calculate your cost margin and estimated profit.
</t>
      </text>
    </comment>
    <comment authorId="0" ref="L52">
      <text>
        <t xml:space="preserve">Estimated Sale Price:
Enter estimated price of the dish to calculate your cost margin and estimated profit.
</t>
      </text>
    </comment>
    <comment authorId="0" ref="C235">
      <text>
        <t xml:space="preserve">Estimated Sale Price:
Enter estimated price of the dish to calculate your cost margin and estimated profit.
</t>
      </text>
    </comment>
    <comment authorId="0" ref="C8">
      <text>
        <t xml:space="preserve">Estimated Sale Price:
Enter estimated price of the dish to calculate your cost margin and estimated profit.
</t>
      </text>
    </comment>
    <comment authorId="0" ref="L465">
      <text>
        <t xml:space="preserve">Estimated Sale Price:
Enter estimated price of the dish to calculate your cost margin and estimated profit.
</t>
      </text>
    </comment>
    <comment authorId="0" ref="C327">
      <text>
        <t xml:space="preserve">Estimated Sale Price:
Enter estimated price of the dish to calculate your cost margin and estimated profit.
</t>
      </text>
    </comment>
    <comment authorId="0" ref="L142">
      <text>
        <t xml:space="preserve">Estimated Sale Price:
Enter estimated price of the dish to calculate your cost margin and estimated profit.
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87">
      <text>
        <t xml:space="preserve">Estimated Sale Price:
Enter estimated price of the dish to calculate your cost margin and estimated profit.
</t>
      </text>
    </comment>
    <comment authorId="0" ref="C97">
      <text>
        <t xml:space="preserve">Estimated Sale Price:
Enter estimated price of the dish to calculate your cost margin and estimated profit.
</t>
      </text>
    </comment>
    <comment authorId="0" ref="L8">
      <text>
        <t xml:space="preserve">Estimated Sale Price:
Enter estimated price of the dish to calculate your cost margin and estimated profit.
</t>
      </text>
    </comment>
    <comment authorId="0" ref="C142">
      <text>
        <t xml:space="preserve">Estimated Sale Price:
Enter estimated price of the dish to calculate your cost margin and estimated profit.
</t>
      </text>
    </comment>
    <comment authorId="0" ref="L52">
      <text>
        <t xml:space="preserve">Estimated Sale Price:
Enter estimated price of the dish to calculate your cost margin and estimated profit.
</t>
      </text>
    </comment>
    <comment authorId="0" ref="C187">
      <text>
        <t xml:space="preserve">Estimated Sale Price:
Enter estimated price of the dish to calculate your cost margin and estimated profit.
</t>
      </text>
    </comment>
    <comment authorId="0" ref="C8">
      <text>
        <t xml:space="preserve">Estimated Sale Price:
Enter estimated price of the dish to calculate your cost margin and estimated profit.
</t>
      </text>
    </comment>
    <comment authorId="0" ref="L97">
      <text>
        <t xml:space="preserve">Estimated Sale Price:
Enter estimated price of the dish to calculate your cost margin and estimated profit.
</t>
      </text>
    </comment>
    <comment authorId="0" ref="L142">
      <text>
        <t xml:space="preserve">Estimated Sale Price:
Enter estimated price of the dish to calculate your cost margin and estimated profit.
</t>
      </text>
    </comment>
    <comment authorId="0" ref="C52">
      <text>
        <t xml:space="preserve">Estimated Sale Price:
Enter estimated price of the dish to calculate your cost margin and estimated profit.
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7">
      <text>
        <t xml:space="preserve">Estimated Sale Price:
Enter estimated price of the dish to calculate your cost margin and estimated profit.
</t>
      </text>
    </comment>
    <comment authorId="0" ref="L8">
      <text>
        <t xml:space="preserve">Estimated Sale Price:
Enter estimated price of the dish to calculate your cost margin and estimated profit.
</t>
      </text>
    </comment>
    <comment authorId="0" ref="L232">
      <text>
        <t xml:space="preserve">Estimated Sale Price:
Enter estimated price of the dish to calculate your cost margin and estimated profit.
</t>
      </text>
    </comment>
    <comment authorId="0" ref="C187">
      <text>
        <t xml:space="preserve">Estimated Sale Price:
Enter estimated price of the dish to calculate your cost margin and estimated profit.
</t>
      </text>
    </comment>
    <comment authorId="0" ref="L97">
      <text>
        <t xml:space="preserve">Estimated Sale Price:
Enter estimated price of the dish to calculate your cost margin and estimated profit.
</t>
      </text>
    </comment>
    <comment authorId="0" ref="C52">
      <text>
        <t xml:space="preserve">Estimated Sale Price:
Enter estimated price of the dish to calculate your cost margin and estimated profit.
</t>
      </text>
    </comment>
    <comment authorId="0" ref="L187">
      <text>
        <t xml:space="preserve">Estimated Sale Price:
Enter estimated price of the dish to calculate your cost margin and estimated profit.
</t>
      </text>
    </comment>
    <comment authorId="0" ref="C142">
      <text>
        <t xml:space="preserve">Estimated Sale Price:
Enter estimated price of the dish to calculate your cost margin and estimated profit.
</t>
      </text>
    </comment>
    <comment authorId="0" ref="L52">
      <text>
        <t xml:space="preserve">Estimated Sale Price:
Enter estimated price of the dish to calculate your cost margin and estimated profit.
</t>
      </text>
    </comment>
    <comment authorId="0" ref="C8">
      <text>
        <t xml:space="preserve">Estimated Sale Price:
Enter estimated price of the dish to calculate your cost margin and estimated profit.
</t>
      </text>
    </comment>
    <comment authorId="0" ref="C232">
      <text>
        <t xml:space="preserve">Estimated Sale Price:
Enter estimated price of the dish to calculate your cost margin and estimated profit.
</t>
      </text>
    </comment>
    <comment authorId="0" ref="L142">
      <text>
        <t xml:space="preserve">Estimated Sale Price:
Enter estimated price of the dish to calculate your cost margin and estimated profit.
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8">
      <text>
        <t xml:space="preserve">Estimated Sale Price:
Enter estimated price of the dish to calculate your cost margin and estimated profit.
</t>
      </text>
    </comment>
    <comment authorId="0" ref="L234">
      <text>
        <t xml:space="preserve">Estimated Sale Price:
Enter estimated price of the dish to calculate your cost margin and estimated profit.
</t>
      </text>
    </comment>
    <comment authorId="0" ref="L8">
      <text>
        <t xml:space="preserve">Estimated Sale Price:
Enter estimated price of the dish to calculate your cost margin and estimated profit.
</t>
      </text>
    </comment>
    <comment authorId="0" ref="C189">
      <text>
        <t xml:space="preserve">Estimated Sale Price:
Enter estimated price of the dish to calculate your cost margin and estimated profit.
</t>
      </text>
    </comment>
    <comment authorId="0" ref="L98">
      <text>
        <t xml:space="preserve">Estimated Sale Price:
Enter estimated price of the dish to calculate your cost margin and estimated profit.
</t>
      </text>
    </comment>
    <comment authorId="0" ref="C280">
      <text>
        <t xml:space="preserve">Estimated Sale Price:
Enter estimated price of the dish to calculate your cost margin and estimated profit.
</t>
      </text>
    </comment>
    <comment authorId="0" ref="C52">
      <text>
        <t xml:space="preserve">Estimated Sale Price:
Enter estimated price of the dish to calculate your cost margin and estimated profit.
</t>
      </text>
    </comment>
    <comment authorId="0" ref="L189">
      <text>
        <t xml:space="preserve">Estimated Sale Price:
Enter estimated price of the dish to calculate your cost margin and estimated profit.
</t>
      </text>
    </comment>
    <comment authorId="0" ref="C144">
      <text>
        <t xml:space="preserve">Estimated Sale Price:
Enter estimated price of the dish to calculate your cost margin and estimated profit.
</t>
      </text>
    </comment>
    <comment authorId="0" ref="L52">
      <text>
        <t xml:space="preserve">Estimated Sale Price:
Enter estimated price of the dish to calculate your cost margin and estimated profit.
</t>
      </text>
    </comment>
    <comment authorId="0" ref="C234">
      <text>
        <t xml:space="preserve">Estimated Sale Price:
Enter estimated price of the dish to calculate your cost margin and estimated profit.
</t>
      </text>
    </comment>
    <comment authorId="0" ref="C8">
      <text>
        <t xml:space="preserve">Estimated Sale Price:
Enter estimated price of the dish to calculate your cost margin and estimated profit.
</t>
      </text>
    </comment>
    <comment authorId="0" ref="L144">
      <text>
        <t xml:space="preserve">Estimated Sale Price:
Enter estimated price of the dish to calculate your cost margin and estimated profit.
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7">
      <text>
        <t xml:space="preserve">Estimated Sale Price:
Enter estimated price of the dish to calculate your cost margin and estimated profit.
</t>
      </text>
    </comment>
    <comment authorId="0" ref="L8">
      <text>
        <t xml:space="preserve">Estimated Sale Price:
Enter estimated price of the dish to calculate your cost margin and estimated profit.
</t>
      </text>
    </comment>
    <comment authorId="0" ref="L52">
      <text>
        <t xml:space="preserve">Estimated Sale Price:
Enter estimated price of the dish to calculate your cost margin and estimated profit.
</t>
      </text>
    </comment>
    <comment authorId="0" ref="C8">
      <text>
        <t xml:space="preserve">Estimated Sale Price:
Enter estimated price of the dish to calculate your cost margin and estimated profit.
</t>
      </text>
    </comment>
    <comment authorId="0" ref="L97">
      <text>
        <t xml:space="preserve">Estimated Sale Price:
Enter estimated price of the dish to calculate your cost margin and estimated profit.
</t>
      </text>
    </comment>
    <comment authorId="0" ref="C52">
      <text>
        <t xml:space="preserve">Estimated Sale Price:
Enter estimated price of the dish to calculate your cost margin and estimated profit.
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21">
      <text>
        <t xml:space="preserve">Estimated Sale Price:
Enter estimated price of the dish to calculate your cost margin and estimated profit.
</t>
      </text>
    </comment>
    <comment authorId="0" ref="L453">
      <text>
        <t xml:space="preserve">Estimated Sale Price:
Enter estimated price of the dish to calculate your cost margin and estimated profit.
</t>
      </text>
    </comment>
    <comment authorId="0" ref="L321">
      <text>
        <t xml:space="preserve">Estimated Sale Price:
Enter estimated price of the dish to calculate your cost margin and estimated profit.
</t>
      </text>
    </comment>
    <comment authorId="0" ref="C276">
      <text>
        <t xml:space="preserve">Estimated Sale Price:
Enter estimated price of the dish to calculate your cost margin and estimated profit.
</t>
      </text>
    </comment>
    <comment authorId="0" ref="C497">
      <text>
        <t xml:space="preserve">Estimated Sale Price:
Enter estimated price of the dish to calculate your cost margin and estimated profit.
</t>
      </text>
    </comment>
    <comment authorId="0" ref="C142">
      <text>
        <t xml:space="preserve">Estimated Sale Price:
Enter estimated price of the dish to calculate your cost margin and estimated profit.
</t>
      </text>
    </comment>
    <comment authorId="0" ref="C365">
      <text>
        <t xml:space="preserve">Estimated Sale Price:
Enter estimated price of the dish to calculate your cost margin and estimated profit.
</t>
      </text>
    </comment>
    <comment authorId="0" ref="L276">
      <text>
        <t xml:space="preserve">Estimated Sale Price:
Enter estimated price of the dish to calculate your cost margin and estimated profit.
</t>
      </text>
    </comment>
    <comment authorId="0" ref="C586">
      <text>
        <t xml:space="preserve">Estimated Sale Price:
Enter estimated price of the dish to calculate your cost margin and estimated profit.
</t>
      </text>
    </comment>
    <comment authorId="0" ref="C8">
      <text>
        <t xml:space="preserve">Estimated Sale Price:
Enter estimated price of the dish to calculate your cost margin and estimated profit.
</t>
      </text>
    </comment>
    <comment authorId="0" ref="L497">
      <text>
        <t xml:space="preserve">Estimated Sale Price:
Enter estimated price of the dish to calculate your cost margin and estimated profit.
</t>
      </text>
    </comment>
    <comment authorId="0" ref="C231">
      <text>
        <t xml:space="preserve">Estimated Sale Price:
Enter estimated price of the dish to calculate your cost margin and estimated profit.
</t>
      </text>
    </comment>
    <comment authorId="0" ref="L142">
      <text>
        <t xml:space="preserve">Estimated Sale Price:
Enter estimated price of the dish to calculate your cost margin and estimated profit.
</t>
      </text>
    </comment>
    <comment authorId="0" ref="L365">
      <text>
        <t xml:space="preserve">Estimated Sale Price:
Enter estimated price of the dish to calculate your cost margin and estimated profit.
</t>
      </text>
    </comment>
    <comment authorId="0" ref="C97">
      <text>
        <t xml:space="preserve">Estimated Sale Price:
Enter estimated price of the dish to calculate your cost margin and estimated profit.
</t>
      </text>
    </comment>
    <comment authorId="0" ref="L8">
      <text>
        <t xml:space="preserve">Estimated Sale Price:
Enter estimated price of the dish to calculate your cost margin and estimated profit.
</t>
      </text>
    </comment>
    <comment authorId="0" ref="L231">
      <text>
        <t xml:space="preserve">Estimated Sale Price:
Enter estimated price of the dish to calculate your cost margin and estimated profit.
</t>
      </text>
    </comment>
    <comment authorId="0" ref="C541">
      <text>
        <t xml:space="preserve">Estimated Sale Price:
Enter estimated price of the dish to calculate your cost margin and estimated profit.
</t>
      </text>
    </comment>
    <comment authorId="0" ref="C186">
      <text>
        <t xml:space="preserve">Estimated Sale Price:
Enter estimated price of the dish to calculate your cost margin and estimated profit.
</t>
      </text>
    </comment>
    <comment authorId="0" ref="C409">
      <text>
        <t xml:space="preserve">Estimated Sale Price:
Enter estimated price of the dish to calculate your cost margin and estimated profit.
</t>
      </text>
    </comment>
    <comment authorId="0" ref="L97">
      <text>
        <t xml:space="preserve">Estimated Sale Price:
Enter estimated price of the dish to calculate your cost margin and estimated profit.
</t>
      </text>
    </comment>
    <comment authorId="0" ref="C52">
      <text>
        <t xml:space="preserve">Estimated Sale Price:
Enter estimated price of the dish to calculate your cost margin and estimated profit.
</t>
      </text>
    </comment>
    <comment authorId="0" ref="L541">
      <text>
        <t xml:space="preserve">Estimated Sale Price:
Enter estimated price of the dish to calculate your cost margin and estimated profit.
</t>
      </text>
    </comment>
    <comment authorId="0" ref="L186">
      <text>
        <t xml:space="preserve">Estimated Sale Price:
Enter estimated price of the dish to calculate your cost margin and estimated profit.
</t>
      </text>
    </comment>
    <comment authorId="0" ref="L409">
      <text>
        <t xml:space="preserve">Estimated Sale Price:
Enter estimated price of the dish to calculate your cost margin and estimated profit.
</t>
      </text>
    </comment>
    <comment authorId="0" ref="L52">
      <text>
        <t xml:space="preserve">Estimated Sale Price:
Enter estimated price of the dish to calculate your cost margin and estimated profit.
</t>
      </text>
    </comment>
    <comment authorId="0" ref="C453">
      <text>
        <t xml:space="preserve">Estimated Sale Price:
Enter estimated price of the dish to calculate your cost margin and estimated profit.
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8">
      <text>
        <t xml:space="preserve">Estimated Sale Price:
Enter estimated price of the dish to calculate your cost margin and estimated profit.
</t>
      </text>
    </comment>
    <comment authorId="0" ref="K53">
      <text>
        <t xml:space="preserve">Estimated Sale Price:
Enter estimated price of the dish to calculate your cost margin and estimated profit.
</t>
      </text>
    </comment>
    <comment authorId="0" ref="C8">
      <text>
        <t xml:space="preserve">Estimated Sale Price:
Enter estimated price of the dish to calculate your cost margin and estimated profit.
</t>
      </text>
    </comment>
  </commentList>
</comments>
</file>

<file path=xl/sharedStrings.xml><?xml version="1.0" encoding="utf-8"?>
<sst xmlns="http://schemas.openxmlformats.org/spreadsheetml/2006/main" count="11704" uniqueCount="1551">
  <si>
    <t>DEKWANEH</t>
  </si>
  <si>
    <t>Item</t>
  </si>
  <si>
    <t>Unit</t>
  </si>
  <si>
    <t>Qty</t>
  </si>
  <si>
    <t>Unit Price $</t>
  </si>
  <si>
    <t>Unit Price LBP</t>
  </si>
  <si>
    <t>Total Price</t>
  </si>
  <si>
    <t>Supplier</t>
  </si>
  <si>
    <t>Brand</t>
  </si>
  <si>
    <t>Food</t>
  </si>
  <si>
    <t>Caesar Sauce</t>
  </si>
  <si>
    <t>Cost &gt;  40%</t>
  </si>
  <si>
    <t xml:space="preserve"> </t>
  </si>
  <si>
    <t>BAKERY</t>
  </si>
  <si>
    <t>KG</t>
  </si>
  <si>
    <t xml:space="preserve">ARABIC BREAD </t>
  </si>
  <si>
    <t>BAG</t>
  </si>
  <si>
    <t>UTILITY AND PREP. COST</t>
  </si>
  <si>
    <t>SP USD</t>
  </si>
  <si>
    <t>SP LBP</t>
  </si>
  <si>
    <t xml:space="preserve">Cost Price </t>
  </si>
  <si>
    <t>Cost %</t>
  </si>
  <si>
    <t>Net Profit</t>
  </si>
  <si>
    <t>WOODEN BAKERY</t>
  </si>
  <si>
    <t>Current Price</t>
  </si>
  <si>
    <t>Cost Price</t>
  </si>
  <si>
    <t>Gas Count</t>
  </si>
  <si>
    <t>Profit</t>
  </si>
  <si>
    <t xml:space="preserve">BAGUETTE 24CM 40 PCS </t>
  </si>
  <si>
    <t>Starters</t>
  </si>
  <si>
    <t>BOX</t>
  </si>
  <si>
    <t xml:space="preserve"> DEKWANEH</t>
  </si>
  <si>
    <t>Delifrance</t>
  </si>
  <si>
    <t>French Fries</t>
  </si>
  <si>
    <t xml:space="preserve">BAGUETTE BROWN 40 PCS </t>
  </si>
  <si>
    <t>Total Cost</t>
  </si>
  <si>
    <t>10 KG</t>
  </si>
  <si>
    <t>Lemon Mustard</t>
  </si>
  <si>
    <t>35 KG</t>
  </si>
  <si>
    <t>Total</t>
  </si>
  <si>
    <t>Shorenting Oil</t>
  </si>
  <si>
    <t>BREAD CRUMBS YELLOW 25 KG</t>
  </si>
  <si>
    <t>Name</t>
  </si>
  <si>
    <t>Aya Foods</t>
  </si>
  <si>
    <t>Unit Price</t>
  </si>
  <si>
    <t xml:space="preserve">Anchoix </t>
  </si>
  <si>
    <t>PANCO CRUMBS 10 KG</t>
  </si>
  <si>
    <t>Bag</t>
  </si>
  <si>
    <t>E. JABRA</t>
  </si>
  <si>
    <t>KAAK CRUSHED WHITE KG</t>
  </si>
  <si>
    <t>Djion Mustard</t>
  </si>
  <si>
    <t>Gas</t>
  </si>
  <si>
    <t>BURGER BUN 6 PCS</t>
  </si>
  <si>
    <t>Mayonnaise</t>
  </si>
  <si>
    <t>Sunflower Oil</t>
  </si>
  <si>
    <t>SOURDOUGH BAGUETTE W 50 PCS 28 CM</t>
  </si>
  <si>
    <t>Fresh Cream</t>
  </si>
  <si>
    <t>Wedges</t>
  </si>
  <si>
    <t>Salt</t>
  </si>
  <si>
    <t>Electricity</t>
  </si>
  <si>
    <t>Parmesan Cheese</t>
  </si>
  <si>
    <t>SOURDOUGH BAGUETTE B 50 PCS 28 CM</t>
  </si>
  <si>
    <t>Garlic</t>
  </si>
  <si>
    <t>BURGER BUN BROWN 6 PCS</t>
  </si>
  <si>
    <t>Wood</t>
  </si>
  <si>
    <t>MINI BURGER BUN 12 PCS</t>
  </si>
  <si>
    <t>Lemon Juice</t>
  </si>
  <si>
    <t>Baked Potato</t>
  </si>
  <si>
    <t>CIABATTA PCS 40 PCS</t>
  </si>
  <si>
    <t>Box</t>
  </si>
  <si>
    <t>Gas Pizza</t>
  </si>
  <si>
    <t>CIABATTA BROWN 40 PCS</t>
  </si>
  <si>
    <t>Worchester Sauce</t>
  </si>
  <si>
    <t>Onion Rings</t>
  </si>
  <si>
    <t>FLOUR EXTRA (50KG)</t>
  </si>
  <si>
    <t>PC FOOD</t>
  </si>
  <si>
    <t>Taj</t>
  </si>
  <si>
    <t>FLOUR T65 (25KG)</t>
  </si>
  <si>
    <t>Water</t>
  </si>
  <si>
    <t>BAKALIAN</t>
  </si>
  <si>
    <t>Mustard Dijon</t>
  </si>
  <si>
    <t>T65</t>
  </si>
  <si>
    <t>Black Pepper</t>
  </si>
  <si>
    <t>CAPUTO FLOUR 5 KG</t>
  </si>
  <si>
    <t>TOTAL</t>
  </si>
  <si>
    <t>Cheese Garlic</t>
  </si>
  <si>
    <t>Milk</t>
  </si>
  <si>
    <t>Interal</t>
  </si>
  <si>
    <t>Farina</t>
  </si>
  <si>
    <t>YEAST FRESH 0.5 KG</t>
  </si>
  <si>
    <t>PCS</t>
  </si>
  <si>
    <t>Classic Nachos</t>
  </si>
  <si>
    <t>Labor Cost</t>
  </si>
  <si>
    <t>AYA FOODS</t>
  </si>
  <si>
    <t>CHEESE ROLLS DOUGH</t>
  </si>
  <si>
    <t>PACK</t>
  </si>
  <si>
    <t>Cheese Nachos</t>
  </si>
  <si>
    <t>TONYS FOOD</t>
  </si>
  <si>
    <t>PAIN DE MIE 12mm FRAIS</t>
  </si>
  <si>
    <t>Loaf</t>
  </si>
  <si>
    <t xml:space="preserve">PAIN DE MIE 12mm </t>
  </si>
  <si>
    <t>Chicken Wings</t>
  </si>
  <si>
    <t>Selling Price 45 Grs</t>
  </si>
  <si>
    <t>Chicken Nuggets</t>
  </si>
  <si>
    <t>PAIN CAMPAGNE RUSTIQUE (4x650GRSx18S)</t>
  </si>
  <si>
    <t>Cocktail Sauce</t>
  </si>
  <si>
    <t>PAIN AU LAIT FRAIS 12 PCS</t>
  </si>
  <si>
    <t>Pro's Combo</t>
  </si>
  <si>
    <t>Garlic Dip</t>
  </si>
  <si>
    <t>PUFF PASTRY KG 12*400G</t>
  </si>
  <si>
    <t>PLEIN SOLIEL</t>
  </si>
  <si>
    <t>SUBMARINE BUN  5 PCS</t>
  </si>
  <si>
    <t>Breaded Mozzarella</t>
  </si>
  <si>
    <t>TORTILLA 6" CORN 12 KG</t>
  </si>
  <si>
    <t>Ketchup</t>
  </si>
  <si>
    <t>POMO</t>
  </si>
  <si>
    <t>Quesadillas Chicken</t>
  </si>
  <si>
    <t>Egg</t>
  </si>
  <si>
    <t>TORTILLA 6" FLOUR 12 KG</t>
  </si>
  <si>
    <t>TORTILLA 12" FLOUR 12 KG</t>
  </si>
  <si>
    <t>Chicken Tenders</t>
  </si>
  <si>
    <t>CANNED</t>
  </si>
  <si>
    <t>White Pepper</t>
  </si>
  <si>
    <t>Tabasco</t>
  </si>
  <si>
    <t>Salmon Delight</t>
  </si>
  <si>
    <t>Worcestershire Sauce</t>
  </si>
  <si>
    <t>ANCHOIX 80 GR KG</t>
  </si>
  <si>
    <t>Lamoud Layoun</t>
  </si>
  <si>
    <t>Lousiana Wings Sauce</t>
  </si>
  <si>
    <t>GENERAL PROMOTION</t>
  </si>
  <si>
    <t>Robo</t>
  </si>
  <si>
    <t>CORN FLOWER 340 gr</t>
  </si>
  <si>
    <t>Junal</t>
  </si>
  <si>
    <t>PC FOODS</t>
  </si>
  <si>
    <t>DOMO</t>
  </si>
  <si>
    <t>ARTICHAUT 390 GR</t>
  </si>
  <si>
    <t>Dynamite Shrimps</t>
  </si>
  <si>
    <t>BBQ</t>
  </si>
  <si>
    <t>CHEDDAR DIP KG (3.01KG)</t>
  </si>
  <si>
    <t>American Mustard</t>
  </si>
  <si>
    <t xml:space="preserve">CAPERS KG 950 GRS </t>
  </si>
  <si>
    <t xml:space="preserve">Box </t>
  </si>
  <si>
    <t>Truffle Fries</t>
  </si>
  <si>
    <t>MARLY</t>
  </si>
  <si>
    <t>DEMI GLASS (0.925 KG)</t>
  </si>
  <si>
    <t>KNORR</t>
  </si>
  <si>
    <t>Dynamite Chicken</t>
  </si>
  <si>
    <t>CONDENSED MILK KG (395GR)</t>
  </si>
  <si>
    <t>Nestle</t>
  </si>
  <si>
    <t>Criss Cut Truffle</t>
  </si>
  <si>
    <t>PEANUT BUTTER 340 GRS</t>
  </si>
  <si>
    <t>Balsamic  Sauce</t>
  </si>
  <si>
    <t>PNUT</t>
  </si>
  <si>
    <t>Twiter Fries</t>
  </si>
  <si>
    <t>JALAPENOS KG (2KG)</t>
  </si>
  <si>
    <t>Garnish</t>
  </si>
  <si>
    <t>JUNAL LEMON 1 L *16</t>
  </si>
  <si>
    <t>Dijon Mustard</t>
  </si>
  <si>
    <t>U FOOD</t>
  </si>
  <si>
    <t>MAGGI CUBES CHICKEN 2.16KG</t>
  </si>
  <si>
    <t>Pack</t>
  </si>
  <si>
    <t>Pickles</t>
  </si>
  <si>
    <t>Cheese Potato</t>
  </si>
  <si>
    <t>Maggi</t>
  </si>
  <si>
    <t>OLIVE OIL 13KG</t>
  </si>
  <si>
    <t>Gallon</t>
  </si>
  <si>
    <t>Asaad</t>
  </si>
  <si>
    <t>OLIVES BLACK SLICED 10 KG</t>
  </si>
  <si>
    <t>MAISON KOZAILY</t>
  </si>
  <si>
    <t>Lolo Lettuce</t>
  </si>
  <si>
    <t>OLIVES BLACK WHOLE KG</t>
  </si>
  <si>
    <t>PEELED TOMATO 3 kg *6</t>
  </si>
  <si>
    <t>Balsamic Vinegar</t>
  </si>
  <si>
    <t>Tomato</t>
  </si>
  <si>
    <t>PIZZA SAUCE 2.55 Kg * 6</t>
  </si>
  <si>
    <t>HM Wedges Truffle</t>
  </si>
  <si>
    <t>Olive Oil</t>
  </si>
  <si>
    <t>Croutons</t>
  </si>
  <si>
    <t>COOKING SPRAY VEGI OIL</t>
  </si>
  <si>
    <t>Onion</t>
  </si>
  <si>
    <t>MANY FOOD</t>
  </si>
  <si>
    <t>SHOPRITE</t>
  </si>
  <si>
    <t>PICKLES KG*10</t>
  </si>
  <si>
    <t>Fries Combo</t>
  </si>
  <si>
    <t>REB EL 7AR KG</t>
  </si>
  <si>
    <t>Sambousik</t>
  </si>
  <si>
    <t>HONEY ORANGE SPRING 800 GRS</t>
  </si>
  <si>
    <t>JAR</t>
  </si>
  <si>
    <t>KOUROM</t>
  </si>
  <si>
    <t>STEAK SAUCE (3.79 LT * 4)</t>
  </si>
  <si>
    <t>MIRINA</t>
  </si>
  <si>
    <t>Salads</t>
  </si>
  <si>
    <t>SRIRACHA SAUCE 440 ML</t>
  </si>
  <si>
    <t>THAIGER</t>
  </si>
  <si>
    <t>Rocket Parmesan</t>
  </si>
  <si>
    <t>SHORTENING OIL CREAMY 18 L</t>
  </si>
  <si>
    <t>WAFIC IDRISS</t>
  </si>
  <si>
    <t>OKI</t>
  </si>
  <si>
    <t>SHORTENING OIL CLEAR 18 L</t>
  </si>
  <si>
    <t>AMERICAN</t>
  </si>
  <si>
    <t>Dough</t>
  </si>
  <si>
    <t>POMI TOMATO PASTE 1000 GR</t>
  </si>
  <si>
    <t xml:space="preserve">Breaded </t>
  </si>
  <si>
    <t>POMI</t>
  </si>
  <si>
    <t>SUNFLOWER OIL 8L</t>
  </si>
  <si>
    <t>Coleslaw</t>
  </si>
  <si>
    <t>UNITED FISHERIES</t>
  </si>
  <si>
    <t>OCEAN GARDENS</t>
  </si>
  <si>
    <t>Minced Beef</t>
  </si>
  <si>
    <t xml:space="preserve">LIQUID SMOKE </t>
  </si>
  <si>
    <t>UAE - DUABI</t>
  </si>
  <si>
    <t>KENS</t>
  </si>
  <si>
    <t xml:space="preserve">BLACK BEANS CAN 15OZ </t>
  </si>
  <si>
    <t>CAN</t>
  </si>
  <si>
    <t>Onions</t>
  </si>
  <si>
    <t>SWEET CORN KG 340 GRS</t>
  </si>
  <si>
    <t>Flour</t>
  </si>
  <si>
    <t>Greek</t>
  </si>
  <si>
    <t>Label Cost</t>
  </si>
  <si>
    <t>TAHINE  5 KG</t>
  </si>
  <si>
    <t>Tin</t>
  </si>
  <si>
    <t>BISAT</t>
  </si>
  <si>
    <t>TOMATO PASTE KG (1.25KG) 6</t>
  </si>
  <si>
    <t>Frying Oil</t>
  </si>
  <si>
    <t>Cabbage</t>
  </si>
  <si>
    <t>Eggs</t>
  </si>
  <si>
    <t>AMIN AOUR</t>
  </si>
  <si>
    <t>Tawoos</t>
  </si>
  <si>
    <t>FOUL &amp; CHICK PEAS 400 GRS</t>
  </si>
  <si>
    <t>Carrot</t>
  </si>
  <si>
    <t>Caesar</t>
  </si>
  <si>
    <t>FATTAL</t>
  </si>
  <si>
    <t>CALIFORNIA GARDENS</t>
  </si>
  <si>
    <t>CHICK PEAS 400 GRS</t>
  </si>
  <si>
    <t>Panco</t>
  </si>
  <si>
    <t>TUNA CANNED 200 GRS * 48</t>
  </si>
  <si>
    <t>Chicken Caesar</t>
  </si>
  <si>
    <t>CAPTIN FISHER</t>
  </si>
  <si>
    <t>AROM PATRELLE 1 L</t>
  </si>
  <si>
    <t>Sugar</t>
  </si>
  <si>
    <t>Pasta Tuna</t>
  </si>
  <si>
    <t>Red Cabbage</t>
  </si>
  <si>
    <t>FROZEN</t>
  </si>
  <si>
    <t>White Vinegar</t>
  </si>
  <si>
    <t>FRENCH FRIES 9X9 KG</t>
  </si>
  <si>
    <t>Freekeh Halloumi Salad</t>
  </si>
  <si>
    <t>Marina Frozen</t>
  </si>
  <si>
    <t>Super Fries</t>
  </si>
  <si>
    <t>WEDGES KG</t>
  </si>
  <si>
    <t>Pro's</t>
  </si>
  <si>
    <t>Kibbeh Krass</t>
  </si>
  <si>
    <t>TWISTER FRIES 2.5 KG*4</t>
  </si>
  <si>
    <t>Lamb Western</t>
  </si>
  <si>
    <t>CRISS CUT 2.5 KG*5</t>
  </si>
  <si>
    <t>Crab Avocado</t>
  </si>
  <si>
    <t>Cheese Rolls</t>
  </si>
  <si>
    <t>Green Salad</t>
  </si>
  <si>
    <t>Pizza Sauce</t>
  </si>
  <si>
    <r>
      <rPr>
        <rFont val="Calibri"/>
        <b/>
        <color rgb="FF000000"/>
        <sz val="11.0"/>
      </rPr>
      <t xml:space="preserve">BURGER 130 GR 15.6 KGS </t>
    </r>
    <r>
      <rPr>
        <rFont val="Calibri"/>
        <b/>
        <color rgb="FF000000"/>
        <sz val="11.0"/>
      </rPr>
      <t xml:space="preserve">(D) </t>
    </r>
  </si>
  <si>
    <t>Kale Chicken</t>
  </si>
  <si>
    <t>DEKERCO</t>
  </si>
  <si>
    <t xml:space="preserve">BURGER 170 GR - </t>
  </si>
  <si>
    <t>Argula</t>
  </si>
  <si>
    <t>EDAMAME 400 GR</t>
  </si>
  <si>
    <t>Cranberry Citrus Crunch</t>
  </si>
  <si>
    <t>STRAWBERRY FROZEN 10 KG</t>
  </si>
  <si>
    <t>Akawi</t>
  </si>
  <si>
    <t>Peeled Tomato 3 KG</t>
  </si>
  <si>
    <t>DAIRY</t>
  </si>
  <si>
    <t>GOAT CHEESE KG</t>
  </si>
  <si>
    <t>Kg</t>
  </si>
  <si>
    <t>BBQ Chicken Salad</t>
  </si>
  <si>
    <t xml:space="preserve">Borghol </t>
  </si>
  <si>
    <t>Cherry Tomato</t>
  </si>
  <si>
    <t>BLUE CHEESE 3.14 KG</t>
  </si>
  <si>
    <t>Mozzarella</t>
  </si>
  <si>
    <t>Tomato Sauce 2.55 KG</t>
  </si>
  <si>
    <t>CASTELLO</t>
  </si>
  <si>
    <t>Cobb Salad</t>
  </si>
  <si>
    <t>BUTTER 25KG</t>
  </si>
  <si>
    <t>BLOCK</t>
  </si>
  <si>
    <t>ZAKHER</t>
  </si>
  <si>
    <t>Lemon Sauce</t>
  </si>
  <si>
    <t>COULEUR FONCEE</t>
  </si>
  <si>
    <t>CHEDDAR CHEESE YELLOW BLOCK (5KG)</t>
  </si>
  <si>
    <t>Basil Fresh</t>
  </si>
  <si>
    <t>Fetta</t>
  </si>
  <si>
    <t>Chicken Peanut Garden</t>
  </si>
  <si>
    <t>CHEDDAR SLICED 200 GR</t>
  </si>
  <si>
    <t>Happy Cow</t>
  </si>
  <si>
    <t>AKKAWI CHEESE SHREDDED 2 KG</t>
  </si>
  <si>
    <t>Rocket</t>
  </si>
  <si>
    <t>HOSPI</t>
  </si>
  <si>
    <t>Kale Shrimps Salad</t>
  </si>
  <si>
    <t>CREAM SPRAY 250 GRS</t>
  </si>
  <si>
    <t>Rakaket Dough</t>
  </si>
  <si>
    <t>Roselle</t>
  </si>
  <si>
    <t>EGGS 30PCS</t>
  </si>
  <si>
    <t>HAWA CHICKEN</t>
  </si>
  <si>
    <t>EMMENTAL CHEESE 2.78 $/KG</t>
  </si>
  <si>
    <t>GRAND'OR</t>
  </si>
  <si>
    <t>FETTA CHEESE 1 KG</t>
  </si>
  <si>
    <t>CHTAURA</t>
  </si>
  <si>
    <t>Flechard</t>
  </si>
  <si>
    <t>FRESH CREAM MATILDE 1 KG*12</t>
  </si>
  <si>
    <t>AMINE AOUR</t>
  </si>
  <si>
    <t>CRISTIS</t>
  </si>
  <si>
    <t>FRESH CREAM MATILDE 1 KG*13</t>
  </si>
  <si>
    <t>Honey Citrus</t>
  </si>
  <si>
    <t>MARTINI</t>
  </si>
  <si>
    <t>Lemon Mayo</t>
  </si>
  <si>
    <t>NABOLSIYE CHEESE 1 KG</t>
  </si>
  <si>
    <t>JEDITA</t>
  </si>
  <si>
    <t>Pizza</t>
  </si>
  <si>
    <t xml:space="preserve">HALLOUM CHEESE </t>
  </si>
  <si>
    <t>Margherita</t>
  </si>
  <si>
    <t>MOZZARELLA FRESH CERISES KG</t>
  </si>
  <si>
    <t>FATTORIA TRADE</t>
  </si>
  <si>
    <t>BURRATA CHEESE KG</t>
  </si>
  <si>
    <t>GRANAROLO</t>
  </si>
  <si>
    <t>Lime Juice</t>
  </si>
  <si>
    <t>BUFALA CHEESE KG</t>
  </si>
  <si>
    <t>LABAN 2 KG</t>
  </si>
  <si>
    <t>LABNEH 5KG</t>
  </si>
  <si>
    <t>PAIL</t>
  </si>
  <si>
    <t>MILK 12 L</t>
  </si>
  <si>
    <t>CANDIA</t>
  </si>
  <si>
    <t>MOZZARELLA BLOCK 18.4 KG PIZZA</t>
  </si>
  <si>
    <t>Vegetarian</t>
  </si>
  <si>
    <t>MOZZARELLA BLOCK 18.4 KG STICKS</t>
  </si>
  <si>
    <t>3 COWS</t>
  </si>
  <si>
    <t>MOZZARELLA SHREDDED 12 KG</t>
  </si>
  <si>
    <t>Paprika</t>
  </si>
  <si>
    <t>Regular</t>
  </si>
  <si>
    <t>Cheese Cake</t>
  </si>
  <si>
    <t>SUPRANO</t>
  </si>
  <si>
    <t>WALID KAYROUZ</t>
  </si>
  <si>
    <t>MASTERLLA</t>
  </si>
  <si>
    <t>Dry Coriander</t>
  </si>
  <si>
    <t>KIRI CREAM CHEESE 8 KG</t>
  </si>
  <si>
    <t>Pepperoni</t>
  </si>
  <si>
    <t>Lahme Baajin</t>
  </si>
  <si>
    <t>EAM</t>
  </si>
  <si>
    <t>KIRI</t>
  </si>
  <si>
    <t>CREAM CHEESE 1 KG</t>
  </si>
  <si>
    <t>BBQ Chicken</t>
  </si>
  <si>
    <t>HANIBOR</t>
  </si>
  <si>
    <t>PRESIDENT</t>
  </si>
  <si>
    <t>PARMESAN HARD CHEESE $/KG</t>
  </si>
  <si>
    <t>Cajun Spices</t>
  </si>
  <si>
    <t>Cream Cheese</t>
  </si>
  <si>
    <t>Sundried Tomato</t>
  </si>
  <si>
    <t>DESSERTS</t>
  </si>
  <si>
    <t>Mushroom Sauce</t>
  </si>
  <si>
    <t>CHOCOLATE BRUXXEL SEMI-SWEET (5KGS)</t>
  </si>
  <si>
    <t>Block</t>
  </si>
  <si>
    <t>SCANDIES</t>
  </si>
  <si>
    <t>BRUXXEL</t>
  </si>
  <si>
    <t>CHOCOLATE BRUXXEL DARK (5KGS)</t>
  </si>
  <si>
    <t>COCOA POWDER</t>
  </si>
  <si>
    <t>PISTACHIO SPREAD (1 KG)</t>
  </si>
  <si>
    <t>PISTACHIO SYRUP (1.98 KG)</t>
  </si>
  <si>
    <t>BTL</t>
  </si>
  <si>
    <t>KINDER BIG T8</t>
  </si>
  <si>
    <t>Tomatoes</t>
  </si>
  <si>
    <t>VICENTI &amp; SONS</t>
  </si>
  <si>
    <t>Kinder</t>
  </si>
  <si>
    <t>CHOCOLATE SYRUP 1.2 KG</t>
  </si>
  <si>
    <t>RATIO PLUS</t>
  </si>
  <si>
    <t>Fresh Mushroom</t>
  </si>
  <si>
    <t>STRAWBERRY SYRUP 1.2 KG</t>
  </si>
  <si>
    <t>CARAMEL SAUCE 1.2 KG</t>
  </si>
  <si>
    <t>Cream Fresh</t>
  </si>
  <si>
    <t>DIGESTIVE 250 GRS</t>
  </si>
  <si>
    <t>Butter</t>
  </si>
  <si>
    <t>DIGESTIVE MCVITIES</t>
  </si>
  <si>
    <t xml:space="preserve">OREO BISCUITS </t>
  </si>
  <si>
    <t>CASH</t>
  </si>
  <si>
    <t xml:space="preserve">CHOCOLATE SPREAD 13 KGS </t>
  </si>
  <si>
    <t>Flour T65</t>
  </si>
  <si>
    <t>FONDANT (32 PCS)</t>
  </si>
  <si>
    <t>Truffle Pizza</t>
  </si>
  <si>
    <t>BELLA GUSTO</t>
  </si>
  <si>
    <t>Vanilla Powder</t>
  </si>
  <si>
    <t>READY MADE</t>
  </si>
  <si>
    <t>Pasta</t>
  </si>
  <si>
    <t>Debis El Roman</t>
  </si>
  <si>
    <t>FONDANT KINDER BUENO PCS</t>
  </si>
  <si>
    <t>Arrabiata</t>
  </si>
  <si>
    <t>FONDANT PISTACHIO PCS</t>
  </si>
  <si>
    <t>Crafts</t>
  </si>
  <si>
    <t>BROWNIE PCS</t>
  </si>
  <si>
    <t>NUTELLLA 3 KG</t>
  </si>
  <si>
    <t>Nutella</t>
  </si>
  <si>
    <t>NUTELLLA 750 GR</t>
  </si>
  <si>
    <t>Corn Strach</t>
  </si>
  <si>
    <t>SMLC</t>
  </si>
  <si>
    <t>MR JUICY</t>
  </si>
  <si>
    <t>OTHMALIYEH KG</t>
  </si>
  <si>
    <t>RACHIDI</t>
  </si>
  <si>
    <t>HAZELNUT CRUSHED THIN KG</t>
  </si>
  <si>
    <t>Four Cheese</t>
  </si>
  <si>
    <t>AL HACHEM</t>
  </si>
  <si>
    <t>Crepe</t>
  </si>
  <si>
    <t>GRAINS</t>
  </si>
  <si>
    <t>BORGHOL KG</t>
  </si>
  <si>
    <t>Yeast</t>
  </si>
  <si>
    <t>ABIDO SPICES</t>
  </si>
  <si>
    <t>Tagliatelle Al Pollo</t>
  </si>
  <si>
    <t>BORGHOL COARSE (KHECHEN) KG</t>
  </si>
  <si>
    <t>BROWN SUGAR KG</t>
  </si>
  <si>
    <t>Mac n Cheese</t>
  </si>
  <si>
    <t>Chicken Cubes</t>
  </si>
  <si>
    <t>QUINOA WHITE KG</t>
  </si>
  <si>
    <t>Pinky Shrimps</t>
  </si>
  <si>
    <t>CHIA SEEDS KG</t>
  </si>
  <si>
    <t>DARK BROWN SUGAR KG</t>
  </si>
  <si>
    <t>Vine Leaves Ready</t>
  </si>
  <si>
    <t>Spaghetti Bolognese</t>
  </si>
  <si>
    <t>Grs</t>
  </si>
  <si>
    <t>HOMMOS MEXICAN 25KG</t>
  </si>
  <si>
    <t>LENTIL KG</t>
  </si>
  <si>
    <t>Chicken Pesto</t>
  </si>
  <si>
    <t>Ajenet Knefe</t>
  </si>
  <si>
    <t>VERMICELLI KG</t>
  </si>
  <si>
    <t>ALMOND PEELED KERNELS KG</t>
  </si>
  <si>
    <t>Truflle Pasta</t>
  </si>
  <si>
    <t>PINE SEEDS KG</t>
  </si>
  <si>
    <t>PISTACHIO KERNELS KG</t>
  </si>
  <si>
    <t>Sour Cream</t>
  </si>
  <si>
    <t>SUGAR POWDER KG</t>
  </si>
  <si>
    <t>RICE Eygpt 25KG</t>
  </si>
  <si>
    <t>Vine Leaves</t>
  </si>
  <si>
    <t>RICE American 22.5 KG (STAFF)</t>
  </si>
  <si>
    <t>Mexican</t>
  </si>
  <si>
    <t>Pesto</t>
  </si>
  <si>
    <t>RICE THAILAND 5KG</t>
  </si>
  <si>
    <t>TAJJ</t>
  </si>
  <si>
    <t xml:space="preserve">Smid 1200kg </t>
  </si>
  <si>
    <t>SALT 1KG</t>
  </si>
  <si>
    <t>CURRY LEAVES (WARAK GHAR) KG</t>
  </si>
  <si>
    <t>SUGAR 25 KG</t>
  </si>
  <si>
    <t>Burger</t>
  </si>
  <si>
    <t>Classic 90</t>
  </si>
  <si>
    <t>Labneh</t>
  </si>
  <si>
    <t>WALNUTS KG</t>
  </si>
  <si>
    <t xml:space="preserve">Thin ferkha 160g </t>
  </si>
  <si>
    <t>SPICES</t>
  </si>
  <si>
    <t>BLACK PEPPER KG</t>
  </si>
  <si>
    <t xml:space="preserve">White sugar 400g </t>
  </si>
  <si>
    <t>Green Peppers</t>
  </si>
  <si>
    <t>DAABOUL SONS</t>
  </si>
  <si>
    <t xml:space="preserve">Misca 2 pcs </t>
  </si>
  <si>
    <t>Lemon</t>
  </si>
  <si>
    <t>SEVEN SPICES KG</t>
  </si>
  <si>
    <t>Mini Sliders</t>
  </si>
  <si>
    <t>CRANBERRY SEEDS KG</t>
  </si>
  <si>
    <t>Coriander</t>
  </si>
  <si>
    <t xml:space="preserve">Milk 3 liter </t>
  </si>
  <si>
    <t>SUNFLOWER SEEDS KG</t>
  </si>
  <si>
    <t>BBQ Bacon</t>
  </si>
  <si>
    <t>BAY LEAVES KG</t>
  </si>
  <si>
    <t>Cummin Powder</t>
  </si>
  <si>
    <t xml:space="preserve">May zaher 50g </t>
  </si>
  <si>
    <t>CINNAMON POWDER KG</t>
  </si>
  <si>
    <t>BLACK NIGELLA SEEDS (HABET EL BARAKE) KG</t>
  </si>
  <si>
    <t>Red Chili Flakes</t>
  </si>
  <si>
    <t xml:space="preserve">May wared 30g </t>
  </si>
  <si>
    <t xml:space="preserve">Swiss Mushrooms </t>
  </si>
  <si>
    <t>SESAME ROASTED KG</t>
  </si>
  <si>
    <t>CINNAMON STICKS KG</t>
  </si>
  <si>
    <t>Butter 400g</t>
  </si>
  <si>
    <t>CUMIN POWDER KG</t>
  </si>
  <si>
    <t xml:space="preserve">CORIANDER POWDER KG </t>
  </si>
  <si>
    <t>GARLIC POWDER KG</t>
  </si>
  <si>
    <t>HAMOUD LAYMOUN KG</t>
  </si>
  <si>
    <t>BICARBONATE KG</t>
  </si>
  <si>
    <t>Tangy</t>
  </si>
  <si>
    <t>BAKING POWDER KG</t>
  </si>
  <si>
    <t>FAJITA POWDER KG</t>
  </si>
  <si>
    <t>MINT POWDER KG</t>
  </si>
  <si>
    <t>NUTMEG POWDER KG</t>
  </si>
  <si>
    <t>Garlic Butter</t>
  </si>
  <si>
    <t>Volcanco</t>
  </si>
  <si>
    <t>OREGANO POWDER KG</t>
  </si>
  <si>
    <t xml:space="preserve">Tartar </t>
  </si>
  <si>
    <t>PAPRIKA POWDER KG</t>
  </si>
  <si>
    <t>SEMAK POWDER KG</t>
  </si>
  <si>
    <t>Pulled Beef</t>
  </si>
  <si>
    <t>Waffle Dough</t>
  </si>
  <si>
    <t>STARTCH KG</t>
  </si>
  <si>
    <t>SWEET PEPPER KG</t>
  </si>
  <si>
    <t>WHITE PEPPER KG</t>
  </si>
  <si>
    <t>CHEDDAR POWDER KG</t>
  </si>
  <si>
    <t>Crepe Dough</t>
  </si>
  <si>
    <t>BLACK BEANS KG</t>
  </si>
  <si>
    <t xml:space="preserve">Truffle </t>
  </si>
  <si>
    <t>ZAATAR MIX KG</t>
  </si>
  <si>
    <t>DRY MUSTARD KG</t>
  </si>
  <si>
    <t>Red Vinegar</t>
  </si>
  <si>
    <t>Mains</t>
  </si>
  <si>
    <t>GINGER KG</t>
  </si>
  <si>
    <t>Cordon Blu</t>
  </si>
  <si>
    <t>VANILLA POWDER KG</t>
  </si>
  <si>
    <t>Chili Powder KG</t>
  </si>
  <si>
    <t>Worhchester Sauce</t>
  </si>
  <si>
    <t>Dry Bassil KG</t>
  </si>
  <si>
    <t>Rosemary KG</t>
  </si>
  <si>
    <t>Parsley</t>
  </si>
  <si>
    <t>Onion Powder KG</t>
  </si>
  <si>
    <t>CELERY POWDER KG</t>
  </si>
  <si>
    <t>DRY PARSLY KG</t>
  </si>
  <si>
    <t>FOOD COLORING KG</t>
  </si>
  <si>
    <t>Grilled Chicken</t>
  </si>
  <si>
    <t>Red Chili Flakes KG</t>
  </si>
  <si>
    <t>Raisins KG</t>
  </si>
  <si>
    <t>Red Cajun Spices KG</t>
  </si>
  <si>
    <t>DRY FIGS KG</t>
  </si>
  <si>
    <t>RFC</t>
  </si>
  <si>
    <t>Worchcestershire Sauce</t>
  </si>
  <si>
    <t>Coarse Black Pepper KG</t>
  </si>
  <si>
    <t>Granulated Garlic KG</t>
  </si>
  <si>
    <t>CLOVES POWDER KG</t>
  </si>
  <si>
    <t>Louisiana Hot Sauce</t>
  </si>
  <si>
    <t>Chicken Mushroom</t>
  </si>
  <si>
    <t>GROUNDED BLACK PEPPER KG</t>
  </si>
  <si>
    <t>Baking Powder</t>
  </si>
  <si>
    <t xml:space="preserve">ICE CREAM </t>
  </si>
  <si>
    <t>Taouk</t>
  </si>
  <si>
    <t>Steak Sauce</t>
  </si>
  <si>
    <t>ICE CREAM ALMOND 3KG</t>
  </si>
  <si>
    <t>Pail</t>
  </si>
  <si>
    <t>SURGEL</t>
  </si>
  <si>
    <t>ICE CREAM BLUEBERRY 3KG</t>
  </si>
  <si>
    <t>Chicken Fajita</t>
  </si>
  <si>
    <t>ICE CREAM CHOCOLATE 3KG</t>
  </si>
  <si>
    <t>ICE CREAM OREO 3KG</t>
  </si>
  <si>
    <t>Shrimps Fajita</t>
  </si>
  <si>
    <t>ICE CREAM KIWI 3KG</t>
  </si>
  <si>
    <t>ICE CREAM LEMON 3KG</t>
  </si>
  <si>
    <t>ICE CREAM MANGO 3KG</t>
  </si>
  <si>
    <t>Shrimps Mix</t>
  </si>
  <si>
    <t>ICE CREAM MELON 3KG</t>
  </si>
  <si>
    <t>ICE CREAM KINDER 3KG</t>
  </si>
  <si>
    <t>Honey Mustard</t>
  </si>
  <si>
    <t>ICE CREAM PISTACHIO 3KG</t>
  </si>
  <si>
    <t>ICE CREAM STRAWBERRY 3KG</t>
  </si>
  <si>
    <t>Lemon Oil</t>
  </si>
  <si>
    <t>ICE CREAM VANILLA 3KG</t>
  </si>
  <si>
    <t>MEAT</t>
  </si>
  <si>
    <t>Honey 800 Grs</t>
  </si>
  <si>
    <t>BABY VEAL NZ 16 KG (Price/KG)</t>
  </si>
  <si>
    <t xml:space="preserve">Boneless </t>
  </si>
  <si>
    <t>froiboy</t>
  </si>
  <si>
    <t>KAFTA / MINCED BEEF KG</t>
  </si>
  <si>
    <t>Minerva</t>
  </si>
  <si>
    <t>RHUM STICKS KG</t>
  </si>
  <si>
    <t>Butterfly Escalope</t>
  </si>
  <si>
    <t>CHUCK ROLL $/KG</t>
  </si>
  <si>
    <t>Vanilla</t>
  </si>
  <si>
    <t>MEATCO</t>
  </si>
  <si>
    <t>ENTERCOTE $/KG</t>
  </si>
  <si>
    <t>Mayonaise</t>
  </si>
  <si>
    <t>BRISKIT $/KG</t>
  </si>
  <si>
    <t>Great Escalope</t>
  </si>
  <si>
    <t>TAWILEH KG</t>
  </si>
  <si>
    <t>Startch</t>
  </si>
  <si>
    <t>Garlic Powder</t>
  </si>
  <si>
    <t>FILET MEAT 4/5 14.81 KG (Price/KG)</t>
  </si>
  <si>
    <t>Oregano</t>
  </si>
  <si>
    <t>LIYE GHANAM KG</t>
  </si>
  <si>
    <t>FRESH MARKET</t>
  </si>
  <si>
    <t>Apple Vingear</t>
  </si>
  <si>
    <t>MAKANEK KG</t>
  </si>
  <si>
    <t>Pros Escalope</t>
  </si>
  <si>
    <t>MANO</t>
  </si>
  <si>
    <t xml:space="preserve">Salt </t>
  </si>
  <si>
    <t>MINCED BEEF KG</t>
  </si>
  <si>
    <t>Aoun</t>
  </si>
  <si>
    <t>PEPPERONI 9.54KG</t>
  </si>
  <si>
    <t>TAGHZIYA</t>
  </si>
  <si>
    <t>BACON TURKEY KGS</t>
  </si>
  <si>
    <t>Grilled Salmon</t>
  </si>
  <si>
    <t>SOUJOK KG</t>
  </si>
  <si>
    <t>Grilled Shrimps</t>
  </si>
  <si>
    <t>TURKEY SMOKED 2.39 KG ($/KG)</t>
  </si>
  <si>
    <t xml:space="preserve">PCS </t>
  </si>
  <si>
    <t>Pico de Galo</t>
  </si>
  <si>
    <t>TURKEY DE DINE 3 KG ($/KG)</t>
  </si>
  <si>
    <t>Steak Swiss Tenderloin</t>
  </si>
  <si>
    <t>HAM PORK</t>
  </si>
  <si>
    <t>BRESAOLA (1.7 KG) KG</t>
  </si>
  <si>
    <t>ZOR GHANAM KG</t>
  </si>
  <si>
    <t>ENTRECOTE</t>
  </si>
  <si>
    <t>POULTRY</t>
  </si>
  <si>
    <t>CHICKEN BREAST CLEAN KG</t>
  </si>
  <si>
    <t>Pain de Mie</t>
  </si>
  <si>
    <t>Steak &amp; Fries</t>
  </si>
  <si>
    <t>Ranch</t>
  </si>
  <si>
    <t>CHICKEN BREAST KG</t>
  </si>
  <si>
    <t>WILCO CHICKEN</t>
  </si>
  <si>
    <t>CHICKEN BURGER BREADED  KG</t>
  </si>
  <si>
    <t>CHICKEN WHOLE KG</t>
  </si>
  <si>
    <t>Rice Chicken</t>
  </si>
  <si>
    <t>Burger Patty</t>
  </si>
  <si>
    <t>CHICKEN WINGS KG</t>
  </si>
  <si>
    <t>BONELESS CHICKEN KG</t>
  </si>
  <si>
    <t>LIVER CHICKEN KG</t>
  </si>
  <si>
    <t>Rice Crispy Chicken</t>
  </si>
  <si>
    <t xml:space="preserve">Granulated Garlic </t>
  </si>
  <si>
    <t>NUGGETS KG</t>
  </si>
  <si>
    <t>PASTA</t>
  </si>
  <si>
    <t>PENNE 500gr*24</t>
  </si>
  <si>
    <t>Rice Meat</t>
  </si>
  <si>
    <t>Meat  20 KG 4.8$</t>
  </si>
  <si>
    <t>Chili Pepper</t>
  </si>
  <si>
    <t>SYDIS</t>
  </si>
  <si>
    <t>1ER CHOIR</t>
  </si>
  <si>
    <t>TORTELLINI 250gr</t>
  </si>
  <si>
    <t>Fish &amp; Fries</t>
  </si>
  <si>
    <t>Kaak</t>
  </si>
  <si>
    <t>VINCINENT</t>
  </si>
  <si>
    <t>BARELLLA</t>
  </si>
  <si>
    <t>SPAGHETTI LINGUINE 500 GRS</t>
  </si>
  <si>
    <t>Onion Powder</t>
  </si>
  <si>
    <t>CAVATAPPI 500gr*24</t>
  </si>
  <si>
    <t>Sandwiches</t>
  </si>
  <si>
    <t>TAGLIATELLE 500 Gr*24</t>
  </si>
  <si>
    <t>Chicken Sub</t>
  </si>
  <si>
    <t>FUSILLI TRI-COLOR</t>
  </si>
  <si>
    <t>SPAGHETTI STAFF 250gr (20 PCS)</t>
  </si>
  <si>
    <t>Basil Powder</t>
  </si>
  <si>
    <t>SAUCES</t>
  </si>
  <si>
    <t>Corinder</t>
  </si>
  <si>
    <r>
      <rPr>
        <rFont val="Calibri"/>
        <b/>
        <color rgb="FF000000"/>
        <sz val="11.0"/>
      </rPr>
      <t>POMEGRANATE MOLASSES</t>
    </r>
    <r>
      <rPr>
        <rFont val="Calibri"/>
        <b/>
        <color rgb="FF000000"/>
        <sz val="9.0"/>
      </rPr>
      <t xml:space="preserve"> DIBES EL REMEN </t>
    </r>
  </si>
  <si>
    <t>BOX/12</t>
  </si>
  <si>
    <t>Coriander Fresh</t>
  </si>
  <si>
    <t>Patty Size</t>
  </si>
  <si>
    <t>Price</t>
  </si>
  <si>
    <t>Qty/KG</t>
  </si>
  <si>
    <t>YAMAMA</t>
  </si>
  <si>
    <t>BBQ SAUCE HICKORY 3.79 L</t>
  </si>
  <si>
    <t>Piece</t>
  </si>
  <si>
    <t>BULL EYE</t>
  </si>
  <si>
    <t>DIJON MUSTARD KG (5KG)</t>
  </si>
  <si>
    <t>XS MUSTARD</t>
  </si>
  <si>
    <t>AMERICAN  MUSTARD KG (5KG)</t>
  </si>
  <si>
    <t>Light Chicken</t>
  </si>
  <si>
    <t>ISOFOOD</t>
  </si>
  <si>
    <t>AMERIGO</t>
  </si>
  <si>
    <t>KETCHUP GALLONS (4 KG)</t>
  </si>
  <si>
    <t>IDRISS</t>
  </si>
  <si>
    <t>DOLLYS</t>
  </si>
  <si>
    <t>Pancake Dough</t>
  </si>
  <si>
    <t>MAYONNAISE (3.75 L) (4xBOX)</t>
  </si>
  <si>
    <t xml:space="preserve">  Dekerco</t>
  </si>
  <si>
    <t>Brownie</t>
  </si>
  <si>
    <t>Tuna Club</t>
  </si>
  <si>
    <t>SUNDRIED TOMATO OIL 3 K</t>
  </si>
  <si>
    <t>ROBO</t>
  </si>
  <si>
    <t>SOYA SAUCE 3.789 L</t>
  </si>
  <si>
    <t>Cocoa</t>
  </si>
  <si>
    <t>kikomen</t>
  </si>
  <si>
    <t>TABASCO KG 6GR * 12</t>
  </si>
  <si>
    <t>DRY CEPES MUSHROOM 0.5 KG</t>
  </si>
  <si>
    <t>Chicken Halloumi</t>
  </si>
  <si>
    <t>VINEGAR BALSAMIC KG (5L)</t>
  </si>
  <si>
    <t>EMIL</t>
  </si>
  <si>
    <t>VINEGAR WHITE 1l (12 BTL)</t>
  </si>
  <si>
    <t>VINEGAR RED 1l (12 BTL)</t>
  </si>
  <si>
    <t>LOUISIANA WINGS SAUCE 3.75 L</t>
  </si>
  <si>
    <t>Chicken Club</t>
  </si>
  <si>
    <t>Hommos</t>
  </si>
  <si>
    <t>Louisiana H S</t>
  </si>
  <si>
    <t>APPLE VINEGAR 750 ML</t>
  </si>
  <si>
    <t>Bottle</t>
  </si>
  <si>
    <t>Moutabal</t>
  </si>
  <si>
    <t>Chicken Avocado</t>
  </si>
  <si>
    <t>WORCHESTERSHIRE SAUCE  3.8 L</t>
  </si>
  <si>
    <t>Fajita Pros</t>
  </si>
  <si>
    <t>GARLIC PASTE KG</t>
  </si>
  <si>
    <t>Honey</t>
  </si>
  <si>
    <t>TRUFFLE OIL 100 GRS</t>
  </si>
  <si>
    <t>RUNGIMIX</t>
  </si>
  <si>
    <t>Eggplant</t>
  </si>
  <si>
    <t>TRUFFLE PASTE 460 GRS</t>
  </si>
  <si>
    <t>Manhattan Buffalo Ranch</t>
  </si>
  <si>
    <t>Tahineh</t>
  </si>
  <si>
    <t>Lemon Zest</t>
  </si>
  <si>
    <t>SEA FOOD</t>
  </si>
  <si>
    <t>BBQ Campgain</t>
  </si>
  <si>
    <t>Hamoud Layoun</t>
  </si>
  <si>
    <t>CALAMARI RINGS 1 KG*10</t>
  </si>
  <si>
    <t>Hamoud Laymoun</t>
  </si>
  <si>
    <t>Bacon Campgain</t>
  </si>
  <si>
    <t>CALAMARI RINGS 1 KG*11</t>
  </si>
  <si>
    <t>Spinach Dip</t>
  </si>
  <si>
    <t>CRAB CLAWS 400 gr*30</t>
  </si>
  <si>
    <t>Chicken Quesadillas</t>
  </si>
  <si>
    <t>Steak Sandwich</t>
  </si>
  <si>
    <t>SURIMI</t>
  </si>
  <si>
    <t>Crab Sandwich</t>
  </si>
  <si>
    <t>SALMON FRESH KG</t>
  </si>
  <si>
    <t>Chicken Breast</t>
  </si>
  <si>
    <t>SALMON SMOKED  KG</t>
  </si>
  <si>
    <t>Lebanese</t>
  </si>
  <si>
    <t>CRAB STICKS 250 gr</t>
  </si>
  <si>
    <t>Box/40</t>
  </si>
  <si>
    <t>Green Pepper</t>
  </si>
  <si>
    <t>Tabbouleh</t>
  </si>
  <si>
    <t>CAPT FISHER</t>
  </si>
  <si>
    <t>FILET HAMOUR 1KG</t>
  </si>
  <si>
    <t>Box/10</t>
  </si>
  <si>
    <t xml:space="preserve">SHRIMPS 6/8 BLACK TIGER KG </t>
  </si>
  <si>
    <t>Red Pepper</t>
  </si>
  <si>
    <t xml:space="preserve">SHRIMPS 13/15 BLACK TIGER KG </t>
  </si>
  <si>
    <t>Indian Onions</t>
  </si>
  <si>
    <t>SHRIMPS 16/20 KG 1KG</t>
  </si>
  <si>
    <t>Pesto Sauce</t>
  </si>
  <si>
    <t>VEGETABLES</t>
  </si>
  <si>
    <t>Tangy Sauce</t>
  </si>
  <si>
    <t xml:space="preserve">Coriander </t>
  </si>
  <si>
    <t>Fattouch</t>
  </si>
  <si>
    <t>Basil</t>
  </si>
  <si>
    <t>ICEBERG KG</t>
  </si>
  <si>
    <t>LOUISIANA WINGS SAUCE</t>
  </si>
  <si>
    <t>FRESH MUSHROOMS KG</t>
  </si>
  <si>
    <t>TOMATO KG</t>
  </si>
  <si>
    <t>Unsalted Butter</t>
  </si>
  <si>
    <t>ROCKET KG</t>
  </si>
  <si>
    <t>Lousiana WS</t>
  </si>
  <si>
    <t>Moutabbal</t>
  </si>
  <si>
    <t>POTATO KG</t>
  </si>
  <si>
    <t>Dark Brown Sugar</t>
  </si>
  <si>
    <t>Coriander Powder</t>
  </si>
  <si>
    <t>PRASLEY KG</t>
  </si>
  <si>
    <t>CHERRY TOMATO (200 GRS) KG</t>
  </si>
  <si>
    <t>CUCUMBERS KG</t>
  </si>
  <si>
    <t>Almonds</t>
  </si>
  <si>
    <t>ROMAIN LETTUCE KG</t>
  </si>
  <si>
    <t>THYME KG</t>
  </si>
  <si>
    <t>Batata Harra</t>
  </si>
  <si>
    <t>LEMONS KG</t>
  </si>
  <si>
    <t>AVOCADO KG</t>
  </si>
  <si>
    <t>ORANGE KG</t>
  </si>
  <si>
    <t>Cumin</t>
  </si>
  <si>
    <t>ONIONS KG</t>
  </si>
  <si>
    <t>Soujok</t>
  </si>
  <si>
    <t>BROCCOLI KG</t>
  </si>
  <si>
    <t>Spinach</t>
  </si>
  <si>
    <t>GARLIC KG</t>
  </si>
  <si>
    <t>CARROTS KG</t>
  </si>
  <si>
    <t>Makanek</t>
  </si>
  <si>
    <t>Fahjita Pepper</t>
  </si>
  <si>
    <t>CABBAGE KG</t>
  </si>
  <si>
    <t>RED CABBAGE KG</t>
  </si>
  <si>
    <t>Artichaut</t>
  </si>
  <si>
    <t>GREEN PEPPERS KG</t>
  </si>
  <si>
    <t>LOLO LETUCCE PCS</t>
  </si>
  <si>
    <t>Soya Sauce</t>
  </si>
  <si>
    <t>Truffle Mayo</t>
  </si>
  <si>
    <t>BASIL KG</t>
  </si>
  <si>
    <t>BANANA KG</t>
  </si>
  <si>
    <t>Kebeh</t>
  </si>
  <si>
    <t xml:space="preserve">POMEGRANATE KG </t>
  </si>
  <si>
    <t>Avocado</t>
  </si>
  <si>
    <t>KALE KG</t>
  </si>
  <si>
    <t>ARUGULA KG</t>
  </si>
  <si>
    <t>MARROW KG</t>
  </si>
  <si>
    <t>Balsamic Sauce</t>
  </si>
  <si>
    <t>DILL FRESH KG</t>
  </si>
  <si>
    <t>CELERY KG</t>
  </si>
  <si>
    <t>SPINACH KG</t>
  </si>
  <si>
    <t>Truffle Paste 460 Grs</t>
  </si>
  <si>
    <t>ZUCHINNI KG (COURGETTE)</t>
  </si>
  <si>
    <t>CHIVES KG (50 GRS)</t>
  </si>
  <si>
    <t>RED PEPPERS KG</t>
  </si>
  <si>
    <t>CRAFTS  KG</t>
  </si>
  <si>
    <t>CORIANDAR  KG</t>
  </si>
  <si>
    <t>10 PORTIONS</t>
  </si>
  <si>
    <t>EGGPLANT  KG</t>
  </si>
  <si>
    <t>Caramel Sauce</t>
  </si>
  <si>
    <t>STRAWBERRY  KG</t>
  </si>
  <si>
    <t>POTATO CUBES KG</t>
  </si>
  <si>
    <t>FRESH MINT KG</t>
  </si>
  <si>
    <t>FLOWER (FOOD STYLING) 50 PCS</t>
  </si>
  <si>
    <t>RADDISH KG</t>
  </si>
  <si>
    <t>SUCRINE LETTUE KG</t>
  </si>
  <si>
    <t>Green Coloring</t>
  </si>
  <si>
    <t>OTHERS</t>
  </si>
  <si>
    <t>WOOD PIZZA SENDIYEN TON</t>
  </si>
  <si>
    <t>TON</t>
  </si>
  <si>
    <t>TONI NAIMI</t>
  </si>
  <si>
    <t xml:space="preserve">Sundried Marination </t>
  </si>
  <si>
    <t>POR</t>
  </si>
  <si>
    <t>Red Sauce</t>
  </si>
  <si>
    <t>Apple Vineager</t>
  </si>
  <si>
    <t>Peeled Tomato</t>
  </si>
  <si>
    <t>Desserts</t>
  </si>
  <si>
    <t>Fondant</t>
  </si>
  <si>
    <t>Chuby Crepe</t>
  </si>
  <si>
    <t>Bisque Sauce</t>
  </si>
  <si>
    <t>Kinder Crepe</t>
  </si>
  <si>
    <t>Lemon Dill</t>
  </si>
  <si>
    <t>Ice Cream</t>
  </si>
  <si>
    <t>Waffle Sugar</t>
  </si>
  <si>
    <t>Dill</t>
  </si>
  <si>
    <t>Waffle Chocolate</t>
  </si>
  <si>
    <t>NY Oreo Cheese Cake</t>
  </si>
  <si>
    <t>Celery</t>
  </si>
  <si>
    <t>NY Cheese Cake</t>
  </si>
  <si>
    <t>Othmaliyeh Ice Cream</t>
  </si>
  <si>
    <t>Tomato Paste</t>
  </si>
  <si>
    <t>Mountain Lava</t>
  </si>
  <si>
    <t>Pain Perdu</t>
  </si>
  <si>
    <t>Shrimps Shell</t>
  </si>
  <si>
    <t>Brownies</t>
  </si>
  <si>
    <t>Carrots</t>
  </si>
  <si>
    <t>Fondant Bueno</t>
  </si>
  <si>
    <t>Items</t>
  </si>
  <si>
    <t>Fondant Pistachio</t>
  </si>
  <si>
    <t>USD / Box</t>
  </si>
  <si>
    <t>COMBO DEALS FOR 2 - 3 - 4 - Family</t>
  </si>
  <si>
    <t>Price / Box</t>
  </si>
  <si>
    <t>Qty / Box</t>
  </si>
  <si>
    <t>Elec. Cost</t>
  </si>
  <si>
    <t>Extra</t>
  </si>
  <si>
    <t>For 2</t>
  </si>
  <si>
    <t>Selling Price</t>
  </si>
  <si>
    <t>&gt;  30 %</t>
  </si>
  <si>
    <t>Cheese Crepe</t>
  </si>
  <si>
    <t>Selling P</t>
  </si>
  <si>
    <t>Water Big</t>
  </si>
  <si>
    <t>Cost P</t>
  </si>
  <si>
    <t>Combo P</t>
  </si>
  <si>
    <t>NO FRIES</t>
  </si>
  <si>
    <t>Pepsi</t>
  </si>
  <si>
    <t>Water B</t>
  </si>
  <si>
    <t>Gravy Sauce</t>
  </si>
  <si>
    <t>Turkey Cheese Crepe</t>
  </si>
  <si>
    <t>Mashed Potato</t>
  </si>
  <si>
    <t>Cheese Bacon Crepe</t>
  </si>
  <si>
    <t>Potato</t>
  </si>
  <si>
    <t>Caesar Salad</t>
  </si>
  <si>
    <t>Wraps and Aajin</t>
  </si>
  <si>
    <t>Light Chicken sand</t>
  </si>
  <si>
    <t>Chicken Cheese Wrap</t>
  </si>
  <si>
    <t>SOFT x2</t>
  </si>
  <si>
    <t>Latte</t>
  </si>
  <si>
    <t>Water Small</t>
  </si>
  <si>
    <t>Mozzarella Cheese</t>
  </si>
  <si>
    <t>Spicy Chicken Wrap</t>
  </si>
  <si>
    <t>Parmesan</t>
  </si>
  <si>
    <t>Soft Drinks</t>
  </si>
  <si>
    <t>Kafta Cheese</t>
  </si>
  <si>
    <t>Bay Leaves</t>
  </si>
  <si>
    <t>Rosemary</t>
  </si>
  <si>
    <t>Parsly Steams</t>
  </si>
  <si>
    <t>Turkey Cheese</t>
  </si>
  <si>
    <t>Thyme</t>
  </si>
  <si>
    <t>Espresso</t>
  </si>
  <si>
    <t>Coarse Black Pepper</t>
  </si>
  <si>
    <t>Engery Drinks</t>
  </si>
  <si>
    <t>Turkey Cheese C W</t>
  </si>
  <si>
    <t>Turkey Cheese C B</t>
  </si>
  <si>
    <t>Half Fries</t>
  </si>
  <si>
    <t>Nescafe</t>
  </si>
  <si>
    <t>Turkey Cheese BG</t>
  </si>
  <si>
    <t>Soujok Cheese</t>
  </si>
  <si>
    <t>Tangy B</t>
  </si>
  <si>
    <t>Zaatar</t>
  </si>
  <si>
    <t>No Fries</t>
  </si>
  <si>
    <t>Pepp. Piz</t>
  </si>
  <si>
    <t>Peeled tomato 1 can 2.5kg</t>
  </si>
  <si>
    <t>Cheese</t>
  </si>
  <si>
    <t>Onion clean 250g</t>
  </si>
  <si>
    <t>Tea</t>
  </si>
  <si>
    <t>Garlic clean 25g</t>
  </si>
  <si>
    <t>CHICK SUB</t>
  </si>
  <si>
    <t>Carrots 100g</t>
  </si>
  <si>
    <t>Salt 20g</t>
  </si>
  <si>
    <t>Mix Tea</t>
  </si>
  <si>
    <t>Scrambled Eggs</t>
  </si>
  <si>
    <t>Black pepper 5g</t>
  </si>
  <si>
    <t>Garlic Ch Br</t>
  </si>
  <si>
    <t>Olive oil 30g</t>
  </si>
  <si>
    <t>Mocha</t>
  </si>
  <si>
    <t>Halloumi Brown</t>
  </si>
  <si>
    <t>Sunflower oil.30g</t>
  </si>
  <si>
    <t>Basil clean 15g</t>
  </si>
  <si>
    <t>Halloumi White</t>
  </si>
  <si>
    <t>Tomato paste 25g</t>
  </si>
  <si>
    <t>-</t>
  </si>
  <si>
    <t>Sugar 5g</t>
  </si>
  <si>
    <t>Halloumi Plate</t>
  </si>
  <si>
    <t>Cherry tomato 250g</t>
  </si>
  <si>
    <t>For 3</t>
  </si>
  <si>
    <t>Breakfast Combo</t>
  </si>
  <si>
    <t>2 Half Fries</t>
  </si>
  <si>
    <t>Fetta Mix</t>
  </si>
  <si>
    <t>SWISS BURG</t>
  </si>
  <si>
    <t>Pep. Pizza</t>
  </si>
  <si>
    <t>Sauce Cup 45 Grs</t>
  </si>
  <si>
    <t>Hot Chocolate</t>
  </si>
  <si>
    <t>Chocolate Syrup</t>
  </si>
  <si>
    <t>SOFT x3</t>
  </si>
  <si>
    <t>Cocktail</t>
  </si>
  <si>
    <t>Faj. Sand</t>
  </si>
  <si>
    <t>Turkish Coffee</t>
  </si>
  <si>
    <t>Balsamic</t>
  </si>
  <si>
    <t>Almaza</t>
  </si>
  <si>
    <t>For 4</t>
  </si>
  <si>
    <t>COMBO</t>
  </si>
  <si>
    <t>HALF</t>
  </si>
  <si>
    <t>Perrier</t>
  </si>
  <si>
    <t>CLASSIC B</t>
  </si>
  <si>
    <t>Tag. Pasta</t>
  </si>
  <si>
    <t>Reg. Pizza</t>
  </si>
  <si>
    <t>SOFT x4</t>
  </si>
  <si>
    <t>Laziza</t>
  </si>
  <si>
    <t>Chocolate Powder</t>
  </si>
  <si>
    <t>FAMILY</t>
  </si>
  <si>
    <t>Tartar</t>
  </si>
  <si>
    <t>Iced Tea</t>
  </si>
  <si>
    <t>NUGGETS M</t>
  </si>
  <si>
    <t>Nuts</t>
  </si>
  <si>
    <t>CLASSIC BUR</t>
  </si>
  <si>
    <t>1 Syrup Cocktail</t>
  </si>
  <si>
    <t>KIDS MENU</t>
  </si>
  <si>
    <t>2 Syrup Cocktail</t>
  </si>
  <si>
    <t>Cocktail 1 Syrup</t>
  </si>
  <si>
    <t>DISH NAME</t>
  </si>
  <si>
    <t>Perrier Large</t>
  </si>
  <si>
    <t>Add Chicken 160 Grs</t>
  </si>
  <si>
    <t>French Fries Side</t>
  </si>
  <si>
    <t>EST. SALE PPRICE</t>
  </si>
  <si>
    <t>Hooka</t>
  </si>
  <si>
    <t>2 Apple</t>
  </si>
  <si>
    <t>Almaza KEG</t>
  </si>
  <si>
    <t>TOTAL COST</t>
  </si>
  <si>
    <t>Syrup 1883</t>
  </si>
  <si>
    <t>Juice 1</t>
  </si>
  <si>
    <t>Juice 2</t>
  </si>
  <si>
    <t>Cocktail 2 Syrups</t>
  </si>
  <si>
    <t>Mint Lemon</t>
  </si>
  <si>
    <t>Exotic</t>
  </si>
  <si>
    <t>COST MARGIN</t>
  </si>
  <si>
    <t>Rass Regular</t>
  </si>
  <si>
    <t>Drinks</t>
  </si>
  <si>
    <t xml:space="preserve">Soft Drinks </t>
  </si>
  <si>
    <t>NET PROFIT</t>
  </si>
  <si>
    <t>PRIMARY INGREDIENTS</t>
  </si>
  <si>
    <t>Mineral Water Large</t>
  </si>
  <si>
    <t>Product Name</t>
  </si>
  <si>
    <t>Qty.</t>
  </si>
  <si>
    <t>Cost
(per unit)</t>
  </si>
  <si>
    <t xml:space="preserve">Mineral Water Small </t>
  </si>
  <si>
    <t>Sparkling Water Large</t>
  </si>
  <si>
    <t xml:space="preserve">Sparkling Water Small </t>
  </si>
  <si>
    <t>Almaza Giraffe 3 L</t>
  </si>
  <si>
    <t xml:space="preserve">Energy Drink </t>
  </si>
  <si>
    <t>Crackers Mix</t>
  </si>
  <si>
    <t>Caffe Latte</t>
  </si>
  <si>
    <t>Cappuccino</t>
  </si>
  <si>
    <t xml:space="preserve">Espresso </t>
  </si>
  <si>
    <t xml:space="preserve">Tea/ Zhourat / Yansoun </t>
  </si>
  <si>
    <t xml:space="preserve">Hot Chocolate </t>
  </si>
  <si>
    <t xml:space="preserve">Mochaccino </t>
  </si>
  <si>
    <t>Iced Mocha</t>
  </si>
  <si>
    <t>Caramel Macchiato</t>
  </si>
  <si>
    <t>Chocolate Frappuccino</t>
  </si>
  <si>
    <t xml:space="preserve">Coconut Latte </t>
  </si>
  <si>
    <t>SECONDARY INGREDIENTS</t>
  </si>
  <si>
    <t>Kids Menu</t>
  </si>
  <si>
    <t>Side French Fries</t>
  </si>
  <si>
    <t>Cost</t>
  </si>
  <si>
    <t>Butter Penne</t>
  </si>
  <si>
    <t>Margherita Pizza</t>
  </si>
  <si>
    <t>Nuggets</t>
  </si>
  <si>
    <t>Kids Burger Chicken</t>
  </si>
  <si>
    <t>Kids Burger Beef</t>
  </si>
  <si>
    <t>Birthdays Formula</t>
  </si>
  <si>
    <t>Kids Meal Nuggets</t>
  </si>
  <si>
    <t>SP</t>
  </si>
  <si>
    <t>Mini Sandwiches</t>
  </si>
  <si>
    <t xml:space="preserve">UP </t>
  </si>
  <si>
    <t>Kids Meal Burger</t>
  </si>
  <si>
    <t>Greek Salad - 8 Prs</t>
  </si>
  <si>
    <t>orange</t>
  </si>
  <si>
    <t>Turkey</t>
  </si>
  <si>
    <t>minted</t>
  </si>
  <si>
    <t>milkshake</t>
  </si>
  <si>
    <t>oreo</t>
  </si>
  <si>
    <t>Chicken Ceasar Salad - 8 Prs</t>
  </si>
  <si>
    <t>Chicken</t>
  </si>
  <si>
    <t>Chicken Tenders  - Pcs</t>
  </si>
  <si>
    <t>Emmental</t>
  </si>
  <si>
    <t>Mini Sandwiches - Pcs</t>
  </si>
  <si>
    <t>Bread</t>
  </si>
  <si>
    <t>Nuggets - Pcs</t>
  </si>
  <si>
    <t>Iceberg</t>
  </si>
  <si>
    <t>Mini Burgers - Pcs</t>
  </si>
  <si>
    <t xml:space="preserve">Fries </t>
  </si>
  <si>
    <t xml:space="preserve">RICE MEALS FOOD COST                </t>
  </si>
  <si>
    <t xml:space="preserve">Margherita </t>
  </si>
  <si>
    <t>Pizza Mini - Pcs</t>
  </si>
  <si>
    <t>White Rice</t>
  </si>
  <si>
    <t>Penne Pasta</t>
  </si>
  <si>
    <t>18 Portions</t>
  </si>
  <si>
    <t>Penne</t>
  </si>
  <si>
    <t>Mini Burgers</t>
  </si>
  <si>
    <t>Burger Patty 80 Grs</t>
  </si>
  <si>
    <t>25-30</t>
  </si>
  <si>
    <t>30-35</t>
  </si>
  <si>
    <t>35-40</t>
  </si>
  <si>
    <t>Burger Bun</t>
  </si>
  <si>
    <t>Tomato Sauce</t>
  </si>
  <si>
    <t xml:space="preserve">STARTERS FOOD COST                </t>
  </si>
  <si>
    <t>Rice</t>
  </si>
  <si>
    <t>French Fries Large</t>
  </si>
  <si>
    <t>Magi Cubes</t>
  </si>
  <si>
    <t xml:space="preserve">Carrots </t>
  </si>
  <si>
    <t>Sauce</t>
  </si>
  <si>
    <t>Bay leaves</t>
  </si>
  <si>
    <t>Kids  Meal Nuggets</t>
  </si>
  <si>
    <t>BBq Sauce</t>
  </si>
  <si>
    <t>Nuggets 6 Pcs 17.5 Grs</t>
  </si>
  <si>
    <t>Nuggets 5 Pcs 17.5 Grs</t>
  </si>
  <si>
    <t>Chicken &amp; CHicken</t>
  </si>
  <si>
    <t>Meat and Rice</t>
  </si>
  <si>
    <t>Mr Juicy</t>
  </si>
  <si>
    <t>Toy</t>
  </si>
  <si>
    <t>Meat Filet</t>
  </si>
  <si>
    <t>Fresh Mushrooms</t>
  </si>
  <si>
    <t xml:space="preserve">MAINS FOOD COST                </t>
  </si>
  <si>
    <t xml:space="preserve">   </t>
  </si>
  <si>
    <t>Escalope</t>
  </si>
  <si>
    <t>Ciabatta Bread</t>
  </si>
  <si>
    <t>Beef</t>
  </si>
  <si>
    <t>Meal box</t>
  </si>
  <si>
    <t>Chicken Crispy and Rice</t>
  </si>
  <si>
    <t>Honey Mustard Sauce</t>
  </si>
  <si>
    <t>Breading</t>
  </si>
  <si>
    <t>Breaded</t>
  </si>
  <si>
    <t>Tortilla Bread</t>
  </si>
  <si>
    <t>Wings</t>
  </si>
  <si>
    <t>Cheddar Cheese</t>
  </si>
  <si>
    <t>Sour Cream Sauce</t>
  </si>
  <si>
    <t>BBQ Sauce</t>
  </si>
  <si>
    <t>Mexican Sauce</t>
  </si>
  <si>
    <t>Buffalo Sauce</t>
  </si>
  <si>
    <t>Grilled Chicken Mushrooms</t>
  </si>
  <si>
    <t xml:space="preserve">FOUL &amp; HOMMOS FOOD COST                </t>
  </si>
  <si>
    <t>Mozzarella Sticks</t>
  </si>
  <si>
    <t>Foul</t>
  </si>
  <si>
    <t>Veggie Plate</t>
  </si>
  <si>
    <t>Mozzarella Block</t>
  </si>
  <si>
    <t>Foul and Hommos</t>
  </si>
  <si>
    <t xml:space="preserve">PIZZA FOOD COST                </t>
  </si>
  <si>
    <t>Olives</t>
  </si>
  <si>
    <t>Garlic Paste</t>
  </si>
  <si>
    <t>Cucumber</t>
  </si>
  <si>
    <t>Arabic Bread</t>
  </si>
  <si>
    <t>Chili Paste</t>
  </si>
  <si>
    <t xml:space="preserve">Mint </t>
  </si>
  <si>
    <t>Raddish</t>
  </si>
  <si>
    <t xml:space="preserve"> Nachos</t>
  </si>
  <si>
    <t>Mushrooms</t>
  </si>
  <si>
    <t>Fateh bi Laban</t>
  </si>
  <si>
    <t>Balila</t>
  </si>
  <si>
    <t>Black Olives</t>
  </si>
  <si>
    <t>Steak</t>
  </si>
  <si>
    <t>Laban</t>
  </si>
  <si>
    <t xml:space="preserve">Vegetarien </t>
  </si>
  <si>
    <t>Veggies Plate</t>
  </si>
  <si>
    <t>Beef Filet</t>
  </si>
  <si>
    <t>Skillet Tender</t>
  </si>
  <si>
    <t>Pro's Combo L</t>
  </si>
  <si>
    <t>Bell Peppers</t>
  </si>
  <si>
    <t>Cheese Plate</t>
  </si>
  <si>
    <t>Sweet Corn</t>
  </si>
  <si>
    <t>Twister Fries</t>
  </si>
  <si>
    <t>Tortilla Flour Bread</t>
  </si>
  <si>
    <t>Cheddar Shredded</t>
  </si>
  <si>
    <t>Crab Claws</t>
  </si>
  <si>
    <t>Calamari Rings</t>
  </si>
  <si>
    <t>Jaddal</t>
  </si>
  <si>
    <t>Cocktails Sauce</t>
  </si>
  <si>
    <t>Mechalal</t>
  </si>
  <si>
    <t>Halloum Roll</t>
  </si>
  <si>
    <t xml:space="preserve">Sundried Tomato </t>
  </si>
  <si>
    <t>Makdous</t>
  </si>
  <si>
    <t>Nabelsiyeh</t>
  </si>
  <si>
    <t>Beef Fajita</t>
  </si>
  <si>
    <t>Quesadillas Chicken Current</t>
  </si>
  <si>
    <t>Pro's Combo S</t>
  </si>
  <si>
    <t>Tortilla 10" Soft</t>
  </si>
  <si>
    <t>Filet Beef 4/5</t>
  </si>
  <si>
    <t>Rocket Leaves</t>
  </si>
  <si>
    <t>Shrimps 21/25</t>
  </si>
  <si>
    <t>Gaucamole Sauce</t>
  </si>
  <si>
    <t>Truffle Cheese Rocket</t>
  </si>
  <si>
    <t>Pesto Shrimps</t>
  </si>
  <si>
    <t>Fries and Truffle</t>
  </si>
  <si>
    <t>Truffle Sauce</t>
  </si>
  <si>
    <t xml:space="preserve">SALADS FOOD COST                </t>
  </si>
  <si>
    <t>Shrimps</t>
  </si>
  <si>
    <t>Dynamite Sauce</t>
  </si>
  <si>
    <t>Fetta Cheese</t>
  </si>
  <si>
    <t>Lemon Mustard Sauce</t>
  </si>
  <si>
    <t xml:space="preserve">Alfredo </t>
  </si>
  <si>
    <t>Goat Cheese</t>
  </si>
  <si>
    <t>Smoked Turkey</t>
  </si>
  <si>
    <t>Walnuts</t>
  </si>
  <si>
    <t>Pomegranate</t>
  </si>
  <si>
    <t>Rocca Leaves</t>
  </si>
  <si>
    <t xml:space="preserve">Parmesan </t>
  </si>
  <si>
    <t>Tagliatelle pasta</t>
  </si>
  <si>
    <t>Sauce Alfredo</t>
  </si>
  <si>
    <t>Olives Slices</t>
  </si>
  <si>
    <t>Fresh Mint</t>
  </si>
  <si>
    <t>Emmental Cheese</t>
  </si>
  <si>
    <t>Caesar Chicken</t>
  </si>
  <si>
    <t>Salmon Filleh MC R</t>
  </si>
  <si>
    <t>Herb Gravy Beef</t>
  </si>
  <si>
    <t>Homemade Truffle Wedges</t>
  </si>
  <si>
    <t>Salmon</t>
  </si>
  <si>
    <t>Shrimps Pesto</t>
  </si>
  <si>
    <t>Salmon Fileh</t>
  </si>
  <si>
    <t>Beef Filleh</t>
  </si>
  <si>
    <t>Potato Fresh</t>
  </si>
  <si>
    <t>Fresh Potato</t>
  </si>
  <si>
    <t>Truffle Mayo Sauce</t>
  </si>
  <si>
    <t>Jalapenos</t>
  </si>
  <si>
    <t>Alfredo Sauce</t>
  </si>
  <si>
    <t>Broccoli</t>
  </si>
  <si>
    <t>Zucchini</t>
  </si>
  <si>
    <t>Truffle Paste</t>
  </si>
  <si>
    <t>Dill Fresh</t>
  </si>
  <si>
    <t>Truffle Oil</t>
  </si>
  <si>
    <t>Herb Gravy</t>
  </si>
  <si>
    <t>Dill Sauce</t>
  </si>
  <si>
    <t>Smoked Salmon</t>
  </si>
  <si>
    <t>Baby Rocca</t>
  </si>
  <si>
    <t>Capers</t>
  </si>
  <si>
    <t xml:space="preserve">Fit Fig Bowl </t>
  </si>
  <si>
    <t>Tuna Can</t>
  </si>
  <si>
    <t>Halloumi Cheese</t>
  </si>
  <si>
    <t>Fusilli Pasta</t>
  </si>
  <si>
    <t>Lettuce Sucrine</t>
  </si>
  <si>
    <t>Escalope Butterfly</t>
  </si>
  <si>
    <t>Lettuce</t>
  </si>
  <si>
    <t>Criss Cut Fries</t>
  </si>
  <si>
    <t>Dry Figs</t>
  </si>
  <si>
    <t>Frikeh Grain</t>
  </si>
  <si>
    <t>Wallnuts</t>
  </si>
  <si>
    <t>Ceasar Side</t>
  </si>
  <si>
    <t>Crab</t>
  </si>
  <si>
    <t>Twister Truffle</t>
  </si>
  <si>
    <t xml:space="preserve">HALF SALADS FOOD COST                </t>
  </si>
  <si>
    <t>Crab Sticks</t>
  </si>
  <si>
    <t>Wedges Fries</t>
  </si>
  <si>
    <t>Orange</t>
  </si>
  <si>
    <t xml:space="preserve">Tortilla </t>
  </si>
  <si>
    <t>Ranch Sauce</t>
  </si>
  <si>
    <t>Carrots Shredded</t>
  </si>
  <si>
    <t>Shrimps 6/8</t>
  </si>
  <si>
    <t>Mashed Poato</t>
  </si>
  <si>
    <t>Sucree</t>
  </si>
  <si>
    <t>Side Salad</t>
  </si>
  <si>
    <t>Cajun Kale Chicken</t>
  </si>
  <si>
    <t>Seafood basket</t>
  </si>
  <si>
    <t>SPIN DIP</t>
  </si>
  <si>
    <t>Kale</t>
  </si>
  <si>
    <t>Beetroots</t>
  </si>
  <si>
    <t>Shrimps Panne</t>
  </si>
  <si>
    <t>Pomgranette</t>
  </si>
  <si>
    <t>Entree Cote</t>
  </si>
  <si>
    <t>Cranberry Seeds</t>
  </si>
  <si>
    <t>Sunflower Seeds</t>
  </si>
  <si>
    <t>Cherry Tomatoes</t>
  </si>
  <si>
    <t>Figs</t>
  </si>
  <si>
    <t>Honey Lemon Sauce</t>
  </si>
  <si>
    <t>Filet 4/5</t>
  </si>
  <si>
    <t>Entree Coute</t>
  </si>
  <si>
    <t>Swiss Cheese</t>
  </si>
  <si>
    <t>Pasta Fetta</t>
  </si>
  <si>
    <t>Quesadillas Chicken NEW</t>
  </si>
  <si>
    <t>Black Beans</t>
  </si>
  <si>
    <t>Mixed Fajita</t>
  </si>
  <si>
    <t>Red Onions</t>
  </si>
  <si>
    <t>Baguette White</t>
  </si>
  <si>
    <t>Beef Steak</t>
  </si>
  <si>
    <t>Quesaduillas Mix</t>
  </si>
  <si>
    <t>Avocado Sauce</t>
  </si>
  <si>
    <t>Iceburg</t>
  </si>
  <si>
    <t>Pros Salad</t>
  </si>
  <si>
    <t>Truffle Puttin</t>
  </si>
  <si>
    <t>Dehydrated Fruits</t>
  </si>
  <si>
    <t xml:space="preserve">Mozzarella </t>
  </si>
  <si>
    <t xml:space="preserve">MANAKISH FOOD COST                </t>
  </si>
  <si>
    <t>Cajun Kale Shrimps</t>
  </si>
  <si>
    <t xml:space="preserve">Cobb </t>
  </si>
  <si>
    <t>Cheese + Zaatar</t>
  </si>
  <si>
    <t>Cheddar</t>
  </si>
  <si>
    <t>Turkey Bacon</t>
  </si>
  <si>
    <t xml:space="preserve">Avocado </t>
  </si>
  <si>
    <t>Ranch Suace</t>
  </si>
  <si>
    <t>Quinoa Salmon</t>
  </si>
  <si>
    <t>Quinoa White</t>
  </si>
  <si>
    <t>Freekeh</t>
  </si>
  <si>
    <t>Sucrine Lettuce</t>
  </si>
  <si>
    <t xml:space="preserve">LENT  FOOD COST                </t>
  </si>
  <si>
    <t>Fried Platter</t>
  </si>
  <si>
    <t>Bresaola</t>
  </si>
  <si>
    <t>Pesto Salad R</t>
  </si>
  <si>
    <t>BRESAOLA</t>
  </si>
  <si>
    <t>Fussili Pasta</t>
  </si>
  <si>
    <t>Cauliflower</t>
  </si>
  <si>
    <t>Kafta</t>
  </si>
  <si>
    <t>Ciabatta Brown</t>
  </si>
  <si>
    <t>Mint Leaves</t>
  </si>
  <si>
    <t xml:space="preserve">Turkey </t>
  </si>
  <si>
    <t>Lemon Mustard Dressing</t>
  </si>
  <si>
    <t>Black Olives Slices</t>
  </si>
  <si>
    <t>Arugula</t>
  </si>
  <si>
    <t>Balsamic Glaze</t>
  </si>
  <si>
    <t>Fresh Mozzarela</t>
  </si>
  <si>
    <t>Hinidbi</t>
  </si>
  <si>
    <t xml:space="preserve">Tomato </t>
  </si>
  <si>
    <t>Rocket Beetroots</t>
  </si>
  <si>
    <t>Orange Segments</t>
  </si>
  <si>
    <t>Hindbi</t>
  </si>
  <si>
    <t>Blue Cheese</t>
  </si>
  <si>
    <t>Dry Cranberries</t>
  </si>
  <si>
    <t>Honey Citrus Sauce</t>
  </si>
  <si>
    <t>Soujok Cheese Dough</t>
  </si>
  <si>
    <t>Salmon Quinoa</t>
  </si>
  <si>
    <t>Lolo Rosso</t>
  </si>
  <si>
    <t>White Cabbage</t>
  </si>
  <si>
    <t>Quinao</t>
  </si>
  <si>
    <t>Cucumbers</t>
  </si>
  <si>
    <t xml:space="preserve">Smoked Salmon </t>
  </si>
  <si>
    <t>Peanut Butter Sauce</t>
  </si>
  <si>
    <t>Edamame</t>
  </si>
  <si>
    <t>Seasme Seeds</t>
  </si>
  <si>
    <t>Tuna Sand</t>
  </si>
  <si>
    <t>Fish Burger</t>
  </si>
  <si>
    <t>Halloumi Brown C</t>
  </si>
  <si>
    <t>Tuna</t>
  </si>
  <si>
    <t>Lolo Mix</t>
  </si>
  <si>
    <t>Fish Filet</t>
  </si>
  <si>
    <t>Walntus</t>
  </si>
  <si>
    <t>Burger Bun Brown</t>
  </si>
  <si>
    <t>Lemon Segments</t>
  </si>
  <si>
    <t>Cranberries</t>
  </si>
  <si>
    <t>Raisens</t>
  </si>
  <si>
    <t>Capres</t>
  </si>
  <si>
    <t>Apple</t>
  </si>
  <si>
    <t>Sauce Balsamic</t>
  </si>
  <si>
    <t>Lahme Mix</t>
  </si>
  <si>
    <t xml:space="preserve">Pickles </t>
  </si>
  <si>
    <t>Brown Ciabatta</t>
  </si>
  <si>
    <t>Tartar Sauce</t>
  </si>
  <si>
    <t>Fish and Chips</t>
  </si>
  <si>
    <t>Cauliflower Burger</t>
  </si>
  <si>
    <t xml:space="preserve">SANDWICHES FOOD COST                </t>
  </si>
  <si>
    <t xml:space="preserve">Cauliflower </t>
  </si>
  <si>
    <t>Lemon Garlic Sauce</t>
  </si>
  <si>
    <t>Halloumi White C</t>
  </si>
  <si>
    <t>Tahine</t>
  </si>
  <si>
    <t>Submarine Bread</t>
  </si>
  <si>
    <t>Sundries Tomato</t>
  </si>
  <si>
    <t>White Ciabatta</t>
  </si>
  <si>
    <t>`</t>
  </si>
  <si>
    <t>Grilled Veggie Sand</t>
  </si>
  <si>
    <t>Quinoa Shrimps Salad</t>
  </si>
  <si>
    <t>California Chicken</t>
  </si>
  <si>
    <t>Chicken Honey Mustard</t>
  </si>
  <si>
    <t>Zucccini</t>
  </si>
  <si>
    <t>Ciabatta Brown Bread</t>
  </si>
  <si>
    <t>Halloumi Grilled Plate</t>
  </si>
  <si>
    <t>Halloumi White B</t>
  </si>
  <si>
    <t xml:space="preserve">Lettuce </t>
  </si>
  <si>
    <t>Shortenting Oil</t>
  </si>
  <si>
    <t>Baguette</t>
  </si>
  <si>
    <t>Bizreh</t>
  </si>
  <si>
    <t xml:space="preserve">Taouk </t>
  </si>
  <si>
    <t>Dibes Roman</t>
  </si>
  <si>
    <t>Mint</t>
  </si>
  <si>
    <t>Pain De Mie</t>
  </si>
  <si>
    <t xml:space="preserve">Garlic </t>
  </si>
  <si>
    <t>Sucrine</t>
  </si>
  <si>
    <t>Mayo</t>
  </si>
  <si>
    <t>Fresh Dill</t>
  </si>
  <si>
    <t xml:space="preserve">PASTA FOOD COST                </t>
  </si>
  <si>
    <t xml:space="preserve">Crab </t>
  </si>
  <si>
    <t>Turkey Cheese W</t>
  </si>
  <si>
    <t>White Sauce</t>
  </si>
  <si>
    <t>Argulla</t>
  </si>
  <si>
    <t>Buffalo Wings Sauce</t>
  </si>
  <si>
    <t>Parsely</t>
  </si>
  <si>
    <t>Fajita Pro's</t>
  </si>
  <si>
    <t xml:space="preserve">Tagliatelle Al Pollo </t>
  </si>
  <si>
    <t>Sumbarine Bread</t>
  </si>
  <si>
    <t>Argula Leaves</t>
  </si>
  <si>
    <t>Cavatapi Pasta</t>
  </si>
  <si>
    <t>Creamy Cheese</t>
  </si>
  <si>
    <t>Turkey Cheese B</t>
  </si>
  <si>
    <t>Mozzarela Cheese</t>
  </si>
  <si>
    <t>Garlic Butter Bread</t>
  </si>
  <si>
    <t>Chicken Teryaki</t>
  </si>
  <si>
    <t xml:space="preserve">LEBANESE FOOD COST                </t>
  </si>
  <si>
    <t>Bolognese</t>
  </si>
  <si>
    <t>Linguine Pasta</t>
  </si>
  <si>
    <t>Meat</t>
  </si>
  <si>
    <t>Tomatos</t>
  </si>
  <si>
    <t>Borghoul</t>
  </si>
  <si>
    <t>Pesto Pasta</t>
  </si>
  <si>
    <t>Chicken Pesto Pasta</t>
  </si>
  <si>
    <t>Mint Fresh</t>
  </si>
  <si>
    <t>Labneh w Zaatar</t>
  </si>
  <si>
    <t>Molasses</t>
  </si>
  <si>
    <t>Bakleeh</t>
  </si>
  <si>
    <t>Soumak</t>
  </si>
  <si>
    <t>Penne pasta</t>
  </si>
  <si>
    <t>Bread Campgain</t>
  </si>
  <si>
    <t>Cheedar Cheese</t>
  </si>
  <si>
    <t>Maknek</t>
  </si>
  <si>
    <t>Truffle Pasta</t>
  </si>
  <si>
    <t>Salmon Pasta</t>
  </si>
  <si>
    <t>Salmon Mille-feuille R</t>
  </si>
  <si>
    <t>Cavatapi pasta</t>
  </si>
  <si>
    <t>Baguette Bread</t>
  </si>
  <si>
    <t>Steak Strips</t>
  </si>
  <si>
    <t>Puff Pastry</t>
  </si>
  <si>
    <t>Lemon Fresh</t>
  </si>
  <si>
    <t>Fresh Fries</t>
  </si>
  <si>
    <t>Halloumi  Pesto Brown C</t>
  </si>
  <si>
    <t>Creamy Truffle</t>
  </si>
  <si>
    <t>Breakfast Combo I</t>
  </si>
  <si>
    <t>Bais Rose</t>
  </si>
  <si>
    <t>Nabolsiye Cheese</t>
  </si>
  <si>
    <t>Labneh Plate</t>
  </si>
  <si>
    <t>Boneless Chicken</t>
  </si>
  <si>
    <t>BBQ Bloom</t>
  </si>
  <si>
    <t>Goat Mille-feuille R</t>
  </si>
  <si>
    <t xml:space="preserve">Labneh </t>
  </si>
  <si>
    <t>Fetta Rounds</t>
  </si>
  <si>
    <t>Vegetables</t>
  </si>
  <si>
    <t>Bacon</t>
  </si>
  <si>
    <t xml:space="preserve">BURGERS 90 GRS FOOD COST                </t>
  </si>
  <si>
    <t>Sundried Tomatoes</t>
  </si>
  <si>
    <t>Quinoa Black</t>
  </si>
  <si>
    <t>Olive Black Whole</t>
  </si>
  <si>
    <t>Balsamic Dressing</t>
  </si>
  <si>
    <t>Hommos Paste</t>
  </si>
  <si>
    <t xml:space="preserve">Classic </t>
  </si>
  <si>
    <t>Breakfast Combo II</t>
  </si>
  <si>
    <t>Steak Sandwich NEW</t>
  </si>
  <si>
    <t>Meat Patty 90</t>
  </si>
  <si>
    <t>Chicken Pesto Sand</t>
  </si>
  <si>
    <t>Mini Burger Bun</t>
  </si>
  <si>
    <t>Filet Steak 150g</t>
  </si>
  <si>
    <t>Batata Hara</t>
  </si>
  <si>
    <t>Red cabbage 60g</t>
  </si>
  <si>
    <t>Baby Rocca 10</t>
  </si>
  <si>
    <t>Cheddar Slice Pcs</t>
  </si>
  <si>
    <t>Zaatar &amp; Cheese Manakish</t>
  </si>
  <si>
    <t>Carrot 20g</t>
  </si>
  <si>
    <t xml:space="preserve">Mozzarella Sticks </t>
  </si>
  <si>
    <t>Red Onions 20g</t>
  </si>
  <si>
    <t>Olive oil 3g</t>
  </si>
  <si>
    <t>Mayonnaise 20g</t>
  </si>
  <si>
    <t xml:space="preserve">Mayonnaise  </t>
  </si>
  <si>
    <t>Soya sauce 5g</t>
  </si>
  <si>
    <t>French fries 200g</t>
  </si>
  <si>
    <t>Apple juice 10g</t>
  </si>
  <si>
    <t>Sesame seeds 3g</t>
  </si>
  <si>
    <t>Salt 1g</t>
  </si>
  <si>
    <t>Black pepper 1g</t>
  </si>
  <si>
    <t>Ciabatta bread 1</t>
  </si>
  <si>
    <t>Chickcen Club Sandwich</t>
  </si>
  <si>
    <t>Mozzarella Breaded</t>
  </si>
  <si>
    <t>Cavatapi</t>
  </si>
  <si>
    <t>Melted Cheddar</t>
  </si>
  <si>
    <t>Lolo Verde</t>
  </si>
  <si>
    <t>Lemon Mayo Sauce</t>
  </si>
  <si>
    <t xml:space="preserve">WRAP FOOD COST                </t>
  </si>
  <si>
    <t xml:space="preserve">Pro's </t>
  </si>
  <si>
    <t>Hommos Rass Asfour</t>
  </si>
  <si>
    <t>Escalope Chicken</t>
  </si>
  <si>
    <t>Lahme Rass Asfour</t>
  </si>
  <si>
    <t>Onion Ring</t>
  </si>
  <si>
    <t xml:space="preserve">DESSERTS FOOD COST                </t>
  </si>
  <si>
    <t>Fondant Classic</t>
  </si>
  <si>
    <t>Chubby Crepe</t>
  </si>
  <si>
    <t>Swiss Mushrooms</t>
  </si>
  <si>
    <t>Volcano</t>
  </si>
  <si>
    <t>Mayo Chili</t>
  </si>
  <si>
    <t>Mayo Garlic</t>
  </si>
  <si>
    <t>Ice Cream 2 Scoops</t>
  </si>
  <si>
    <t>Chocolate Spread</t>
  </si>
  <si>
    <t xml:space="preserve">Iceberg </t>
  </si>
  <si>
    <t>HOOKA FOOD COST                           USD RATE</t>
  </si>
  <si>
    <t>Banana</t>
  </si>
  <si>
    <t>Buffalo sauce</t>
  </si>
  <si>
    <t>TWO APPLES</t>
  </si>
  <si>
    <t>MINT LEMON</t>
  </si>
  <si>
    <t>PLASTIC HOSE</t>
  </si>
  <si>
    <t>Steak Wrap</t>
  </si>
  <si>
    <t>Tobacco Rass</t>
  </si>
  <si>
    <t>Tobbaco Rass</t>
  </si>
  <si>
    <t>Truffle Burger</t>
  </si>
  <si>
    <t>Nachos</t>
  </si>
  <si>
    <t>Ice Cream Cup</t>
  </si>
  <si>
    <t>Coal</t>
  </si>
  <si>
    <t>Ice Cream Scoop</t>
  </si>
  <si>
    <t>Plastic Hoses</t>
  </si>
  <si>
    <t>Sanita</t>
  </si>
  <si>
    <t>Tips</t>
  </si>
  <si>
    <t>Ice Cream Scoop 80 Grs</t>
  </si>
  <si>
    <t>Cheddar Sauce</t>
  </si>
  <si>
    <t>$</t>
  </si>
  <si>
    <t>Nakhle 2 Apples</t>
  </si>
  <si>
    <t>2 Apples</t>
  </si>
  <si>
    <t>EXOTIC</t>
  </si>
  <si>
    <t>Mint &amp; Lemon</t>
  </si>
  <si>
    <t xml:space="preserve">Waffle Sugar </t>
  </si>
  <si>
    <t>Tape</t>
  </si>
  <si>
    <t xml:space="preserve">Rubber </t>
  </si>
  <si>
    <t>Briskit Burger</t>
  </si>
  <si>
    <t>Soujok Cheese Wrap</t>
  </si>
  <si>
    <t>Veggie Wrap</t>
  </si>
  <si>
    <t>Sugar Topping</t>
  </si>
  <si>
    <t>Briskit Patty</t>
  </si>
  <si>
    <t>Cocktail  Sauce</t>
  </si>
  <si>
    <t>Kinder  Crepe</t>
  </si>
  <si>
    <t>Nutella Crepe</t>
  </si>
  <si>
    <t>Curry</t>
  </si>
  <si>
    <t>Nutella Spread</t>
  </si>
  <si>
    <t>Chicken Pesto Burger</t>
  </si>
  <si>
    <t>Bruger Bun</t>
  </si>
  <si>
    <t>Date</t>
  </si>
  <si>
    <t>Buy USD</t>
  </si>
  <si>
    <t>Sell USD</t>
  </si>
  <si>
    <t>Column1</t>
  </si>
  <si>
    <t>Column2</t>
  </si>
  <si>
    <t>89,700 LBP</t>
  </si>
  <si>
    <t>89,400 LBP</t>
  </si>
  <si>
    <t>Sale</t>
  </si>
  <si>
    <t>Chicken Qty</t>
  </si>
  <si>
    <t>Total Chicken</t>
  </si>
  <si>
    <t>Meat Qty</t>
  </si>
  <si>
    <t>Total Meat</t>
  </si>
  <si>
    <t>Moz. Cheese Qty</t>
  </si>
  <si>
    <t>Total Moz</t>
  </si>
  <si>
    <t>Sub Qty</t>
  </si>
  <si>
    <t>Total Sub</t>
  </si>
  <si>
    <t>Ciab / BUR</t>
  </si>
  <si>
    <t>Total Ciab/BUR</t>
  </si>
  <si>
    <t>Fries Qty</t>
  </si>
  <si>
    <t>T Fries</t>
  </si>
  <si>
    <t>Ched. Qty</t>
  </si>
  <si>
    <t>T Cheddar</t>
  </si>
  <si>
    <t>MOZ B Qty</t>
  </si>
  <si>
    <t>T MOZ B</t>
  </si>
  <si>
    <t>EMM. Qty</t>
  </si>
  <si>
    <t>T Emm</t>
  </si>
  <si>
    <t>PAR Qty</t>
  </si>
  <si>
    <t>T PAR</t>
  </si>
  <si>
    <t>Cheese Cake Chocolate</t>
  </si>
  <si>
    <t>Othmaliye Ice Cream</t>
  </si>
  <si>
    <t>Total Rev.</t>
  </si>
  <si>
    <t>Total Profit</t>
  </si>
  <si>
    <t>Food Cost %</t>
  </si>
  <si>
    <t>Avg. Profit</t>
  </si>
  <si>
    <t>Menu Popularity 80%</t>
  </si>
  <si>
    <t>Jan - June 22</t>
  </si>
  <si>
    <t>July - Dec 22</t>
  </si>
  <si>
    <t>Chocolate Melted</t>
  </si>
  <si>
    <t>Profit USD</t>
  </si>
  <si>
    <t>Othmaliyeh</t>
  </si>
  <si>
    <t>QTY</t>
  </si>
  <si>
    <t>% Sale</t>
  </si>
  <si>
    <t>Total % Sale</t>
  </si>
  <si>
    <t>Total Revenue</t>
  </si>
  <si>
    <t>Profit / Item</t>
  </si>
  <si>
    <t>Profit / Categ.</t>
  </si>
  <si>
    <t>Strawberry Fresh</t>
  </si>
  <si>
    <t>Pistachio</t>
  </si>
  <si>
    <t>Burgers</t>
  </si>
  <si>
    <t>Kale Shirmps</t>
  </si>
  <si>
    <t>Wraps</t>
  </si>
  <si>
    <t>Rocca Halloum</t>
  </si>
  <si>
    <t>c</t>
  </si>
  <si>
    <t>Brisket Burger</t>
  </si>
  <si>
    <t>Rice and Meet</t>
  </si>
  <si>
    <t>Lebanese 90</t>
  </si>
  <si>
    <t>Mac n Cheese 90</t>
  </si>
  <si>
    <t>Mozzarella 90</t>
  </si>
  <si>
    <t>Glazed Dynamite 90</t>
  </si>
  <si>
    <t>Pros</t>
  </si>
  <si>
    <t xml:space="preserve">Nacho </t>
  </si>
  <si>
    <t>NY CHEESE CAKE</t>
  </si>
  <si>
    <t>ESPRESSO ICE CREAM</t>
  </si>
  <si>
    <t>Cream cheese</t>
  </si>
  <si>
    <t>Espresso Pods</t>
  </si>
  <si>
    <t>Digestive</t>
  </si>
  <si>
    <t>Rice and Chicken</t>
  </si>
  <si>
    <t>Manhattan</t>
  </si>
  <si>
    <t>PANCAKE #1</t>
  </si>
  <si>
    <t>PANCAKE #2</t>
  </si>
  <si>
    <t>Pancake dough</t>
  </si>
  <si>
    <t>Strawberry</t>
  </si>
  <si>
    <t>Kiwi</t>
  </si>
  <si>
    <t>Manhattan Ranch</t>
  </si>
  <si>
    <t>Pistachio Paste</t>
  </si>
  <si>
    <t>Chocolate Melt</t>
  </si>
  <si>
    <t>Pistachio Syrup</t>
  </si>
  <si>
    <t>Campagne Chicken Bacon</t>
  </si>
  <si>
    <t>White Choco</t>
  </si>
  <si>
    <t>Pistachio Nuts</t>
  </si>
  <si>
    <t>Campagne Chicken BBQ]</t>
  </si>
  <si>
    <t>Blueberry</t>
  </si>
  <si>
    <t>Raspberry</t>
  </si>
  <si>
    <t>Red Current</t>
  </si>
  <si>
    <t>PANCAKE #3</t>
  </si>
  <si>
    <t>BROWNIE</t>
  </si>
  <si>
    <t>Vanilla Ice Cream</t>
  </si>
  <si>
    <t>Peanut Butter</t>
  </si>
  <si>
    <t>Purchases</t>
  </si>
  <si>
    <t>Sales</t>
  </si>
  <si>
    <t>Variance</t>
  </si>
  <si>
    <t>Stock on Hand</t>
  </si>
  <si>
    <t>Burger Buns</t>
  </si>
  <si>
    <t>Whipped Cream</t>
  </si>
  <si>
    <t>Mozzarella Block Pizza</t>
  </si>
  <si>
    <t>Tobacco</t>
  </si>
  <si>
    <t>Maraschino Cherry</t>
  </si>
  <si>
    <t>Dubai chocoate cake</t>
  </si>
  <si>
    <t xml:space="preserve">OP </t>
  </si>
  <si>
    <t>CL</t>
  </si>
  <si>
    <t>Balance</t>
  </si>
  <si>
    <t>Croissant PerDu</t>
  </si>
  <si>
    <t xml:space="preserve">Croissant </t>
  </si>
  <si>
    <t>Parmeson</t>
  </si>
  <si>
    <t>Twister</t>
  </si>
  <si>
    <t>Fries Add</t>
  </si>
  <si>
    <t>Mozz</t>
  </si>
  <si>
    <t xml:space="preserve">MIlkshake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</si>
</sst>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0">
    <numFmt numFmtId="164" formatCode="_(&quot;LB£&quot;* #,##0_);_(&quot;LB£&quot;* \(#,##0\);_(&quot;LB£&quot;* &quot;-&quot;_);_(@_)"/>
    <numFmt numFmtId="165" formatCode="#,##0\ [$LBP]"/>
    <numFmt numFmtId="166" formatCode="&quot;$&quot;#,##0.00"/>
    <numFmt numFmtId="167" formatCode="[$LBP]\ #,##0"/>
    <numFmt numFmtId="168" formatCode="_([$LBP]\ * #,##0_);_([$LBP]\ * \(#,##0\);_([$LBP]\ * &quot;-&quot;_);_(@_)"/>
    <numFmt numFmtId="169" formatCode="[$LBP]\ #,##0.00"/>
    <numFmt numFmtId="170" formatCode="_(* #,##0_);_(* \(#,##0\);_(* &quot;-&quot;??_);_(@_)"/>
    <numFmt numFmtId="171" formatCode="_(&quot;$&quot;* #,##0_);_(&quot;$&quot;* \(#,##0\);_(&quot;$&quot;* &quot;-&quot;??_);_(@_)"/>
    <numFmt numFmtId="172" formatCode="#,##0.00_);\-#,##0.00"/>
    <numFmt numFmtId="173" formatCode="_(&quot;$&quot;* #,##0.00_);_(&quot;$&quot;* \(#,##0.00\);_(&quot;$&quot;* &quot;-&quot;??_);_(@_)"/>
    <numFmt numFmtId="174" formatCode="_-[$$-409]* #,##0.00_ ;_-[$$-409]* \-#,##0.00\ ;_-[$$-409]* &quot;-&quot;??_ ;_-@_ "/>
    <numFmt numFmtId="175" formatCode="[$LBP]\ #,##0.0"/>
    <numFmt numFmtId="176" formatCode="[$LBP]\ #,##0_);\([$LBP]\ #,##0\)"/>
    <numFmt numFmtId="177" formatCode="[$L£]#,##0"/>
    <numFmt numFmtId="178" formatCode="_(* #,##0.00_);_(* \(#,##0.00\);_(* &quot;-&quot;??_);_(@_)"/>
    <numFmt numFmtId="179" formatCode="[$$-409]#,##0.00"/>
    <numFmt numFmtId="180" formatCode="_-\$* #,##0.00_ ;_-\$* \-#,##0.00\ ;_-\$* &quot;-&quot;??_ ;_-@_ "/>
    <numFmt numFmtId="181" formatCode="_-%* 0.00_;"/>
    <numFmt numFmtId="182" formatCode="&quot;$&quot;#,##0"/>
    <numFmt numFmtId="183" formatCode="_([$LBP]\ * #,##0.00_);_([$LBP]\ * \(#,##0.00\);_([$LBP]\ * &quot;-&quot;_);_(@_)"/>
  </numFmts>
  <fonts count="47">
    <font>
      <sz val="11.0"/>
      <color rgb="FF000000"/>
      <name val="Arial"/>
      <scheme val="minor"/>
    </font>
    <font>
      <b/>
      <sz val="9.0"/>
      <color rgb="FF000000"/>
      <name val="Calibri"/>
    </font>
    <font>
      <b/>
      <sz val="11.0"/>
      <color theme="1"/>
      <name val="Calibri"/>
    </font>
    <font>
      <b/>
      <u/>
      <sz val="11.0"/>
      <color rgb="FFFFFFFF"/>
      <name val="Calibri"/>
    </font>
    <font>
      <sz val="11.0"/>
      <color rgb="FF000000"/>
      <name val="Calibri"/>
    </font>
    <font>
      <b/>
      <u/>
      <sz val="11.0"/>
      <color rgb="FFFFFFFF"/>
      <name val="Calibri"/>
    </font>
    <font>
      <b/>
      <u/>
      <sz val="11.0"/>
      <color rgb="FFFFFFFF"/>
      <name val="Calibri"/>
    </font>
    <font>
      <sz val="8.0"/>
      <color rgb="FF000000"/>
      <name val="Calibri"/>
    </font>
    <font>
      <b/>
      <sz val="8.0"/>
      <color rgb="FF000000"/>
      <name val="Calibri"/>
    </font>
    <font>
      <b/>
      <u/>
      <sz val="14.0"/>
      <color rgb="FF000000"/>
      <name val="Calibri"/>
    </font>
    <font>
      <sz val="11.0"/>
      <color rgb="FF1D1B10"/>
      <name val="Calibri"/>
    </font>
    <font>
      <b/>
      <sz val="11.0"/>
      <color rgb="FFFFFFFF"/>
      <name val="Calibri"/>
    </font>
    <font>
      <sz val="12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b/>
      <sz val="14.0"/>
      <color theme="1"/>
      <name val="Calibri"/>
    </font>
    <font>
      <sz val="12.0"/>
      <color rgb="FFFFFFFF"/>
      <name val="Calibri"/>
    </font>
    <font>
      <b/>
      <sz val="14.0"/>
      <color rgb="FFFFFFFF"/>
      <name val="Calibri"/>
    </font>
    <font>
      <sz val="12.0"/>
      <color rgb="FF000000"/>
      <name val="Calibri"/>
    </font>
    <font>
      <b/>
      <sz val="11.0"/>
      <color rgb="FFFF0000"/>
      <name val="Calibri"/>
    </font>
    <font>
      <color theme="1"/>
      <name val="Arial"/>
      <scheme val="minor"/>
    </font>
    <font>
      <sz val="12.0"/>
      <color rgb="FF1D1B10"/>
      <name val="Calibri"/>
    </font>
    <font>
      <sz val="11.0"/>
      <color rgb="FF000000"/>
      <name val="Helvetica Neue"/>
    </font>
    <font>
      <sz val="11.0"/>
      <color rgb="FFFF0000"/>
      <name val="Calibri"/>
    </font>
    <font>
      <b/>
      <sz val="12.0"/>
      <color theme="1"/>
      <name val="Calibri"/>
    </font>
    <font>
      <sz val="11.0"/>
      <color theme="1"/>
      <name val="Helvetica Neue"/>
    </font>
    <font>
      <sz val="13.0"/>
      <color theme="1"/>
      <name val="Calibri"/>
    </font>
    <font>
      <b/>
      <u/>
      <sz val="11.0"/>
      <color theme="1"/>
      <name val="Calibri"/>
    </font>
    <font>
      <color theme="1"/>
      <name val="Calibri"/>
    </font>
    <font>
      <sz val="13.0"/>
      <color rgb="FF000000"/>
      <name val="Calibri"/>
    </font>
    <font>
      <sz val="11.0"/>
      <color rgb="FF980000"/>
      <name val="Calibri"/>
    </font>
    <font>
      <b/>
      <sz val="11.0"/>
      <color rgb="FF000000"/>
      <name val="Helvetica Neue"/>
    </font>
    <font>
      <b/>
      <color theme="1"/>
      <name val="Arial"/>
      <scheme val="minor"/>
    </font>
    <font>
      <b/>
      <sz val="11.0"/>
      <color rgb="FF980000"/>
      <name val="Calibri"/>
    </font>
    <font>
      <b/>
      <sz val="22.0"/>
      <color rgb="FFFFFFFF"/>
      <name val="Calibri"/>
    </font>
    <font/>
    <font>
      <sz val="10.0"/>
      <color theme="1"/>
      <name val="Calibri"/>
    </font>
    <font>
      <sz val="10.0"/>
      <color theme="1"/>
      <name val="Arial"/>
    </font>
    <font>
      <b/>
      <sz val="10.0"/>
      <color theme="1"/>
      <name val="Calibri"/>
    </font>
    <font>
      <sz val="14.0"/>
      <color rgb="FFFFFFFF"/>
      <name val="Calibri"/>
    </font>
    <font>
      <b/>
      <sz val="12.0"/>
      <color rgb="FFFFFFFF"/>
      <name val="Calibri"/>
    </font>
    <font>
      <sz val="10.0"/>
      <color theme="1"/>
      <name val="Arial"/>
      <scheme val="minor"/>
    </font>
    <font>
      <sz val="14.0"/>
      <color rgb="FF00CCFF"/>
      <name val="Arial"/>
    </font>
    <font>
      <sz val="10.0"/>
      <color rgb="FFFF0000"/>
      <name val="Calibri"/>
    </font>
    <font>
      <sz val="12.0"/>
      <color rgb="FF434343"/>
      <name val="Calibri"/>
    </font>
    <font>
      <sz val="9.0"/>
      <color rgb="FF1155CC"/>
      <name val="&quot;Google Sans Mono&quot;"/>
    </font>
    <font>
      <b/>
      <sz val="11.0"/>
      <color rgb="FF95B3D7"/>
      <name val="Calibri"/>
    </font>
  </fonts>
  <fills count="32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E37878"/>
        <bgColor rgb="FFE37878"/>
      </patternFill>
    </fill>
    <fill>
      <patternFill patternType="solid">
        <fgColor rgb="FFFDE9D9"/>
        <bgColor rgb="FFFDE9D9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953734"/>
        <bgColor rgb="FF953734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95B3D7"/>
        <bgColor rgb="FF95B3D7"/>
      </patternFill>
    </fill>
    <fill>
      <patternFill patternType="solid">
        <fgColor rgb="FF70AD47"/>
        <bgColor rgb="FF70AD47"/>
      </patternFill>
    </fill>
    <fill>
      <patternFill patternType="solid">
        <fgColor rgb="FFF2F2F2"/>
        <bgColor rgb="FFF2F2F2"/>
      </patternFill>
    </fill>
    <fill>
      <patternFill patternType="solid">
        <fgColor rgb="FFBDD7EE"/>
        <bgColor rgb="FFBDD7EE"/>
      </patternFill>
    </fill>
    <fill>
      <patternFill patternType="solid">
        <fgColor rgb="FFB6DDE8"/>
        <bgColor rgb="FFB6DDE8"/>
      </patternFill>
    </fill>
    <fill>
      <patternFill patternType="solid">
        <fgColor rgb="FF5BB14D"/>
        <bgColor rgb="FF5BB14D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00B050"/>
        <bgColor rgb="FF00B050"/>
      </patternFill>
    </fill>
    <fill>
      <patternFill patternType="solid">
        <fgColor rgb="FFD6E3BC"/>
        <bgColor rgb="FFD6E3BC"/>
      </patternFill>
    </fill>
    <fill>
      <patternFill patternType="solid">
        <fgColor rgb="FF92D050"/>
        <bgColor rgb="FF92D050"/>
      </patternFill>
    </fill>
    <fill>
      <patternFill patternType="solid">
        <fgColor rgb="FFEAF1DD"/>
        <bgColor rgb="FFEAF1DD"/>
      </patternFill>
    </fill>
    <fill>
      <patternFill patternType="solid">
        <fgColor rgb="FFFFF2CC"/>
        <bgColor rgb="FFFFF2CC"/>
      </patternFill>
    </fill>
    <fill>
      <patternFill patternType="solid">
        <fgColor rgb="FFE36C09"/>
        <bgColor rgb="FFE36C09"/>
      </patternFill>
    </fill>
    <fill>
      <patternFill patternType="solid">
        <fgColor rgb="FFFF9900"/>
        <bgColor rgb="FFFF9900"/>
      </patternFill>
    </fill>
    <fill>
      <patternFill patternType="solid">
        <fgColor rgb="FFF4B084"/>
        <bgColor rgb="FFF4B084"/>
      </patternFill>
    </fill>
    <fill>
      <patternFill patternType="solid">
        <fgColor rgb="FF92CDDC"/>
        <bgColor rgb="FF92CDDC"/>
      </patternFill>
    </fill>
    <fill>
      <patternFill patternType="solid">
        <fgColor rgb="FFDAEEF3"/>
        <bgColor rgb="FFDAEEF3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</fills>
  <borders count="46">
    <border/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/>
      <bottom/>
    </border>
    <border>
      <left style="thick">
        <color rgb="FF000000"/>
      </left>
      <right/>
      <top/>
      <bottom/>
    </border>
    <border>
      <left style="thin">
        <color rgb="FF000000"/>
      </left>
    </border>
    <border>
      <left style="thick">
        <color rgb="FF000000"/>
      </left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right style="hair">
        <color rgb="FF969696"/>
      </right>
      <bottom style="hair">
        <color rgb="FF969696"/>
      </bottom>
    </border>
    <border>
      <left/>
      <right/>
      <top/>
      <bottom style="thin">
        <color rgb="FF000000"/>
      </bottom>
    </border>
    <border>
      <left style="hair">
        <color rgb="FF969696"/>
      </left>
      <bottom style="hair">
        <color rgb="FF969696"/>
      </bottom>
    </border>
    <border>
      <left style="thin">
        <color rgb="FF000000"/>
      </left>
      <bottom style="hair">
        <color rgb="FF969696"/>
      </bottom>
    </border>
    <border>
      <right style="thick">
        <color rgb="FF000000"/>
      </right>
      <bottom style="thin">
        <color rgb="FF000000"/>
      </bottom>
    </border>
    <border>
      <right style="hair">
        <color rgb="FF969696"/>
      </right>
      <top style="hair">
        <color rgb="FF969696"/>
      </top>
      <bottom style="hair">
        <color rgb="FF969696"/>
      </bottom>
    </border>
    <border>
      <left style="hair">
        <color rgb="FF969696"/>
      </left>
      <top style="hair">
        <color rgb="FF969696"/>
      </top>
      <bottom style="hair">
        <color rgb="FF969696"/>
      </bottom>
    </border>
    <border>
      <left style="thin">
        <color rgb="FF000000"/>
      </left>
      <top style="hair">
        <color rgb="FF969696"/>
      </top>
      <bottom style="hair">
        <color rgb="FF969696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hair">
        <color rgb="FF969696"/>
      </right>
      <top style="hair">
        <color rgb="FF969696"/>
      </top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hair">
        <color rgb="FF969696"/>
      </left>
      <top style="hair">
        <color rgb="FF969696"/>
      </top>
    </border>
    <border>
      <left/>
      <right/>
      <top style="thin">
        <color rgb="FF000000"/>
      </top>
      <bottom/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hair">
        <color rgb="FF969696"/>
      </left>
      <right/>
      <top/>
      <bottom style="hair">
        <color rgb="FF969696"/>
      </bottom>
    </border>
    <border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/>
      <top/>
      <bottom/>
    </border>
    <border>
      <top/>
      <bottom/>
    </border>
    <border>
      <left style="hair">
        <color rgb="FF969696"/>
      </left>
      <right style="hair">
        <color rgb="FF969696"/>
      </right>
      <bottom style="hair">
        <color rgb="FF969696"/>
      </bottom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</border>
    <border>
      <left style="hair">
        <color rgb="FF969696"/>
      </left>
      <right style="hair">
        <color rgb="FF969696"/>
      </right>
      <top style="hair">
        <color rgb="FF969696"/>
      </top>
    </border>
    <border>
      <left/>
      <right/>
      <top/>
    </border>
    <border>
      <left/>
      <right/>
    </border>
    <border>
      <top style="thin">
        <color rgb="FF000000"/>
      </top>
      <bottom style="double">
        <color rgb="FF000000"/>
      </bottom>
    </border>
    <border>
      <left/>
      <right style="hair">
        <color rgb="FF969696"/>
      </right>
      <top style="hair">
        <color rgb="FF969696"/>
      </top>
      <bottom style="hair">
        <color rgb="FF969696"/>
      </bottom>
    </border>
    <border>
      <left/>
      <right style="hair">
        <color rgb="FF969696"/>
      </right>
      <top/>
      <bottom style="hair">
        <color rgb="FF969696"/>
      </bottom>
    </border>
    <border>
      <left style="thick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5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left"/>
    </xf>
    <xf borderId="0" fillId="0" fontId="4" numFmtId="0" xfId="0" applyAlignment="1" applyFont="1">
      <alignment readingOrder="0" vertical="center"/>
    </xf>
    <xf borderId="1" fillId="3" fontId="5" numFmtId="164" xfId="0" applyAlignment="1" applyBorder="1" applyFill="1" applyFont="1" applyNumberFormat="1">
      <alignment horizontal="center" shrinkToFit="0" vertical="center" wrapText="1"/>
    </xf>
    <xf borderId="0" fillId="2" fontId="4" numFmtId="165" xfId="0" applyFill="1" applyFont="1" applyNumberFormat="1"/>
    <xf borderId="1" fillId="3" fontId="6" numFmtId="0" xfId="0" applyAlignment="1" applyBorder="1" applyFill="1" applyFont="1">
      <alignment horizontal="center" readingOrder="0" shrinkToFit="0" vertical="center" wrapText="1"/>
    </xf>
    <xf borderId="2" fillId="0" fontId="7" numFmtId="0" xfId="0" applyAlignment="1" applyBorder="1" applyFont="1">
      <alignment vertical="center"/>
    </xf>
    <xf borderId="2" fillId="0" fontId="7" numFmtId="0" xfId="0" applyAlignment="1" applyBorder="1" applyFont="1">
      <alignment horizontal="left" vertical="center"/>
    </xf>
    <xf borderId="2" fillId="0" fontId="8" numFmtId="0" xfId="0" applyAlignment="1" applyBorder="1" applyFont="1">
      <alignment vertical="center"/>
    </xf>
    <xf borderId="2" fillId="0" fontId="7" numFmtId="0" xfId="0" applyAlignment="1" applyBorder="1" applyFont="1">
      <alignment horizontal="center" vertical="center"/>
    </xf>
    <xf borderId="0" fillId="0" fontId="9" numFmtId="0" xfId="0" applyAlignment="1" applyFont="1">
      <alignment vertical="center"/>
    </xf>
    <xf borderId="1" fillId="4" fontId="4" numFmtId="0" xfId="0" applyAlignment="1" applyBorder="1" applyFill="1" applyFont="1">
      <alignment horizontal="center"/>
    </xf>
    <xf borderId="1" fillId="4" fontId="10" numFmtId="22" xfId="0" applyAlignment="1" applyBorder="1" applyFill="1" applyFont="1" applyNumberFormat="1">
      <alignment vertical="top"/>
    </xf>
    <xf borderId="1" fillId="2" fontId="4" numFmtId="165" xfId="0" applyBorder="1" applyFill="1" applyFont="1" applyNumberFormat="1"/>
    <xf borderId="1" fillId="4" fontId="10" numFmtId="0" xfId="0" applyAlignment="1" applyBorder="1" applyFill="1" applyFont="1">
      <alignment vertical="top"/>
    </xf>
    <xf borderId="1" fillId="4" fontId="10" numFmtId="164" xfId="0" applyAlignment="1" applyBorder="1" applyFill="1" applyFont="1" applyNumberFormat="1">
      <alignment vertical="top"/>
    </xf>
    <xf borderId="1" fillId="5" fontId="11" numFmtId="0" xfId="0" applyAlignment="1" applyBorder="1" applyFill="1" applyFont="1">
      <alignment horizontal="center" readingOrder="0" vertical="center"/>
    </xf>
    <xf borderId="1" fillId="4" fontId="10" numFmtId="0" xfId="0" applyAlignment="1" applyBorder="1" applyFill="1" applyFont="1">
      <alignment horizontal="center" vertical="top"/>
    </xf>
    <xf borderId="0" fillId="0" fontId="4" numFmtId="0" xfId="0" applyAlignment="1" applyFont="1">
      <alignment readingOrder="0"/>
    </xf>
    <xf borderId="1" fillId="4" fontId="10" numFmtId="0" xfId="0" applyAlignment="1" applyBorder="1" applyFill="1" applyFont="1">
      <alignment horizontal="left" vertical="top"/>
    </xf>
    <xf borderId="0" fillId="0" fontId="12" numFmtId="0" xfId="0" applyAlignment="1" applyFont="1">
      <alignment horizontal="left" vertical="center"/>
    </xf>
    <xf borderId="0" fillId="0" fontId="13" numFmtId="0" xfId="0" applyAlignment="1" applyFont="1">
      <alignment vertical="center"/>
    </xf>
    <xf borderId="1" fillId="4" fontId="14" numFmtId="0" xfId="0" applyAlignment="1" applyBorder="1" applyFill="1" applyFont="1">
      <alignment horizontal="center" vertical="top"/>
    </xf>
    <xf borderId="1" fillId="4" fontId="14" numFmtId="164" xfId="0" applyAlignment="1" applyBorder="1" applyFill="1" applyFont="1" applyNumberFormat="1">
      <alignment horizontal="center" vertical="top"/>
    </xf>
    <xf borderId="0" fillId="0" fontId="15" numFmtId="0" xfId="0" applyAlignment="1" applyFont="1">
      <alignment readingOrder="0" vertical="center"/>
    </xf>
    <xf borderId="0" fillId="0" fontId="15" numFmtId="0" xfId="0" applyAlignment="1" applyFont="1">
      <alignment vertical="center"/>
    </xf>
    <xf borderId="3" fillId="0" fontId="13" numFmtId="0" xfId="0" applyAlignment="1" applyBorder="1" applyFont="1">
      <alignment vertical="center"/>
    </xf>
    <xf borderId="1" fillId="2" fontId="2" numFmtId="165" xfId="0" applyAlignment="1" applyBorder="1" applyFill="1" applyFont="1" applyNumberFormat="1">
      <alignment horizontal="left"/>
    </xf>
    <xf borderId="3" fillId="4" fontId="4" numFmtId="0" xfId="0" applyAlignment="1" applyBorder="1" applyFill="1" applyFont="1">
      <alignment horizontal="center"/>
    </xf>
    <xf borderId="3" fillId="4" fontId="10" numFmtId="0" xfId="0" applyAlignment="1" applyBorder="1" applyFill="1" applyFont="1">
      <alignment horizontal="center" vertical="top"/>
    </xf>
    <xf borderId="0" fillId="0" fontId="4" numFmtId="0" xfId="0" applyFont="1"/>
    <xf borderId="3" fillId="0" fontId="14" numFmtId="166" xfId="0" applyAlignment="1" applyBorder="1" applyFont="1" applyNumberFormat="1">
      <alignment horizontal="center" readingOrder="0" vertical="top"/>
    </xf>
    <xf borderId="0" fillId="0" fontId="16" numFmtId="0" xfId="0" applyAlignment="1" applyFont="1">
      <alignment horizontal="left" vertical="center"/>
    </xf>
    <xf borderId="0" fillId="0" fontId="17" numFmtId="0" xfId="0" applyAlignment="1" applyFont="1">
      <alignment vertical="center"/>
    </xf>
    <xf borderId="1" fillId="2" fontId="2" numFmtId="3" xfId="0" applyAlignment="1" applyBorder="1" applyFill="1" applyFont="1" applyNumberFormat="1">
      <alignment horizontal="left"/>
    </xf>
    <xf borderId="3" fillId="0" fontId="14" numFmtId="167" xfId="0" applyAlignment="1" applyBorder="1" applyFont="1" applyNumberFormat="1">
      <alignment horizontal="center" vertical="top"/>
    </xf>
    <xf borderId="1" fillId="2" fontId="13" numFmtId="0" xfId="0" applyAlignment="1" applyBorder="1" applyFill="1" applyFont="1">
      <alignment horizontal="left" readingOrder="0"/>
    </xf>
    <xf borderId="1" fillId="2" fontId="13" numFmtId="0" xfId="0" applyAlignment="1" applyBorder="1" applyFill="1" applyFont="1">
      <alignment horizontal="left"/>
    </xf>
    <xf borderId="0" fillId="0" fontId="15" numFmtId="165" xfId="0" applyAlignment="1" applyFont="1" applyNumberFormat="1">
      <alignment vertical="center"/>
    </xf>
    <xf borderId="3" fillId="0" fontId="10" numFmtId="167" xfId="0" applyAlignment="1" applyBorder="1" applyFont="1" applyNumberFormat="1">
      <alignment horizontal="center" vertical="top"/>
    </xf>
    <xf borderId="4" fillId="2" fontId="13" numFmtId="0" xfId="0" applyAlignment="1" applyBorder="1" applyFill="1" applyFont="1">
      <alignment horizontal="left"/>
    </xf>
    <xf borderId="3" fillId="0" fontId="18" numFmtId="0" xfId="0" applyBorder="1" applyFont="1"/>
    <xf borderId="0" fillId="0" fontId="17" numFmtId="168" xfId="0" applyAlignment="1" applyFont="1" applyNumberFormat="1">
      <alignment vertical="center"/>
    </xf>
    <xf borderId="3" fillId="0" fontId="18" numFmtId="0" xfId="0" applyAlignment="1" applyBorder="1" applyFont="1">
      <alignment horizontal="left"/>
    </xf>
    <xf borderId="5" fillId="2" fontId="13" numFmtId="0" xfId="0" applyAlignment="1" applyBorder="1" applyFill="1" applyFont="1">
      <alignment horizontal="left"/>
    </xf>
    <xf borderId="3" fillId="0" fontId="4" numFmtId="0" xfId="0" applyAlignment="1" applyBorder="1" applyFont="1">
      <alignment readingOrder="0" vertical="center"/>
    </xf>
    <xf borderId="0" fillId="0" fontId="2" numFmtId="0" xfId="0" applyFont="1"/>
    <xf borderId="6" fillId="0" fontId="17" numFmtId="0" xfId="0" applyAlignment="1" applyBorder="1" applyFont="1">
      <alignment horizontal="center" vertical="center"/>
    </xf>
    <xf borderId="3" fillId="4" fontId="10" numFmtId="169" xfId="0" applyAlignment="1" applyBorder="1" applyFill="1" applyFont="1" applyNumberFormat="1">
      <alignment horizontal="center" vertical="top"/>
    </xf>
    <xf borderId="7" fillId="0" fontId="19" numFmtId="9" xfId="0" applyAlignment="1" applyBorder="1" applyFont="1" applyNumberFormat="1">
      <alignment horizontal="center" readingOrder="0"/>
    </xf>
    <xf borderId="1" fillId="6" fontId="14" numFmtId="0" xfId="0" applyAlignment="1" applyBorder="1" applyFill="1" applyFont="1">
      <alignment horizontal="left" vertical="center"/>
    </xf>
    <xf borderId="8" fillId="0" fontId="14" numFmtId="0" xfId="0" applyBorder="1" applyFont="1"/>
    <xf borderId="1" fillId="6" fontId="14" numFmtId="0" xfId="0" applyAlignment="1" applyBorder="1" applyFill="1" applyFont="1">
      <alignment vertical="center"/>
    </xf>
    <xf borderId="8" fillId="0" fontId="14" numFmtId="166" xfId="0" applyAlignment="1" applyBorder="1" applyFont="1" applyNumberFormat="1">
      <alignment readingOrder="0"/>
    </xf>
    <xf borderId="1" fillId="6" fontId="14" numFmtId="0" xfId="0" applyAlignment="1" applyBorder="1" applyFill="1" applyFont="1">
      <alignment horizontal="center" vertical="center"/>
    </xf>
    <xf borderId="3" fillId="4" fontId="10" numFmtId="0" xfId="0" applyAlignment="1" applyBorder="1" applyFill="1" applyFont="1">
      <alignment horizontal="center" readingOrder="0" vertical="top"/>
    </xf>
    <xf borderId="0" fillId="0" fontId="20" numFmtId="0" xfId="0" applyFont="1"/>
    <xf borderId="9" fillId="6" fontId="14" numFmtId="0" xfId="0" applyAlignment="1" applyBorder="1" applyFill="1" applyFont="1">
      <alignment horizontal="center" vertical="center"/>
    </xf>
    <xf borderId="10" fillId="0" fontId="14" numFmtId="0" xfId="0" applyAlignment="1" applyBorder="1" applyFont="1">
      <alignment horizontal="left" vertical="center"/>
    </xf>
    <xf borderId="8" fillId="0" fontId="14" numFmtId="167" xfId="0" applyAlignment="1" applyBorder="1" applyFont="1" applyNumberFormat="1">
      <alignment readingOrder="0"/>
    </xf>
    <xf borderId="3" fillId="0" fontId="14" numFmtId="166" xfId="0" applyAlignment="1" applyBorder="1" applyFont="1" applyNumberFormat="1">
      <alignment horizontal="center" vertical="top"/>
    </xf>
    <xf borderId="8" fillId="0" fontId="4" numFmtId="166" xfId="0" applyBorder="1" applyFont="1" applyNumberFormat="1"/>
    <xf borderId="3" fillId="4" fontId="4" numFmtId="0" xfId="0" applyAlignment="1" applyBorder="1" applyFill="1" applyFont="1">
      <alignment vertical="center"/>
    </xf>
    <xf borderId="11" fillId="0" fontId="4" numFmtId="167" xfId="0" applyBorder="1" applyFont="1" applyNumberFormat="1"/>
    <xf borderId="3" fillId="4" fontId="21" numFmtId="0" xfId="0" applyAlignment="1" applyBorder="1" applyFill="1" applyFont="1">
      <alignment horizontal="left" vertical="top"/>
    </xf>
    <xf borderId="12" fillId="0" fontId="14" numFmtId="167" xfId="0" applyAlignment="1" applyBorder="1" applyFont="1" applyNumberFormat="1">
      <alignment vertical="center"/>
    </xf>
    <xf borderId="12" fillId="0" fontId="14" numFmtId="0" xfId="0" applyAlignment="1" applyBorder="1" applyFont="1">
      <alignment vertical="center"/>
    </xf>
    <xf borderId="3" fillId="4" fontId="13" numFmtId="0" xfId="0" applyAlignment="1" applyBorder="1" applyFill="1" applyFont="1">
      <alignment vertical="center"/>
    </xf>
    <xf borderId="12" fillId="0" fontId="14" numFmtId="10" xfId="0" applyAlignment="1" applyBorder="1" applyFont="1" applyNumberFormat="1">
      <alignment vertical="center"/>
    </xf>
    <xf borderId="8" fillId="0" fontId="4" numFmtId="10" xfId="0" applyBorder="1" applyFont="1" applyNumberFormat="1"/>
    <xf borderId="13" fillId="0" fontId="14" numFmtId="167" xfId="0" applyAlignment="1" applyBorder="1" applyFont="1" applyNumberFormat="1">
      <alignment vertical="center"/>
    </xf>
    <xf borderId="6" fillId="0" fontId="22" numFmtId="0" xfId="0" applyBorder="1" applyFont="1"/>
    <xf borderId="14" fillId="0" fontId="4" numFmtId="167" xfId="0" applyBorder="1" applyFont="1" applyNumberFormat="1"/>
    <xf borderId="15" fillId="0" fontId="14" numFmtId="0" xfId="0" applyAlignment="1" applyBorder="1" applyFont="1">
      <alignment horizontal="left" vertical="center"/>
    </xf>
    <xf borderId="16" fillId="0" fontId="14" numFmtId="167" xfId="0" applyAlignment="1" applyBorder="1" applyFont="1" applyNumberFormat="1">
      <alignment vertical="center"/>
    </xf>
    <xf borderId="16" fillId="0" fontId="14" numFmtId="170" xfId="0" applyAlignment="1" applyBorder="1" applyFont="1" applyNumberFormat="1">
      <alignment vertical="center"/>
    </xf>
    <xf borderId="17" fillId="0" fontId="14" numFmtId="171" xfId="0" applyAlignment="1" applyBorder="1" applyFont="1" applyNumberFormat="1">
      <alignment readingOrder="0" vertical="center"/>
    </xf>
    <xf borderId="16" fillId="0" fontId="14" numFmtId="0" xfId="0" applyAlignment="1" applyBorder="1" applyFont="1">
      <alignment readingOrder="0" vertical="center"/>
    </xf>
    <xf borderId="3" fillId="4" fontId="4" numFmtId="0" xfId="0" applyAlignment="1" applyBorder="1" applyFill="1" applyFont="1">
      <alignment horizontal="center" readingOrder="0"/>
    </xf>
    <xf borderId="18" fillId="0" fontId="14" numFmtId="0" xfId="0" applyBorder="1" applyFont="1"/>
    <xf borderId="6" fillId="0" fontId="4" numFmtId="171" xfId="0" applyBorder="1" applyFont="1" applyNumberFormat="1"/>
    <xf borderId="19" fillId="0" fontId="4" numFmtId="167" xfId="0" applyBorder="1" applyFont="1" applyNumberFormat="1"/>
    <xf borderId="17" fillId="0" fontId="14" numFmtId="167" xfId="0" applyAlignment="1" applyBorder="1" applyFont="1" applyNumberFormat="1">
      <alignment vertical="center"/>
    </xf>
    <xf borderId="18" fillId="0" fontId="4" numFmtId="10" xfId="0" applyBorder="1" applyFont="1" applyNumberFormat="1"/>
    <xf borderId="3" fillId="0" fontId="4" numFmtId="0" xfId="0" applyAlignment="1" applyBorder="1" applyFont="1">
      <alignment vertical="center"/>
    </xf>
    <xf borderId="20" fillId="0" fontId="14" numFmtId="0" xfId="0" applyAlignment="1" applyBorder="1" applyFont="1">
      <alignment horizontal="left" vertical="center"/>
    </xf>
    <xf borderId="21" fillId="0" fontId="4" numFmtId="167" xfId="0" applyBorder="1" applyFont="1" applyNumberFormat="1"/>
    <xf borderId="22" fillId="0" fontId="14" numFmtId="167" xfId="0" applyAlignment="1" applyBorder="1" applyFont="1" applyNumberFormat="1">
      <alignment vertical="center"/>
    </xf>
    <xf borderId="22" fillId="0" fontId="23" numFmtId="0" xfId="0" applyAlignment="1" applyBorder="1" applyFont="1">
      <alignment vertical="center"/>
    </xf>
    <xf borderId="6" fillId="0" fontId="22" numFmtId="171" xfId="0" applyBorder="1" applyFont="1" applyNumberFormat="1"/>
    <xf borderId="3" fillId="0" fontId="10" numFmtId="169" xfId="0" applyAlignment="1" applyBorder="1" applyFont="1" applyNumberFormat="1">
      <alignment horizontal="center" vertical="top"/>
    </xf>
    <xf borderId="0" fillId="0" fontId="14" numFmtId="0" xfId="0" applyAlignment="1" applyFont="1">
      <alignment horizontal="left" vertical="center"/>
    </xf>
    <xf borderId="0" fillId="0" fontId="14" numFmtId="167" xfId="0" applyAlignment="1" applyFont="1" applyNumberFormat="1">
      <alignment vertical="center"/>
    </xf>
    <xf borderId="19" fillId="7" fontId="14" numFmtId="0" xfId="0" applyBorder="1" applyFill="1" applyFont="1"/>
    <xf borderId="0" fillId="0" fontId="23" numFmtId="0" xfId="0" applyAlignment="1" applyFont="1">
      <alignment vertical="center"/>
    </xf>
    <xf borderId="3" fillId="0" fontId="18" numFmtId="0" xfId="0" applyAlignment="1" applyBorder="1" applyFont="1">
      <alignment vertical="top"/>
    </xf>
    <xf borderId="17" fillId="0" fontId="14" numFmtId="171" xfId="0" applyAlignment="1" applyBorder="1" applyFont="1" applyNumberFormat="1">
      <alignment vertical="center"/>
    </xf>
    <xf borderId="16" fillId="0" fontId="14" numFmtId="0" xfId="0" applyAlignment="1" applyBorder="1" applyFont="1">
      <alignment vertical="center"/>
    </xf>
    <xf borderId="3" fillId="0" fontId="18" numFmtId="0" xfId="0" applyAlignment="1" applyBorder="1" applyFont="1">
      <alignment readingOrder="0" vertical="top"/>
    </xf>
    <xf borderId="3" fillId="0" fontId="18" numFmtId="0" xfId="0" applyAlignment="1" applyBorder="1" applyFont="1">
      <alignment horizontal="left" readingOrder="0"/>
    </xf>
    <xf borderId="0" fillId="0" fontId="16" numFmtId="0" xfId="0" applyAlignment="1" applyFont="1">
      <alignment vertical="center"/>
    </xf>
    <xf borderId="3" fillId="0" fontId="13" numFmtId="0" xfId="0" applyAlignment="1" applyBorder="1" applyFont="1">
      <alignment readingOrder="0" vertical="center"/>
    </xf>
    <xf borderId="0" fillId="0" fontId="16" numFmtId="167" xfId="0" applyAlignment="1" applyFont="1" applyNumberFormat="1">
      <alignment vertical="center"/>
    </xf>
    <xf borderId="6" fillId="0" fontId="16" numFmtId="167" xfId="0" applyAlignment="1" applyBorder="1" applyFont="1" applyNumberFormat="1">
      <alignment vertical="center"/>
    </xf>
    <xf borderId="0" fillId="0" fontId="4" numFmtId="170" xfId="0" applyFont="1" applyNumberFormat="1"/>
    <xf borderId="22" fillId="0" fontId="14" numFmtId="0" xfId="0" applyAlignment="1" applyBorder="1" applyFont="1">
      <alignment vertical="center"/>
    </xf>
    <xf borderId="0" fillId="0" fontId="12" numFmtId="10" xfId="0" applyAlignment="1" applyFont="1" applyNumberFormat="1">
      <alignment vertical="center"/>
    </xf>
    <xf borderId="0" fillId="0" fontId="12" numFmtId="0" xfId="0" applyAlignment="1" applyFont="1">
      <alignment vertical="center"/>
    </xf>
    <xf borderId="0" fillId="0" fontId="12" numFmtId="167" xfId="0" applyAlignment="1" applyFont="1" applyNumberFormat="1">
      <alignment vertical="center"/>
    </xf>
    <xf borderId="0" fillId="0" fontId="24" numFmtId="0" xfId="0" applyAlignment="1" applyFont="1">
      <alignment horizontal="left" vertical="center"/>
    </xf>
    <xf borderId="18" fillId="8" fontId="14" numFmtId="0" xfId="0" applyBorder="1" applyFill="1" applyFont="1"/>
    <xf borderId="1" fillId="9" fontId="12" numFmtId="169" xfId="0" applyAlignment="1" applyBorder="1" applyFill="1" applyFont="1" applyNumberFormat="1">
      <alignment vertical="center"/>
    </xf>
    <xf borderId="0" fillId="0" fontId="15" numFmtId="167" xfId="0" applyAlignment="1" applyFont="1" applyNumberFormat="1">
      <alignment vertical="center"/>
    </xf>
    <xf borderId="3" fillId="10" fontId="13" numFmtId="0" xfId="0" applyAlignment="1" applyBorder="1" applyFill="1" applyFont="1">
      <alignment readingOrder="0" vertical="center"/>
    </xf>
    <xf borderId="3" fillId="0" fontId="18" numFmtId="0" xfId="0" applyAlignment="1" applyBorder="1" applyFont="1">
      <alignment readingOrder="0"/>
    </xf>
    <xf borderId="12" fillId="0" fontId="14" numFmtId="168" xfId="0" applyAlignment="1" applyBorder="1" applyFont="1" applyNumberFormat="1">
      <alignment vertical="center"/>
    </xf>
    <xf borderId="3" fillId="0" fontId="2" numFmtId="0" xfId="0" applyAlignment="1" applyBorder="1" applyFont="1">
      <alignment vertical="center"/>
    </xf>
    <xf borderId="18" fillId="8" fontId="2" numFmtId="0" xfId="0" applyBorder="1" applyFill="1" applyFont="1"/>
    <xf borderId="3" fillId="4" fontId="21" numFmtId="0" xfId="0" applyAlignment="1" applyBorder="1" applyFill="1" applyFont="1">
      <alignment vertical="top"/>
    </xf>
    <xf borderId="1" fillId="4" fontId="4" numFmtId="172" xfId="0" applyAlignment="1" applyBorder="1" applyFill="1" applyFont="1" applyNumberFormat="1">
      <alignment horizontal="center" vertical="center"/>
    </xf>
    <xf borderId="23" fillId="4" fontId="10" numFmtId="0" xfId="0" applyAlignment="1" applyBorder="1" applyFill="1" applyFont="1">
      <alignment horizontal="center" vertical="top"/>
    </xf>
    <xf borderId="18" fillId="0" fontId="14" numFmtId="166" xfId="0" applyAlignment="1" applyBorder="1" applyFont="1" applyNumberFormat="1">
      <alignment horizontal="center" vertical="top"/>
    </xf>
    <xf borderId="0" fillId="0" fontId="10" numFmtId="167" xfId="0" applyAlignment="1" applyFont="1" applyNumberFormat="1">
      <alignment horizontal="center" vertical="top"/>
    </xf>
    <xf borderId="16" fillId="0" fontId="14" numFmtId="168" xfId="0" applyAlignment="1" applyBorder="1" applyFont="1" applyNumberFormat="1">
      <alignment vertical="center"/>
    </xf>
    <xf borderId="18" fillId="11" fontId="14" numFmtId="0" xfId="0" applyAlignment="1" applyBorder="1" applyFill="1" applyFont="1">
      <alignment readingOrder="0"/>
    </xf>
    <xf borderId="1" fillId="4" fontId="21" numFmtId="0" xfId="0" applyAlignment="1" applyBorder="1" applyFill="1" applyFont="1">
      <alignment vertical="top"/>
    </xf>
    <xf borderId="1" fillId="4" fontId="21" numFmtId="0" xfId="0" applyAlignment="1" applyBorder="1" applyFill="1" applyFont="1">
      <alignment horizontal="left" vertical="top"/>
    </xf>
    <xf borderId="3" fillId="4" fontId="4" numFmtId="172" xfId="0" applyAlignment="1" applyBorder="1" applyFill="1" applyFont="1" applyNumberFormat="1">
      <alignment horizontal="center" vertical="center"/>
    </xf>
    <xf borderId="18" fillId="11" fontId="14" numFmtId="0" xfId="0" applyBorder="1" applyFill="1" applyFont="1"/>
    <xf borderId="22" fillId="0" fontId="14" numFmtId="168" xfId="0" applyAlignment="1" applyBorder="1" applyFont="1" applyNumberFormat="1">
      <alignment vertical="center"/>
    </xf>
    <xf borderId="0" fillId="0" fontId="4" numFmtId="0" xfId="0" applyAlignment="1" applyFont="1">
      <alignment horizontal="right" vertical="top"/>
    </xf>
    <xf borderId="3" fillId="0" fontId="21" numFmtId="0" xfId="0" applyAlignment="1" applyBorder="1" applyFont="1">
      <alignment horizontal="left" vertical="top"/>
    </xf>
    <xf borderId="3" fillId="4" fontId="13" numFmtId="0" xfId="0" applyAlignment="1" applyBorder="1" applyFill="1" applyFont="1">
      <alignment readingOrder="0" vertical="center"/>
    </xf>
    <xf borderId="3" fillId="0" fontId="18" numFmtId="0" xfId="0" applyAlignment="1" applyBorder="1" applyFont="1">
      <alignment horizontal="left" vertical="top"/>
    </xf>
    <xf borderId="3" fillId="0" fontId="21" numFmtId="0" xfId="0" applyAlignment="1" applyBorder="1" applyFont="1">
      <alignment horizontal="left" vertical="center"/>
    </xf>
    <xf borderId="18" fillId="0" fontId="14" numFmtId="167" xfId="0" applyBorder="1" applyFont="1" applyNumberFormat="1"/>
    <xf borderId="3" fillId="0" fontId="21" numFmtId="0" xfId="0" applyAlignment="1" applyBorder="1" applyFont="1">
      <alignment vertical="top"/>
    </xf>
    <xf borderId="10" fillId="0" fontId="14" numFmtId="0" xfId="0" applyAlignment="1" applyBorder="1" applyFont="1">
      <alignment horizontal="left" readingOrder="0" vertical="center"/>
    </xf>
    <xf borderId="24" fillId="0" fontId="14" numFmtId="166" xfId="0" applyBorder="1" applyFont="1" applyNumberFormat="1"/>
    <xf borderId="3" fillId="4" fontId="21" numFmtId="0" xfId="0" applyBorder="1" applyFill="1" applyFont="1"/>
    <xf borderId="8" fillId="0" fontId="4" numFmtId="166" xfId="0" applyBorder="1" applyFont="1" applyNumberFormat="1"/>
    <xf borderId="3" fillId="4" fontId="18" numFmtId="0" xfId="0" applyBorder="1" applyFill="1" applyFont="1"/>
    <xf borderId="3" fillId="4" fontId="10" numFmtId="167" xfId="0" applyAlignment="1" applyBorder="1" applyFill="1" applyFont="1" applyNumberFormat="1">
      <alignment horizontal="center" vertical="top"/>
    </xf>
    <xf borderId="3" fillId="4" fontId="18" numFmtId="0" xfId="0" applyAlignment="1" applyBorder="1" applyFill="1" applyFont="1">
      <alignment vertical="top"/>
    </xf>
    <xf borderId="0" fillId="0" fontId="25" numFmtId="0" xfId="0" applyFont="1"/>
    <xf borderId="0" fillId="0" fontId="22" numFmtId="167" xfId="0" applyAlignment="1" applyFont="1" applyNumberFormat="1">
      <alignment readingOrder="0"/>
    </xf>
    <xf borderId="1" fillId="0" fontId="22" numFmtId="167" xfId="0" applyBorder="1" applyFont="1" applyNumberFormat="1"/>
    <xf borderId="3" fillId="0" fontId="4" numFmtId="172" xfId="0" applyAlignment="1" applyBorder="1" applyFont="1" applyNumberFormat="1">
      <alignment horizontal="center" vertical="center"/>
    </xf>
    <xf borderId="0" fillId="0" fontId="22" numFmtId="10" xfId="0" applyFont="1" applyNumberFormat="1"/>
    <xf borderId="3" fillId="0" fontId="10" numFmtId="0" xfId="0" applyAlignment="1" applyBorder="1" applyFont="1">
      <alignment horizontal="center" vertical="top"/>
    </xf>
    <xf borderId="25" fillId="0" fontId="22" numFmtId="167" xfId="0" applyBorder="1" applyFont="1" applyNumberFormat="1"/>
    <xf borderId="0" fillId="0" fontId="25" numFmtId="173" xfId="0" applyFont="1" applyNumberFormat="1"/>
    <xf borderId="7" fillId="0" fontId="14" numFmtId="167" xfId="0" applyBorder="1" applyFont="1" applyNumberFormat="1"/>
    <xf borderId="0" fillId="0" fontId="4" numFmtId="167" xfId="0" applyFont="1" applyNumberFormat="1"/>
    <xf borderId="0" fillId="0" fontId="14" numFmtId="167" xfId="0" applyFont="1" applyNumberFormat="1"/>
    <xf borderId="1" fillId="0" fontId="4" numFmtId="167" xfId="0" applyBorder="1" applyFont="1" applyNumberFormat="1"/>
    <xf borderId="0" fillId="0" fontId="4" numFmtId="10" xfId="0" applyFont="1" applyNumberFormat="1"/>
    <xf borderId="25" fillId="0" fontId="4" numFmtId="167" xfId="0" applyBorder="1" applyFont="1" applyNumberFormat="1"/>
    <xf borderId="7" fillId="0" fontId="25" numFmtId="166" xfId="0" applyBorder="1" applyFont="1" applyNumberFormat="1"/>
    <xf borderId="0" fillId="0" fontId="22" numFmtId="166" xfId="0" applyFont="1" applyNumberFormat="1"/>
    <xf borderId="8" fillId="0" fontId="14" numFmtId="167" xfId="0" applyBorder="1" applyFont="1" applyNumberFormat="1"/>
    <xf borderId="0" fillId="0" fontId="12" numFmtId="169" xfId="0" applyAlignment="1" applyFont="1" applyNumberFormat="1">
      <alignment vertical="center"/>
    </xf>
    <xf borderId="0" fillId="0" fontId="14" numFmtId="0" xfId="0" applyAlignment="1" applyFont="1">
      <alignment vertical="center"/>
    </xf>
    <xf borderId="0" fillId="0" fontId="20" numFmtId="0" xfId="0" applyAlignment="1" applyFont="1">
      <alignment readingOrder="0"/>
    </xf>
    <xf borderId="0" fillId="0" fontId="15" numFmtId="169" xfId="0" applyAlignment="1" applyFont="1" applyNumberFormat="1">
      <alignment vertical="center"/>
    </xf>
    <xf borderId="3" fillId="0" fontId="23" numFmtId="0" xfId="0" applyAlignment="1" applyBorder="1" applyFont="1">
      <alignment vertical="center"/>
    </xf>
    <xf borderId="3" fillId="4" fontId="4" numFmtId="172" xfId="0" applyAlignment="1" applyBorder="1" applyFill="1" applyFont="1" applyNumberFormat="1">
      <alignment horizontal="center" readingOrder="0" vertical="center"/>
    </xf>
    <xf borderId="3" fillId="0" fontId="21" numFmtId="0" xfId="0" applyAlignment="1" applyBorder="1" applyFont="1">
      <alignment horizontal="left" readingOrder="0" vertical="top"/>
    </xf>
    <xf borderId="3" fillId="0" fontId="21" numFmtId="0" xfId="0" applyAlignment="1" applyBorder="1" applyFont="1">
      <alignment readingOrder="0" vertical="top"/>
    </xf>
    <xf borderId="0" fillId="0" fontId="21" numFmtId="0" xfId="0" applyAlignment="1" applyFont="1">
      <alignment vertical="top"/>
    </xf>
    <xf borderId="0" fillId="0" fontId="21" numFmtId="0" xfId="0" applyAlignment="1" applyFont="1">
      <alignment horizontal="left" vertical="top"/>
    </xf>
    <xf borderId="1" fillId="9" fontId="12" numFmtId="167" xfId="0" applyAlignment="1" applyBorder="1" applyFill="1" applyFont="1" applyNumberFormat="1">
      <alignment vertical="center"/>
    </xf>
    <xf borderId="18" fillId="0" fontId="2" numFmtId="0" xfId="0" applyAlignment="1" applyBorder="1" applyFont="1">
      <alignment readingOrder="0"/>
    </xf>
    <xf borderId="3" fillId="0" fontId="21" numFmtId="0" xfId="0" applyAlignment="1" applyBorder="1" applyFont="1">
      <alignment vertical="center"/>
    </xf>
    <xf borderId="8" fillId="0" fontId="14" numFmtId="0" xfId="0" applyAlignment="1" applyBorder="1" applyFont="1">
      <alignment readingOrder="0"/>
    </xf>
    <xf borderId="0" fillId="0" fontId="20" numFmtId="166" xfId="0" applyFont="1" applyNumberFormat="1"/>
    <xf borderId="3" fillId="7" fontId="4" numFmtId="0" xfId="0" applyAlignment="1" applyBorder="1" applyFill="1" applyFont="1">
      <alignment readingOrder="0" vertical="center"/>
    </xf>
    <xf borderId="8" fillId="0" fontId="2" numFmtId="0" xfId="0" applyAlignment="1" applyBorder="1" applyFont="1">
      <alignment readingOrder="0"/>
    </xf>
    <xf borderId="12" fillId="0" fontId="14" numFmtId="0" xfId="0" applyAlignment="1" applyBorder="1" applyFont="1">
      <alignment readingOrder="0" vertical="center"/>
    </xf>
    <xf borderId="8" fillId="0" fontId="14" numFmtId="166" xfId="0" applyAlignment="1" applyBorder="1" applyFont="1" applyNumberFormat="1">
      <alignment horizontal="center" vertical="top"/>
    </xf>
    <xf borderId="3" fillId="4" fontId="21" numFmtId="0" xfId="0" applyAlignment="1" applyBorder="1" applyFill="1" applyFont="1">
      <alignment readingOrder="0" vertical="top"/>
    </xf>
    <xf borderId="3" fillId="0" fontId="2" numFmtId="0" xfId="0" applyAlignment="1" applyBorder="1" applyFont="1">
      <alignment readingOrder="0" vertical="center"/>
    </xf>
    <xf borderId="3" fillId="0" fontId="14" numFmtId="0" xfId="0" applyAlignment="1" applyBorder="1" applyFont="1">
      <alignment readingOrder="0" vertical="center"/>
    </xf>
    <xf borderId="0" fillId="11" fontId="14" numFmtId="0" xfId="0" applyFill="1" applyFont="1"/>
    <xf borderId="3" fillId="0" fontId="14" numFmtId="0" xfId="0" applyAlignment="1" applyBorder="1" applyFont="1">
      <alignment vertical="center"/>
    </xf>
    <xf borderId="3" fillId="0" fontId="18" numFmtId="0" xfId="0" applyAlignment="1" applyBorder="1" applyFont="1">
      <alignment horizontal="left" readingOrder="0" vertical="top"/>
    </xf>
    <xf borderId="0" fillId="0" fontId="22" numFmtId="167" xfId="0" applyFont="1" applyNumberFormat="1"/>
    <xf borderId="0" fillId="0" fontId="18" numFmtId="0" xfId="0" applyAlignment="1" applyFont="1">
      <alignment vertical="top"/>
    </xf>
    <xf borderId="0" fillId="0" fontId="18" numFmtId="0" xfId="0" applyAlignment="1" applyFont="1">
      <alignment horizontal="left"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horizontal="center" vertical="center"/>
    </xf>
    <xf borderId="0" fillId="0" fontId="25" numFmtId="0" xfId="0" applyAlignment="1" applyFont="1">
      <alignment readingOrder="0"/>
    </xf>
    <xf borderId="0" fillId="0" fontId="25" numFmtId="166" xfId="0" applyAlignment="1" applyFont="1" applyNumberFormat="1">
      <alignment readingOrder="0"/>
    </xf>
    <xf borderId="3" fillId="4" fontId="18" numFmtId="0" xfId="0" applyAlignment="1" applyBorder="1" applyFill="1" applyFont="1">
      <alignment readingOrder="0" vertical="top"/>
    </xf>
    <xf borderId="0" fillId="0" fontId="25" numFmtId="167" xfId="0" applyFont="1" applyNumberFormat="1"/>
    <xf borderId="3" fillId="0" fontId="4" numFmtId="0" xfId="0" applyAlignment="1" applyBorder="1" applyFont="1">
      <alignment horizontal="center" vertical="center"/>
    </xf>
    <xf borderId="3" fillId="10" fontId="4" numFmtId="0" xfId="0" applyAlignment="1" applyBorder="1" applyFill="1" applyFont="1">
      <alignment readingOrder="0" vertical="center"/>
    </xf>
    <xf borderId="3" fillId="0" fontId="4" numFmtId="0" xfId="0" applyAlignment="1" applyBorder="1" applyFont="1">
      <alignment horizontal="center" readingOrder="0" vertical="center"/>
    </xf>
    <xf borderId="1" fillId="12" fontId="12" numFmtId="0" xfId="0" applyAlignment="1" applyBorder="1" applyFill="1" applyFont="1">
      <alignment horizontal="left" vertical="center"/>
    </xf>
    <xf borderId="1" fillId="12" fontId="15" numFmtId="0" xfId="0" applyAlignment="1" applyBorder="1" applyFill="1" applyFont="1">
      <alignment vertical="center"/>
    </xf>
    <xf borderId="3" fillId="0" fontId="13" numFmtId="0" xfId="0" applyAlignment="1" applyBorder="1" applyFont="1">
      <alignment horizontal="center" vertical="center"/>
    </xf>
    <xf borderId="1" fillId="12" fontId="15" numFmtId="167" xfId="0" applyAlignment="1" applyBorder="1" applyFill="1" applyFont="1" applyNumberFormat="1">
      <alignment vertical="center"/>
    </xf>
    <xf borderId="3" fillId="4" fontId="4" numFmtId="0" xfId="0" applyAlignment="1" applyBorder="1" applyFill="1" applyFont="1">
      <alignment readingOrder="0" vertical="center"/>
    </xf>
    <xf borderId="0" fillId="0" fontId="14" numFmtId="9" xfId="0" applyFont="1" applyNumberFormat="1"/>
    <xf borderId="1" fillId="4" fontId="13" numFmtId="0" xfId="0" applyAlignment="1" applyBorder="1" applyFill="1" applyFont="1">
      <alignment vertical="center"/>
    </xf>
    <xf borderId="3" fillId="4" fontId="4" numFmtId="0" xfId="0" applyAlignment="1" applyBorder="1" applyFill="1" applyFont="1">
      <alignment horizontal="center" vertical="center"/>
    </xf>
    <xf borderId="18" fillId="0" fontId="14" numFmtId="0" xfId="0" applyAlignment="1" applyBorder="1" applyFont="1">
      <alignment readingOrder="0"/>
    </xf>
    <xf borderId="19" fillId="0" fontId="4" numFmtId="167" xfId="0" applyAlignment="1" applyBorder="1" applyFont="1" applyNumberFormat="1">
      <alignment readingOrder="0"/>
    </xf>
    <xf borderId="26" fillId="0" fontId="4" numFmtId="0" xfId="0" applyBorder="1" applyFont="1"/>
    <xf borderId="3" fillId="0" fontId="13" numFmtId="0" xfId="0" applyBorder="1" applyFont="1"/>
    <xf borderId="11" fillId="7" fontId="14" numFmtId="0" xfId="0" applyBorder="1" applyFill="1" applyFont="1"/>
    <xf borderId="3" fillId="0" fontId="4" numFmtId="0" xfId="0" applyBorder="1" applyFont="1"/>
    <xf borderId="7" fillId="0" fontId="14" numFmtId="166" xfId="0" applyBorder="1" applyFont="1" applyNumberFormat="1"/>
    <xf borderId="0" fillId="0" fontId="4" numFmtId="166" xfId="0" applyFont="1" applyNumberFormat="1"/>
    <xf borderId="3" fillId="0" fontId="4" numFmtId="0" xfId="0" applyAlignment="1" applyBorder="1" applyFont="1">
      <alignment readingOrder="0"/>
    </xf>
    <xf borderId="8" fillId="0" fontId="2" numFmtId="167" xfId="0" applyAlignment="1" applyBorder="1" applyFont="1" applyNumberFormat="1">
      <alignment readingOrder="0"/>
    </xf>
    <xf borderId="16" fillId="0" fontId="14" numFmtId="169" xfId="0" applyAlignment="1" applyBorder="1" applyFont="1" applyNumberFormat="1">
      <alignment vertical="center"/>
    </xf>
    <xf borderId="19" fillId="0" fontId="14" numFmtId="167" xfId="0" applyBorder="1" applyFont="1" applyNumberFormat="1"/>
    <xf borderId="27" fillId="0" fontId="14" numFmtId="0" xfId="0" applyAlignment="1" applyBorder="1" applyFont="1">
      <alignment vertical="center"/>
    </xf>
    <xf borderId="0" fillId="0" fontId="12" numFmtId="0" xfId="0" applyAlignment="1" applyFont="1">
      <alignment horizontal="left" readingOrder="0" vertical="center"/>
    </xf>
    <xf borderId="0" fillId="0" fontId="14" numFmtId="0" xfId="0" applyFont="1"/>
    <xf borderId="0" fillId="0" fontId="12" numFmtId="166" xfId="0" applyAlignment="1" applyFont="1" applyNumberFormat="1">
      <alignment vertical="center"/>
    </xf>
    <xf borderId="0" fillId="0" fontId="26" numFmtId="0" xfId="0" applyAlignment="1" applyFont="1">
      <alignment horizontal="left" vertical="center"/>
    </xf>
    <xf borderId="0" fillId="0" fontId="14" numFmtId="0" xfId="0" applyAlignment="1" applyFont="1">
      <alignment readingOrder="0"/>
    </xf>
    <xf borderId="18" fillId="0" fontId="23" numFmtId="0" xfId="0" applyAlignment="1" applyBorder="1" applyFont="1">
      <alignment readingOrder="0"/>
    </xf>
    <xf borderId="26" fillId="0" fontId="14" numFmtId="0" xfId="0" applyAlignment="1" applyBorder="1" applyFont="1">
      <alignment vertical="center"/>
    </xf>
    <xf borderId="15" fillId="0" fontId="14" numFmtId="0" xfId="0" applyAlignment="1" applyBorder="1" applyFont="1">
      <alignment horizontal="left" readingOrder="0" vertical="center"/>
    </xf>
    <xf borderId="0" fillId="0" fontId="4" numFmtId="166" xfId="0" applyFont="1" applyNumberFormat="1"/>
    <xf borderId="0" fillId="0" fontId="14" numFmtId="167" xfId="0" applyAlignment="1" applyFont="1" applyNumberFormat="1">
      <alignment readingOrder="0"/>
    </xf>
    <xf borderId="28" fillId="0" fontId="4" numFmtId="167" xfId="0" applyBorder="1" applyFont="1" applyNumberFormat="1"/>
    <xf borderId="26" fillId="0" fontId="13" numFmtId="0" xfId="0" applyAlignment="1" applyBorder="1" applyFont="1">
      <alignment vertical="center"/>
    </xf>
    <xf borderId="0" fillId="0" fontId="12" numFmtId="174" xfId="0" applyAlignment="1" applyFont="1" applyNumberFormat="1">
      <alignment vertical="center"/>
    </xf>
    <xf borderId="3" fillId="0" fontId="4" numFmtId="0" xfId="0" applyAlignment="1" applyBorder="1" applyFont="1">
      <alignment horizontal="left" vertical="top"/>
    </xf>
    <xf borderId="0" fillId="0" fontId="12" numFmtId="2" xfId="0" applyAlignment="1" applyFont="1" applyNumberFormat="1">
      <alignment vertical="center"/>
    </xf>
    <xf borderId="1" fillId="9" fontId="12" numFmtId="175" xfId="0" applyAlignment="1" applyBorder="1" applyFill="1" applyFont="1" applyNumberFormat="1">
      <alignment vertical="center"/>
    </xf>
    <xf borderId="3" fillId="4" fontId="14" numFmtId="0" xfId="0" applyAlignment="1" applyBorder="1" applyFill="1" applyFont="1">
      <alignment vertical="center"/>
    </xf>
    <xf borderId="3" fillId="4" fontId="2" numFmtId="0" xfId="0" applyAlignment="1" applyBorder="1" applyFill="1" applyFont="1">
      <alignment readingOrder="0" vertical="center"/>
    </xf>
    <xf borderId="1" fillId="13" fontId="26" numFmtId="0" xfId="0" applyBorder="1" applyFill="1" applyFont="1"/>
    <xf borderId="0" fillId="0" fontId="24" numFmtId="174" xfId="0" applyFont="1" applyNumberFormat="1"/>
    <xf borderId="1" fillId="13" fontId="12" numFmtId="0" xfId="0" applyAlignment="1" applyBorder="1" applyFill="1" applyFont="1">
      <alignment horizontal="left" vertical="center"/>
    </xf>
    <xf borderId="1" fillId="13" fontId="12" numFmtId="0" xfId="0" applyAlignment="1" applyBorder="1" applyFill="1" applyFont="1">
      <alignment vertical="center"/>
    </xf>
    <xf borderId="1" fillId="13" fontId="12" numFmtId="167" xfId="0" applyAlignment="1" applyBorder="1" applyFill="1" applyFont="1" applyNumberFormat="1">
      <alignment vertical="center"/>
    </xf>
    <xf borderId="3" fillId="4" fontId="4" numFmtId="0" xfId="0" applyAlignment="1" applyBorder="1" applyFill="1" applyFont="1">
      <alignment horizontal="center" readingOrder="0" vertical="center"/>
    </xf>
    <xf borderId="8" fillId="0" fontId="19" numFmtId="166" xfId="0" applyBorder="1" applyFont="1" applyNumberFormat="1"/>
    <xf borderId="16" fillId="0" fontId="14" numFmtId="167" xfId="0" applyAlignment="1" applyBorder="1" applyFont="1" applyNumberFormat="1">
      <alignment readingOrder="0" vertical="center"/>
    </xf>
    <xf borderId="0" fillId="0" fontId="24" numFmtId="0" xfId="0" applyAlignment="1" applyFont="1">
      <alignment vertical="center"/>
    </xf>
    <xf borderId="0" fillId="0" fontId="24" numFmtId="167" xfId="0" applyAlignment="1" applyFont="1" applyNumberFormat="1">
      <alignment vertical="center"/>
    </xf>
    <xf borderId="0" fillId="0" fontId="2" numFmtId="0" xfId="0" applyAlignment="1" applyFont="1">
      <alignment readingOrder="0"/>
    </xf>
    <xf borderId="0" fillId="0" fontId="14" numFmtId="166" xfId="0" applyAlignment="1" applyFont="1" applyNumberFormat="1">
      <alignment readingOrder="0"/>
    </xf>
    <xf borderId="29" fillId="0" fontId="4" numFmtId="0" xfId="0" applyAlignment="1" applyBorder="1" applyFont="1">
      <alignment horizontal="center" vertical="center"/>
    </xf>
    <xf borderId="30" fillId="0" fontId="4" numFmtId="0" xfId="0" applyAlignment="1" applyBorder="1" applyFont="1">
      <alignment horizontal="center" vertical="center"/>
    </xf>
    <xf borderId="30" fillId="0" fontId="14" numFmtId="166" xfId="0" applyAlignment="1" applyBorder="1" applyFont="1" applyNumberFormat="1">
      <alignment horizontal="center" vertical="top"/>
    </xf>
    <xf borderId="0" fillId="0" fontId="10" numFmtId="167" xfId="0" applyAlignment="1" applyFont="1" applyNumberFormat="1">
      <alignment vertical="top"/>
    </xf>
    <xf borderId="1" fillId="3" fontId="27" numFmtId="164" xfId="0" applyAlignment="1" applyBorder="1" applyFill="1" applyFont="1" applyNumberFormat="1">
      <alignment horizontal="center" shrinkToFit="0" vertical="center" wrapText="1"/>
    </xf>
    <xf borderId="0" fillId="0" fontId="14" numFmtId="0" xfId="0" applyAlignment="1" applyFont="1">
      <alignment horizontal="left" readingOrder="0" vertical="center"/>
    </xf>
    <xf borderId="0" fillId="0" fontId="14" numFmtId="0" xfId="0" applyAlignment="1" applyFont="1">
      <alignment readingOrder="0" vertical="center"/>
    </xf>
    <xf borderId="3" fillId="0" fontId="4" numFmtId="0" xfId="0" applyAlignment="1" applyBorder="1" applyFont="1">
      <alignment vertical="top"/>
    </xf>
    <xf borderId="0" fillId="0" fontId="14" numFmtId="167" xfId="0" applyAlignment="1" applyFont="1" applyNumberFormat="1">
      <alignment readingOrder="0" vertical="center"/>
    </xf>
    <xf borderId="3" fillId="0" fontId="4" numFmtId="0" xfId="0" applyAlignment="1" applyBorder="1" applyFont="1">
      <alignment readingOrder="0" vertical="top"/>
    </xf>
    <xf borderId="0" fillId="0" fontId="12" numFmtId="175" xfId="0" applyAlignment="1" applyFont="1" applyNumberFormat="1">
      <alignment vertical="center"/>
    </xf>
    <xf borderId="0" fillId="0" fontId="12" numFmtId="0" xfId="0" applyAlignment="1" applyFont="1">
      <alignment readingOrder="0" vertical="center"/>
    </xf>
    <xf borderId="0" fillId="0" fontId="24" numFmtId="0" xfId="0" applyAlignment="1" applyFont="1">
      <alignment horizontal="left" readingOrder="0" vertical="center"/>
    </xf>
    <xf borderId="0" fillId="0" fontId="4" numFmtId="164" xfId="0" applyAlignment="1" applyFont="1" applyNumberFormat="1">
      <alignment vertical="top"/>
    </xf>
    <xf borderId="0" fillId="0" fontId="4" numFmtId="0" xfId="0" applyAlignment="1" applyFont="1">
      <alignment horizontal="center" vertical="top"/>
    </xf>
    <xf borderId="0" fillId="0" fontId="4" numFmtId="0" xfId="0" applyAlignment="1" applyFont="1">
      <alignment horizontal="left" vertical="top"/>
    </xf>
    <xf borderId="0" fillId="0" fontId="4" numFmtId="0" xfId="0" applyAlignment="1" applyFont="1">
      <alignment vertical="center"/>
    </xf>
    <xf borderId="18" fillId="0" fontId="14" numFmtId="166" xfId="0" applyAlignment="1" applyBorder="1" applyFont="1" applyNumberFormat="1">
      <alignment readingOrder="0"/>
    </xf>
    <xf borderId="8" fillId="0" fontId="4" numFmtId="166" xfId="0" applyAlignment="1" applyBorder="1" applyFont="1" applyNumberFormat="1">
      <alignment readingOrder="0"/>
    </xf>
    <xf borderId="12" fillId="0" fontId="14" numFmtId="167" xfId="0" applyAlignment="1" applyBorder="1" applyFont="1" applyNumberFormat="1">
      <alignment readingOrder="0" vertical="center"/>
    </xf>
    <xf borderId="0" fillId="0" fontId="28" numFmtId="0" xfId="0" applyAlignment="1" applyFont="1">
      <alignment readingOrder="0"/>
    </xf>
    <xf borderId="31" fillId="14" fontId="13" numFmtId="0" xfId="0" applyAlignment="1" applyBorder="1" applyFill="1" applyFont="1">
      <alignment horizontal="center" shrinkToFit="0" wrapText="1"/>
    </xf>
    <xf borderId="31" fillId="14" fontId="13" numFmtId="170" xfId="0" applyAlignment="1" applyBorder="1" applyFill="1" applyFont="1" applyNumberFormat="1">
      <alignment horizontal="left" shrinkToFit="0" vertical="center" wrapText="1"/>
    </xf>
    <xf borderId="0" fillId="0" fontId="13" numFmtId="0" xfId="0" applyAlignment="1" applyFont="1">
      <alignment horizontal="center" readingOrder="0" shrinkToFit="0" vertical="bottom" wrapText="0"/>
    </xf>
    <xf borderId="31" fillId="14" fontId="13" numFmtId="0" xfId="0" applyAlignment="1" applyBorder="1" applyFill="1" applyFont="1">
      <alignment horizontal="center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32" fillId="14" fontId="19" numFmtId="0" xfId="0" applyAlignment="1" applyBorder="1" applyFill="1" applyFont="1">
      <alignment horizontal="center"/>
    </xf>
    <xf borderId="0" fillId="0" fontId="13" numFmtId="0" xfId="0" applyAlignment="1" applyFont="1">
      <alignment shrinkToFit="0" vertical="bottom" wrapText="0"/>
    </xf>
    <xf borderId="1" fillId="2" fontId="29" numFmtId="176" xfId="0" applyBorder="1" applyFill="1" applyFont="1" applyNumberFormat="1"/>
    <xf borderId="0" fillId="15" fontId="13" numFmtId="0" xfId="0" applyAlignment="1" applyFill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1" fillId="7" fontId="23" numFmtId="173" xfId="0" applyBorder="1" applyFill="1" applyFont="1" applyNumberFormat="1"/>
    <xf borderId="0" fillId="0" fontId="4" numFmtId="166" xfId="0" applyAlignment="1" applyFont="1" applyNumberFormat="1">
      <alignment readingOrder="0" shrinkToFit="0" vertical="bottom" wrapText="0"/>
    </xf>
    <xf borderId="0" fillId="0" fontId="14" numFmtId="167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4" numFmtId="173" xfId="0" applyAlignment="1" applyFont="1" applyNumberFormat="1">
      <alignment horizontal="center"/>
    </xf>
    <xf borderId="8" fillId="0" fontId="14" numFmtId="10" xfId="0" applyBorder="1" applyFont="1" applyNumberFormat="1"/>
    <xf borderId="0" fillId="0" fontId="4" numFmtId="166" xfId="0" applyAlignment="1" applyFont="1" applyNumberFormat="1">
      <alignment horizontal="left" shrinkToFit="0" vertical="bottom" wrapText="0"/>
    </xf>
    <xf borderId="0" fillId="0" fontId="4" numFmtId="166" xfId="0" applyAlignment="1" applyFont="1" applyNumberFormat="1">
      <alignment horizontal="left" readingOrder="0" shrinkToFit="0" vertical="bottom" wrapText="0"/>
    </xf>
    <xf borderId="0" fillId="0" fontId="14" numFmtId="173" xfId="0" applyAlignment="1" applyFont="1" applyNumberFormat="1">
      <alignment horizontal="center"/>
    </xf>
    <xf borderId="25" fillId="0" fontId="4" numFmtId="10" xfId="0" applyAlignment="1" applyBorder="1" applyFont="1" applyNumberFormat="1">
      <alignment horizontal="center"/>
    </xf>
    <xf borderId="0" fillId="0" fontId="4" numFmtId="173" xfId="0" applyFont="1" applyNumberFormat="1"/>
    <xf borderId="0" fillId="0" fontId="4" numFmtId="0" xfId="0" applyAlignment="1" applyFont="1">
      <alignment horizontal="left"/>
    </xf>
    <xf borderId="0" fillId="0" fontId="4" numFmtId="166" xfId="0" applyAlignment="1" applyFont="1" applyNumberFormat="1">
      <alignment horizontal="left"/>
    </xf>
    <xf borderId="0" fillId="0" fontId="23" numFmtId="9" xfId="0" applyAlignment="1" applyFont="1" applyNumberFormat="1">
      <alignment horizontal="right" readingOrder="0" shrinkToFit="0" vertical="bottom" wrapText="0"/>
    </xf>
    <xf borderId="0" fillId="0" fontId="4" numFmtId="167" xfId="0" applyAlignment="1" applyFont="1" applyNumberFormat="1">
      <alignment horizontal="left"/>
    </xf>
    <xf borderId="0" fillId="15" fontId="13" numFmtId="166" xfId="0" applyAlignment="1" applyFill="1" applyFont="1" applyNumberFormat="1">
      <alignment readingOrder="0" shrinkToFit="0" vertical="bottom" wrapText="0"/>
    </xf>
    <xf borderId="1" fillId="2" fontId="4" numFmtId="0" xfId="0" applyAlignment="1" applyBorder="1" applyFill="1" applyFont="1">
      <alignment horizontal="left"/>
    </xf>
    <xf borderId="0" fillId="0" fontId="23" numFmtId="0" xfId="0" applyAlignment="1" applyFont="1">
      <alignment shrinkToFit="0" vertical="bottom" wrapText="0"/>
    </xf>
    <xf borderId="0" fillId="0" fontId="4" numFmtId="9" xfId="0" applyAlignment="1" applyFont="1" applyNumberFormat="1">
      <alignment horizontal="right" readingOrder="0" shrinkToFit="0" vertical="bottom" wrapText="0"/>
    </xf>
    <xf borderId="0" fillId="0" fontId="30" numFmtId="10" xfId="0" applyAlignment="1" applyFont="1" applyNumberFormat="1">
      <alignment horizontal="right" readingOrder="0" shrinkToFit="0" vertical="bottom" wrapText="0"/>
    </xf>
    <xf borderId="0" fillId="0" fontId="22" numFmtId="170" xfId="0" applyFont="1" applyNumberFormat="1"/>
    <xf borderId="0" fillId="0" fontId="31" numFmtId="170" xfId="0" applyFont="1" applyNumberFormat="1"/>
    <xf borderId="0" fillId="0" fontId="23" numFmtId="173" xfId="0" applyFont="1" applyNumberFormat="1"/>
    <xf borderId="0" fillId="0" fontId="4" numFmtId="168" xfId="0" applyAlignment="1" applyFont="1" applyNumberFormat="1">
      <alignment horizontal="left"/>
    </xf>
    <xf borderId="0" fillId="0" fontId="32" numFmtId="166" xfId="0" applyFont="1" applyNumberFormat="1"/>
    <xf borderId="0" fillId="0" fontId="20" numFmtId="167" xfId="0" applyFont="1" applyNumberFormat="1"/>
    <xf borderId="0" fillId="0" fontId="20" numFmtId="177" xfId="0" applyFont="1" applyNumberFormat="1"/>
    <xf borderId="19" fillId="16" fontId="14" numFmtId="0" xfId="0" applyBorder="1" applyFill="1" applyFont="1"/>
    <xf borderId="0" fillId="0" fontId="14" numFmtId="173" xfId="0" applyFont="1" applyNumberFormat="1"/>
    <xf borderId="0" fillId="11" fontId="24" numFmtId="0" xfId="0" applyAlignment="1" applyFill="1" applyFont="1">
      <alignment horizontal="left" vertical="center"/>
    </xf>
    <xf borderId="0" fillId="11" fontId="12" numFmtId="0" xfId="0" applyAlignment="1" applyFill="1" applyFont="1">
      <alignment vertical="center"/>
    </xf>
    <xf borderId="0" fillId="11" fontId="24" numFmtId="167" xfId="0" applyAlignment="1" applyFill="1" applyFont="1" applyNumberFormat="1">
      <alignment vertical="center"/>
    </xf>
    <xf borderId="0" fillId="0" fontId="22" numFmtId="178" xfId="0" applyFont="1" applyNumberFormat="1"/>
    <xf borderId="0" fillId="0" fontId="31" numFmtId="178" xfId="0" applyFont="1" applyNumberFormat="1"/>
    <xf borderId="0" fillId="0" fontId="33" numFmtId="166" xfId="0" applyAlignment="1" applyFont="1" applyNumberFormat="1">
      <alignment readingOrder="0" shrinkToFit="0" vertical="bottom" wrapText="0"/>
    </xf>
    <xf borderId="0" fillId="0" fontId="13" numFmtId="166" xfId="0" applyAlignment="1" applyFont="1" applyNumberFormat="1">
      <alignment readingOrder="0" shrinkToFit="0" vertical="bottom" wrapText="0"/>
    </xf>
    <xf borderId="1" fillId="7" fontId="4" numFmtId="167" xfId="0" applyAlignment="1" applyBorder="1" applyFill="1" applyFont="1" applyNumberFormat="1">
      <alignment horizontal="left"/>
    </xf>
    <xf borderId="33" fillId="17" fontId="34" numFmtId="0" xfId="0" applyAlignment="1" applyBorder="1" applyFill="1" applyFont="1">
      <alignment readingOrder="0" vertical="center"/>
    </xf>
    <xf borderId="34" fillId="0" fontId="35" numFmtId="0" xfId="0" applyBorder="1" applyFont="1"/>
    <xf borderId="1" fillId="18" fontId="36" numFmtId="0" xfId="0" applyAlignment="1" applyBorder="1" applyFill="1" applyFont="1">
      <alignment vertical="center"/>
    </xf>
    <xf borderId="1" fillId="18" fontId="36" numFmtId="179" xfId="0" applyAlignment="1" applyBorder="1" applyFill="1" applyFont="1" applyNumberFormat="1">
      <alignment vertical="center"/>
    </xf>
    <xf borderId="1" fillId="19" fontId="37" numFmtId="0" xfId="0" applyAlignment="1" applyBorder="1" applyFill="1" applyFont="1">
      <alignment vertical="center"/>
    </xf>
    <xf borderId="1" fillId="18" fontId="38" numFmtId="0" xfId="0" applyAlignment="1" applyBorder="1" applyFill="1" applyFont="1">
      <alignment vertical="center"/>
    </xf>
    <xf borderId="1" fillId="19" fontId="37" numFmtId="0" xfId="0" applyAlignment="1" applyBorder="1" applyFill="1" applyFont="1">
      <alignment horizontal="left" vertical="center"/>
    </xf>
    <xf borderId="1" fillId="18" fontId="24" numFmtId="0" xfId="0" applyAlignment="1" applyBorder="1" applyFill="1" applyFont="1">
      <alignment horizontal="left" vertical="center"/>
    </xf>
    <xf borderId="16" fillId="0" fontId="36" numFmtId="0" xfId="0" applyAlignment="1" applyBorder="1" applyFont="1">
      <alignment horizontal="left" vertical="center"/>
    </xf>
    <xf borderId="15" fillId="0" fontId="35" numFmtId="0" xfId="0" applyBorder="1" applyFont="1"/>
    <xf borderId="16" fillId="0" fontId="36" numFmtId="0" xfId="0" applyAlignment="1" applyBorder="1" applyFont="1">
      <alignment horizontal="left" readingOrder="0" vertical="center"/>
    </xf>
    <xf borderId="16" fillId="0" fontId="24" numFmtId="167" xfId="0" applyAlignment="1" applyBorder="1" applyFont="1" applyNumberFormat="1">
      <alignment horizontal="left" vertical="center"/>
    </xf>
    <xf borderId="1" fillId="18" fontId="12" numFmtId="180" xfId="0" applyAlignment="1" applyBorder="1" applyFill="1" applyFont="1" applyNumberFormat="1">
      <alignment horizontal="left" vertical="center"/>
    </xf>
    <xf borderId="33" fillId="18" fontId="24" numFmtId="167" xfId="0" applyAlignment="1" applyBorder="1" applyFill="1" applyFont="1" applyNumberFormat="1">
      <alignment horizontal="left" vertical="center"/>
    </xf>
    <xf borderId="1" fillId="18" fontId="24" numFmtId="180" xfId="0" applyAlignment="1" applyBorder="1" applyFill="1" applyFont="1" applyNumberFormat="1">
      <alignment horizontal="left" vertical="center"/>
    </xf>
    <xf borderId="33" fillId="18" fontId="24" numFmtId="181" xfId="0" applyAlignment="1" applyBorder="1" applyFill="1" applyFont="1" applyNumberFormat="1">
      <alignment horizontal="left" vertical="center"/>
    </xf>
    <xf borderId="3" fillId="0" fontId="4" numFmtId="0" xfId="0" applyAlignment="1" applyBorder="1" applyFont="1">
      <alignment horizontal="left" readingOrder="0"/>
    </xf>
    <xf borderId="1" fillId="18" fontId="36" numFmtId="179" xfId="0" applyAlignment="1" applyBorder="1" applyFill="1" applyFont="1" applyNumberFormat="1">
      <alignment horizontal="center" vertical="center"/>
    </xf>
    <xf borderId="1" fillId="20" fontId="16" numFmtId="0" xfId="0" applyAlignment="1" applyBorder="1" applyFill="1" applyFont="1">
      <alignment horizontal="left" vertical="center"/>
    </xf>
    <xf borderId="1" fillId="20" fontId="39" numFmtId="0" xfId="0" applyAlignment="1" applyBorder="1" applyFill="1" applyFont="1">
      <alignment vertical="center"/>
    </xf>
    <xf borderId="1" fillId="21" fontId="14" numFmtId="0" xfId="0" applyAlignment="1" applyBorder="1" applyFill="1" applyFont="1">
      <alignment horizontal="left" vertical="center"/>
    </xf>
    <xf borderId="1" fillId="21" fontId="14" numFmtId="0" xfId="0" applyAlignment="1" applyBorder="1" applyFill="1" applyFont="1">
      <alignment horizontal="center" shrinkToFit="0" vertical="center" wrapText="1"/>
    </xf>
    <xf borderId="35" fillId="0" fontId="14" numFmtId="0" xfId="0" applyAlignment="1" applyBorder="1" applyFont="1">
      <alignment horizontal="center" vertical="center"/>
    </xf>
    <xf borderId="35" fillId="0" fontId="14" numFmtId="167" xfId="0" applyAlignment="1" applyBorder="1" applyFont="1" applyNumberFormat="1">
      <alignment vertical="center"/>
    </xf>
    <xf borderId="35" fillId="0" fontId="14" numFmtId="0" xfId="0" applyAlignment="1" applyBorder="1" applyFont="1">
      <alignment horizontal="center" readingOrder="0" vertical="center"/>
    </xf>
    <xf borderId="15" fillId="0" fontId="36" numFmtId="0" xfId="0" applyAlignment="1" applyBorder="1" applyFont="1">
      <alignment horizontal="left" readingOrder="0" vertical="center"/>
    </xf>
    <xf borderId="36" fillId="0" fontId="36" numFmtId="0" xfId="0" applyAlignment="1" applyBorder="1" applyFont="1">
      <alignment horizontal="center" vertical="center"/>
    </xf>
    <xf borderId="36" fillId="0" fontId="36" numFmtId="167" xfId="0" applyAlignment="1" applyBorder="1" applyFont="1" applyNumberFormat="1">
      <alignment vertical="center"/>
    </xf>
    <xf borderId="15" fillId="0" fontId="36" numFmtId="0" xfId="0" applyAlignment="1" applyBorder="1" applyFont="1">
      <alignment horizontal="left" vertical="center"/>
    </xf>
    <xf borderId="16" fillId="0" fontId="36" numFmtId="167" xfId="0" applyAlignment="1" applyBorder="1" applyFont="1" applyNumberFormat="1">
      <alignment vertical="center"/>
    </xf>
    <xf borderId="20" fillId="0" fontId="36" numFmtId="0" xfId="0" applyAlignment="1" applyBorder="1" applyFont="1">
      <alignment horizontal="left" readingOrder="0" vertical="center"/>
    </xf>
    <xf borderId="37" fillId="0" fontId="36" numFmtId="0" xfId="0" applyAlignment="1" applyBorder="1" applyFont="1">
      <alignment horizontal="center" readingOrder="0" vertical="center"/>
    </xf>
    <xf borderId="37" fillId="0" fontId="36" numFmtId="167" xfId="0" applyAlignment="1" applyBorder="1" applyFont="1" applyNumberFormat="1">
      <alignment vertical="center"/>
    </xf>
    <xf borderId="22" fillId="0" fontId="36" numFmtId="167" xfId="0" applyAlignment="1" applyBorder="1" applyFont="1" applyNumberFormat="1">
      <alignment vertical="center"/>
    </xf>
    <xf borderId="20" fillId="0" fontId="36" numFmtId="0" xfId="0" applyAlignment="1" applyBorder="1" applyFont="1">
      <alignment horizontal="left" vertical="center"/>
    </xf>
    <xf borderId="37" fillId="0" fontId="36" numFmtId="0" xfId="0" applyAlignment="1" applyBorder="1" applyFont="1">
      <alignment horizontal="center" vertical="center"/>
    </xf>
    <xf borderId="37" fillId="0" fontId="36" numFmtId="180" xfId="0" applyAlignment="1" applyBorder="1" applyFont="1" applyNumberFormat="1">
      <alignment vertical="center"/>
    </xf>
    <xf borderId="22" fillId="0" fontId="36" numFmtId="180" xfId="0" applyAlignment="1" applyBorder="1" applyFont="1" applyNumberFormat="1">
      <alignment vertical="center"/>
    </xf>
    <xf borderId="1" fillId="20" fontId="16" numFmtId="0" xfId="0" applyAlignment="1" applyBorder="1" applyFill="1" applyFont="1">
      <alignment vertical="center"/>
    </xf>
    <xf borderId="1" fillId="20" fontId="16" numFmtId="167" xfId="0" applyAlignment="1" applyBorder="1" applyFill="1" applyFont="1" applyNumberFormat="1">
      <alignment vertical="center"/>
    </xf>
    <xf borderId="1" fillId="18" fontId="40" numFmtId="0" xfId="0" applyAlignment="1" applyBorder="1" applyFill="1" applyFont="1">
      <alignment horizontal="right" vertical="center"/>
    </xf>
    <xf borderId="1" fillId="18" fontId="40" numFmtId="179" xfId="0" applyAlignment="1" applyBorder="1" applyFill="1" applyFont="1" applyNumberFormat="1">
      <alignment vertical="center"/>
    </xf>
    <xf borderId="1" fillId="22" fontId="16" numFmtId="0" xfId="0" applyAlignment="1" applyBorder="1" applyFill="1" applyFont="1">
      <alignment horizontal="left" vertical="center"/>
    </xf>
    <xf borderId="1" fillId="22" fontId="17" numFmtId="0" xfId="0" applyAlignment="1" applyBorder="1" applyFill="1" applyFont="1">
      <alignment vertical="center"/>
    </xf>
    <xf borderId="8" fillId="0" fontId="28" numFmtId="0" xfId="0" applyAlignment="1" applyBorder="1" applyFont="1">
      <alignment readingOrder="0"/>
    </xf>
    <xf borderId="38" fillId="23" fontId="14" numFmtId="0" xfId="0" applyAlignment="1" applyBorder="1" applyFill="1" applyFont="1">
      <alignment horizontal="left" vertical="center"/>
    </xf>
    <xf borderId="1" fillId="23" fontId="14" numFmtId="0" xfId="0" applyAlignment="1" applyBorder="1" applyFill="1" applyFont="1">
      <alignment horizontal="center" vertical="center"/>
    </xf>
    <xf borderId="38" fillId="23" fontId="14" numFmtId="0" xfId="0" applyAlignment="1" applyBorder="1" applyFill="1" applyFont="1">
      <alignment horizontal="center" vertical="center"/>
    </xf>
    <xf borderId="39" fillId="0" fontId="35" numFmtId="0" xfId="0" applyBorder="1" applyFont="1"/>
    <xf borderId="18" fillId="0" fontId="28" numFmtId="0" xfId="0" applyAlignment="1" applyBorder="1" applyFont="1">
      <alignment readingOrder="0"/>
    </xf>
    <xf borderId="36" fillId="0" fontId="14" numFmtId="0" xfId="0" applyAlignment="1" applyBorder="1" applyFont="1">
      <alignment horizontal="center" vertical="center"/>
    </xf>
    <xf borderId="36" fillId="0" fontId="14" numFmtId="167" xfId="0" applyAlignment="1" applyBorder="1" applyFont="1" applyNumberFormat="1">
      <alignment vertical="center"/>
    </xf>
    <xf borderId="36" fillId="0" fontId="14" numFmtId="9" xfId="0" applyAlignment="1" applyBorder="1" applyFont="1" applyNumberFormat="1">
      <alignment horizontal="center" vertical="center"/>
    </xf>
    <xf borderId="36" fillId="0" fontId="36" numFmtId="180" xfId="0" applyAlignment="1" applyBorder="1" applyFont="1" applyNumberFormat="1">
      <alignment vertical="center"/>
    </xf>
    <xf borderId="1" fillId="22" fontId="16" numFmtId="0" xfId="0" applyAlignment="1" applyBorder="1" applyFill="1" applyFont="1">
      <alignment vertical="center"/>
    </xf>
    <xf borderId="1" fillId="22" fontId="16" numFmtId="167" xfId="0" applyAlignment="1" applyBorder="1" applyFill="1" applyFont="1" applyNumberFormat="1">
      <alignment vertical="center"/>
    </xf>
    <xf borderId="0" fillId="0" fontId="13" numFmtId="166" xfId="0" applyAlignment="1" applyFont="1" applyNumberFormat="1">
      <alignment readingOrder="0"/>
    </xf>
    <xf borderId="1" fillId="2" fontId="13" numFmtId="0" xfId="0" applyBorder="1" applyFill="1" applyFont="1"/>
    <xf borderId="1" fillId="7" fontId="4" numFmtId="0" xfId="0" applyBorder="1" applyFill="1" applyFont="1"/>
    <xf borderId="35" fillId="0" fontId="14" numFmtId="9" xfId="0" applyAlignment="1" applyBorder="1" applyFont="1" applyNumberFormat="1">
      <alignment vertical="center"/>
    </xf>
    <xf borderId="0" fillId="0" fontId="20" numFmtId="182" xfId="0" applyAlignment="1" applyFont="1" applyNumberFormat="1">
      <alignment readingOrder="0"/>
    </xf>
    <xf borderId="0" fillId="0" fontId="20" numFmtId="9" xfId="0" applyAlignment="1" applyFont="1" applyNumberFormat="1">
      <alignment readingOrder="0"/>
    </xf>
    <xf borderId="36" fillId="0" fontId="14" numFmtId="170" xfId="0" applyAlignment="1" applyBorder="1" applyFont="1" applyNumberFormat="1">
      <alignment vertical="center"/>
    </xf>
    <xf borderId="36" fillId="0" fontId="14" numFmtId="0" xfId="0" applyAlignment="1" applyBorder="1" applyFont="1">
      <alignment vertical="center"/>
    </xf>
    <xf borderId="8" fillId="0" fontId="4" numFmtId="0" xfId="0" applyBorder="1" applyFont="1"/>
    <xf borderId="8" fillId="0" fontId="4" numFmtId="173" xfId="0" applyBorder="1" applyFont="1" applyNumberFormat="1"/>
    <xf borderId="0" fillId="0" fontId="37" numFmtId="166" xfId="0" applyAlignment="1" applyFont="1" applyNumberFormat="1">
      <alignment vertical="center"/>
    </xf>
    <xf borderId="0" fillId="0" fontId="37" numFmtId="0" xfId="0" applyAlignment="1" applyFont="1">
      <alignment vertical="center"/>
    </xf>
    <xf borderId="0" fillId="0" fontId="36" numFmtId="0" xfId="0" applyAlignment="1" applyFont="1">
      <alignment vertical="center"/>
    </xf>
    <xf borderId="0" fillId="0" fontId="36" numFmtId="179" xfId="0" applyAlignment="1" applyFont="1" applyNumberFormat="1">
      <alignment vertical="center"/>
    </xf>
    <xf borderId="40" fillId="0" fontId="4" numFmtId="173" xfId="0" applyBorder="1" applyFont="1" applyNumberFormat="1"/>
    <xf borderId="0" fillId="0" fontId="37" numFmtId="166" xfId="0" applyAlignment="1" applyFont="1" applyNumberFormat="1">
      <alignment horizontal="left" vertical="center"/>
    </xf>
    <xf borderId="0" fillId="0" fontId="4" numFmtId="183" xfId="0" applyFont="1" applyNumberFormat="1"/>
    <xf borderId="40" fillId="0" fontId="23" numFmtId="173" xfId="0" applyBorder="1" applyFont="1" applyNumberFormat="1"/>
    <xf borderId="1" fillId="18" fontId="36" numFmtId="179" xfId="0" applyAlignment="1" applyBorder="1" applyFill="1" applyFont="1" applyNumberFormat="1">
      <alignment readingOrder="0" vertical="center"/>
    </xf>
    <xf borderId="0" fillId="0" fontId="4" numFmtId="166" xfId="0" applyAlignment="1" applyFont="1" applyNumberFormat="1">
      <alignment readingOrder="0"/>
    </xf>
    <xf borderId="0" fillId="24" fontId="4" numFmtId="0" xfId="0" applyFill="1" applyFont="1"/>
    <xf borderId="0" fillId="0" fontId="41" numFmtId="10" xfId="0" applyFont="1" applyNumberFormat="1"/>
    <xf borderId="36" fillId="0" fontId="36" numFmtId="0" xfId="0" applyAlignment="1" applyBorder="1" applyFont="1">
      <alignment horizontal="center" readingOrder="0" vertical="center"/>
    </xf>
    <xf borderId="33" fillId="17" fontId="34" numFmtId="0" xfId="0" applyAlignment="1" applyBorder="1" applyFill="1" applyFont="1">
      <alignment vertical="center"/>
    </xf>
    <xf borderId="37" fillId="0" fontId="14" numFmtId="176" xfId="0" applyAlignment="1" applyBorder="1" applyFont="1" applyNumberFormat="1">
      <alignment vertical="center"/>
    </xf>
    <xf borderId="0" fillId="0" fontId="42" numFmtId="166" xfId="0" applyAlignment="1" applyFont="1" applyNumberFormat="1">
      <alignment vertical="center"/>
    </xf>
    <xf borderId="1" fillId="17" fontId="34" numFmtId="0" xfId="0" applyAlignment="1" applyBorder="1" applyFill="1" applyFont="1">
      <alignment vertical="center"/>
    </xf>
    <xf borderId="35" fillId="0" fontId="14" numFmtId="167" xfId="0" applyAlignment="1" applyBorder="1" applyFont="1" applyNumberFormat="1">
      <alignment readingOrder="0" vertical="center"/>
    </xf>
    <xf borderId="0" fillId="0" fontId="37" numFmtId="0" xfId="0" applyAlignment="1" applyFont="1">
      <alignment horizontal="left" vertical="center"/>
    </xf>
    <xf borderId="36" fillId="0" fontId="14" numFmtId="0" xfId="0" applyAlignment="1" applyBorder="1" applyFont="1">
      <alignment horizontal="center" readingOrder="0" vertical="center"/>
    </xf>
    <xf borderId="20" fillId="0" fontId="14" numFmtId="0" xfId="0" applyAlignment="1" applyBorder="1" applyFont="1">
      <alignment horizontal="left" readingOrder="0" vertical="center"/>
    </xf>
    <xf borderId="37" fillId="0" fontId="14" numFmtId="0" xfId="0" applyAlignment="1" applyBorder="1" applyFont="1">
      <alignment horizontal="center" readingOrder="0" vertical="center"/>
    </xf>
    <xf borderId="37" fillId="0" fontId="14" numFmtId="167" xfId="0" applyAlignment="1" applyBorder="1" applyFont="1" applyNumberFormat="1">
      <alignment vertical="center"/>
    </xf>
    <xf borderId="36" fillId="0" fontId="23" numFmtId="0" xfId="0" applyAlignment="1" applyBorder="1" applyFont="1">
      <alignment vertical="center"/>
    </xf>
    <xf borderId="0" fillId="0" fontId="42" numFmtId="0" xfId="0" applyAlignment="1" applyFont="1">
      <alignment vertical="center"/>
    </xf>
    <xf borderId="22" fillId="0" fontId="14" numFmtId="167" xfId="0" applyAlignment="1" applyBorder="1" applyFont="1" applyNumberFormat="1">
      <alignment readingOrder="0" vertical="center"/>
    </xf>
    <xf borderId="37" fillId="0" fontId="14" numFmtId="0" xfId="0" applyAlignment="1" applyBorder="1" applyFont="1">
      <alignment horizontal="center" vertical="center"/>
    </xf>
    <xf borderId="16" fillId="0" fontId="24" numFmtId="166" xfId="0" applyAlignment="1" applyBorder="1" applyFont="1" applyNumberFormat="1">
      <alignment horizontal="left" readingOrder="0" vertical="center"/>
    </xf>
    <xf borderId="33" fillId="18" fontId="24" numFmtId="166" xfId="0" applyAlignment="1" applyBorder="1" applyFill="1" applyFont="1" applyNumberFormat="1">
      <alignment horizontal="left" vertical="center"/>
    </xf>
    <xf borderId="1" fillId="19" fontId="37" numFmtId="166" xfId="0" applyAlignment="1" applyBorder="1" applyFill="1" applyFont="1" applyNumberFormat="1">
      <alignment horizontal="left" vertical="center"/>
    </xf>
    <xf borderId="0" fillId="0" fontId="37" numFmtId="0" xfId="0" applyAlignment="1" applyFont="1">
      <alignment readingOrder="0" vertical="center"/>
    </xf>
    <xf borderId="1" fillId="18" fontId="14" numFmtId="179" xfId="0" applyAlignment="1" applyBorder="1" applyFill="1" applyFont="1" applyNumberFormat="1">
      <alignment vertical="center"/>
    </xf>
    <xf borderId="0" fillId="0" fontId="37" numFmtId="179" xfId="0" applyAlignment="1" applyFont="1" applyNumberFormat="1">
      <alignment vertical="center"/>
    </xf>
    <xf borderId="15" fillId="0" fontId="14" numFmtId="0" xfId="0" applyBorder="1" applyFont="1"/>
    <xf borderId="35" fillId="0" fontId="14" numFmtId="0" xfId="0" applyAlignment="1" applyBorder="1" applyFont="1">
      <alignment horizontal="center"/>
    </xf>
    <xf borderId="36" fillId="0" fontId="14" numFmtId="167" xfId="0" applyAlignment="1" applyBorder="1" applyFont="1" applyNumberFormat="1">
      <alignment horizontal="right"/>
    </xf>
    <xf borderId="36" fillId="0" fontId="14" numFmtId="177" xfId="0" applyAlignment="1" applyBorder="1" applyFont="1" applyNumberFormat="1">
      <alignment vertical="center"/>
    </xf>
    <xf borderId="36" fillId="0" fontId="14" numFmtId="167" xfId="0" applyAlignment="1" applyBorder="1" applyFont="1" applyNumberFormat="1">
      <alignment readingOrder="0" vertical="center"/>
    </xf>
    <xf borderId="36" fillId="0" fontId="14" numFmtId="0" xfId="0" applyAlignment="1" applyBorder="1" applyFont="1">
      <alignment horizontal="center"/>
    </xf>
    <xf borderId="12" fillId="0" fontId="14" numFmtId="167" xfId="0" applyAlignment="1" applyBorder="1" applyFont="1" applyNumberFormat="1">
      <alignment horizontal="right"/>
    </xf>
    <xf borderId="16" fillId="0" fontId="24" numFmtId="166" xfId="0" applyAlignment="1" applyBorder="1" applyFont="1" applyNumberFormat="1">
      <alignment horizontal="left" vertical="center"/>
    </xf>
    <xf borderId="1" fillId="19" fontId="37" numFmtId="9" xfId="0" applyAlignment="1" applyBorder="1" applyFill="1" applyFont="1" applyNumberFormat="1">
      <alignment vertical="center"/>
    </xf>
    <xf borderId="20" fillId="0" fontId="43" numFmtId="0" xfId="0" applyAlignment="1" applyBorder="1" applyFont="1">
      <alignment horizontal="left" vertical="center"/>
    </xf>
    <xf borderId="15" fillId="0" fontId="23" numFmtId="0" xfId="0" applyAlignment="1" applyBorder="1" applyFont="1">
      <alignment horizontal="left" vertical="center"/>
    </xf>
    <xf borderId="0" fillId="0" fontId="18" numFmtId="167" xfId="0" applyAlignment="1" applyFont="1" applyNumberFormat="1">
      <alignment vertical="center"/>
    </xf>
    <xf borderId="0" fillId="0" fontId="18" numFmtId="167" xfId="0" applyAlignment="1" applyFont="1" applyNumberFormat="1">
      <alignment readingOrder="0" vertical="center"/>
    </xf>
    <xf borderId="0" fillId="0" fontId="40" numFmtId="0" xfId="0" applyAlignment="1" applyFont="1">
      <alignment horizontal="right" vertical="center"/>
    </xf>
    <xf borderId="0" fillId="0" fontId="40" numFmtId="179" xfId="0" applyAlignment="1" applyFont="1" applyNumberFormat="1">
      <alignment vertical="center"/>
    </xf>
    <xf borderId="37" fillId="0" fontId="36" numFmtId="176" xfId="0" applyAlignment="1" applyBorder="1" applyFont="1" applyNumberFormat="1">
      <alignment vertical="center"/>
    </xf>
    <xf borderId="36" fillId="0" fontId="36" numFmtId="176" xfId="0" applyAlignment="1" applyBorder="1" applyFont="1" applyNumberFormat="1">
      <alignment vertical="center"/>
    </xf>
    <xf borderId="15" fillId="0" fontId="43" numFmtId="0" xfId="0" applyAlignment="1" applyBorder="1" applyFont="1">
      <alignment horizontal="left" vertical="center"/>
    </xf>
    <xf borderId="41" fillId="7" fontId="14" numFmtId="0" xfId="0" applyAlignment="1" applyBorder="1" applyFill="1" applyFont="1">
      <alignment horizontal="left" vertical="center"/>
    </xf>
    <xf borderId="33" fillId="19" fontId="37" numFmtId="166" xfId="0" applyAlignment="1" applyBorder="1" applyFill="1" applyFont="1" applyNumberFormat="1">
      <alignment vertical="center"/>
    </xf>
    <xf borderId="28" fillId="0" fontId="35" numFmtId="0" xfId="0" applyBorder="1" applyFont="1"/>
    <xf borderId="16" fillId="0" fontId="24" numFmtId="167" xfId="0" applyAlignment="1" applyBorder="1" applyFont="1" applyNumberFormat="1">
      <alignment horizontal="left" readingOrder="0" vertical="center"/>
    </xf>
    <xf borderId="0" fillId="0" fontId="37" numFmtId="9" xfId="0" applyAlignment="1" applyFont="1" applyNumberFormat="1">
      <alignment vertical="center"/>
    </xf>
    <xf borderId="41" fillId="0" fontId="14" numFmtId="0" xfId="0" applyAlignment="1" applyBorder="1" applyFont="1">
      <alignment horizontal="left" vertical="center"/>
    </xf>
    <xf borderId="12" fillId="0" fontId="23" numFmtId="167" xfId="0" applyAlignment="1" applyBorder="1" applyFont="1" applyNumberFormat="1">
      <alignment vertical="center"/>
    </xf>
    <xf borderId="1" fillId="25" fontId="36" numFmtId="0" xfId="0" applyAlignment="1" applyBorder="1" applyFill="1" applyFont="1">
      <alignment vertical="center"/>
    </xf>
    <xf borderId="1" fillId="25" fontId="36" numFmtId="179" xfId="0" applyAlignment="1" applyBorder="1" applyFill="1" applyFont="1" applyNumberFormat="1">
      <alignment vertical="center"/>
    </xf>
    <xf borderId="1" fillId="25" fontId="37" numFmtId="0" xfId="0" applyAlignment="1" applyBorder="1" applyFill="1" applyFont="1">
      <alignment vertical="center"/>
    </xf>
    <xf borderId="1" fillId="26" fontId="36" numFmtId="0" xfId="0" applyAlignment="1" applyBorder="1" applyFill="1" applyFont="1">
      <alignment vertical="center"/>
    </xf>
    <xf borderId="1" fillId="26" fontId="36" numFmtId="179" xfId="0" applyAlignment="1" applyBorder="1" applyFill="1" applyFont="1" applyNumberFormat="1">
      <alignment vertical="center"/>
    </xf>
    <xf borderId="1" fillId="26" fontId="37" numFmtId="0" xfId="0" applyAlignment="1" applyBorder="1" applyFill="1" applyFont="1">
      <alignment vertical="center"/>
    </xf>
    <xf borderId="42" fillId="7" fontId="14" numFmtId="0" xfId="0" applyAlignment="1" applyBorder="1" applyFill="1" applyFont="1">
      <alignment horizontal="left" vertical="center"/>
    </xf>
    <xf borderId="1" fillId="0" fontId="37" numFmtId="0" xfId="0" applyAlignment="1" applyBorder="1" applyFont="1">
      <alignment vertical="center"/>
    </xf>
    <xf borderId="1" fillId="0" fontId="37" numFmtId="0" xfId="0" applyAlignment="1" applyBorder="1" applyFont="1">
      <alignment horizontal="left" vertical="center"/>
    </xf>
    <xf borderId="1" fillId="18" fontId="36" numFmtId="0" xfId="0" applyAlignment="1" applyBorder="1" applyFill="1" applyFont="1">
      <alignment readingOrder="0" vertical="center"/>
    </xf>
    <xf borderId="16" fillId="0" fontId="43" numFmtId="0" xfId="0" applyAlignment="1" applyBorder="1" applyFont="1">
      <alignment horizontal="left" vertical="center"/>
    </xf>
    <xf borderId="1" fillId="17" fontId="36" numFmtId="0" xfId="0" applyAlignment="1" applyBorder="1" applyFill="1" applyFont="1">
      <alignment vertical="center"/>
    </xf>
    <xf borderId="1" fillId="17" fontId="36" numFmtId="179" xfId="0" applyAlignment="1" applyBorder="1" applyFill="1" applyFont="1" applyNumberFormat="1">
      <alignment vertical="center"/>
    </xf>
    <xf borderId="1" fillId="17" fontId="37" numFmtId="0" xfId="0" applyAlignment="1" applyBorder="1" applyFill="1" applyFont="1">
      <alignment vertical="center"/>
    </xf>
    <xf borderId="1" fillId="27" fontId="36" numFmtId="0" xfId="0" applyAlignment="1" applyBorder="1" applyFill="1" applyFont="1">
      <alignment vertical="center"/>
    </xf>
    <xf borderId="1" fillId="27" fontId="36" numFmtId="179" xfId="0" applyAlignment="1" applyBorder="1" applyFill="1" applyFont="1" applyNumberFormat="1">
      <alignment vertical="center"/>
    </xf>
    <xf borderId="1" fillId="27" fontId="37" numFmtId="0" xfId="0" applyAlignment="1" applyBorder="1" applyFill="1" applyFont="1">
      <alignment vertical="center"/>
    </xf>
    <xf borderId="0" fillId="0" fontId="44" numFmtId="167" xfId="0" applyAlignment="1" applyFont="1" applyNumberFormat="1">
      <alignment vertical="center"/>
    </xf>
    <xf borderId="33" fillId="18" fontId="12" numFmtId="167" xfId="0" applyAlignment="1" applyBorder="1" applyFill="1" applyFont="1" applyNumberFormat="1">
      <alignment horizontal="left" shrinkToFit="0" vertical="center" wrapText="0"/>
    </xf>
    <xf borderId="0" fillId="0" fontId="37" numFmtId="167" xfId="0" applyAlignment="1" applyFont="1" applyNumberFormat="1">
      <alignment vertical="center"/>
    </xf>
    <xf borderId="38" fillId="18" fontId="36" numFmtId="0" xfId="0" applyAlignment="1" applyBorder="1" applyFill="1" applyFont="1">
      <alignment vertical="center"/>
    </xf>
    <xf borderId="33" fillId="18" fontId="24" numFmtId="0" xfId="0" applyAlignment="1" applyBorder="1" applyFill="1" applyFont="1">
      <alignment horizontal="left" vertical="center"/>
    </xf>
    <xf borderId="36" fillId="0" fontId="14" numFmtId="167" xfId="0" applyAlignment="1" applyBorder="1" applyFont="1" applyNumberFormat="1">
      <alignment horizontal="center" vertical="center"/>
    </xf>
    <xf borderId="10" fillId="0" fontId="14" numFmtId="167" xfId="0" applyAlignment="1" applyBorder="1" applyFont="1" applyNumberFormat="1">
      <alignment horizontal="left" vertical="center"/>
    </xf>
    <xf borderId="15" fillId="0" fontId="14" numFmtId="167" xfId="0" applyAlignment="1" applyBorder="1" applyFont="1" applyNumberFormat="1">
      <alignment horizontal="left" vertical="center"/>
    </xf>
    <xf borderId="15" fillId="7" fontId="14" numFmtId="0" xfId="0" applyAlignment="1" applyBorder="1" applyFill="1" applyFont="1">
      <alignment horizontal="left" readingOrder="0" vertical="center"/>
    </xf>
    <xf borderId="35" fillId="0" fontId="14" numFmtId="166" xfId="0" applyAlignment="1" applyBorder="1" applyFont="1" applyNumberFormat="1">
      <alignment vertical="center"/>
    </xf>
    <xf borderId="33" fillId="19" fontId="37" numFmtId="9" xfId="0" applyAlignment="1" applyBorder="1" applyFill="1" applyFont="1" applyNumberFormat="1">
      <alignment horizontal="center" vertical="center"/>
    </xf>
    <xf borderId="1" fillId="19" fontId="37" numFmtId="9" xfId="0" applyAlignment="1" applyBorder="1" applyFill="1" applyFont="1" applyNumberFormat="1">
      <alignment horizontal="center" vertical="center"/>
    </xf>
    <xf borderId="0" fillId="0" fontId="37" numFmtId="169" xfId="0" applyAlignment="1" applyFont="1" applyNumberFormat="1">
      <alignment vertical="center"/>
    </xf>
    <xf borderId="33" fillId="19" fontId="37" numFmtId="0" xfId="0" applyAlignment="1" applyBorder="1" applyFill="1" applyFont="1">
      <alignment horizontal="center" vertical="center"/>
    </xf>
    <xf borderId="36" fillId="0" fontId="14" numFmtId="176" xfId="0" applyAlignment="1" applyBorder="1" applyFont="1" applyNumberFormat="1">
      <alignment vertical="center"/>
    </xf>
    <xf borderId="20" fillId="0" fontId="14" numFmtId="167" xfId="0" applyAlignment="1" applyBorder="1" applyFont="1" applyNumberFormat="1">
      <alignment horizontal="left" vertical="center"/>
    </xf>
    <xf borderId="37" fillId="0" fontId="14" numFmtId="180" xfId="0" applyAlignment="1" applyBorder="1" applyFont="1" applyNumberFormat="1">
      <alignment vertical="center"/>
    </xf>
    <xf borderId="22" fillId="0" fontId="14" numFmtId="180" xfId="0" applyAlignment="1" applyBorder="1" applyFont="1" applyNumberFormat="1">
      <alignment vertical="center"/>
    </xf>
    <xf borderId="0" fillId="0" fontId="20" numFmtId="0" xfId="0" applyFont="1"/>
    <xf borderId="0" fillId="0" fontId="36" numFmtId="0" xfId="0" applyAlignment="1" applyFont="1">
      <alignment readingOrder="0" vertical="center"/>
    </xf>
    <xf borderId="1" fillId="28" fontId="36" numFmtId="0" xfId="0" applyAlignment="1" applyBorder="1" applyFill="1" applyFont="1">
      <alignment vertical="center"/>
    </xf>
    <xf borderId="1" fillId="28" fontId="36" numFmtId="179" xfId="0" applyAlignment="1" applyBorder="1" applyFill="1" applyFont="1" applyNumberFormat="1">
      <alignment vertical="center"/>
    </xf>
    <xf borderId="1" fillId="20" fontId="12" numFmtId="0" xfId="0" applyAlignment="1" applyBorder="1" applyFill="1" applyFont="1">
      <alignment vertical="center"/>
    </xf>
    <xf borderId="1" fillId="18" fontId="24" numFmtId="0" xfId="0" applyAlignment="1" applyBorder="1" applyFill="1" applyFont="1">
      <alignment horizontal="right" vertical="center"/>
    </xf>
    <xf borderId="1" fillId="22" fontId="15" numFmtId="0" xfId="0" applyAlignment="1" applyBorder="1" applyFill="1" applyFont="1">
      <alignment vertical="center"/>
    </xf>
    <xf borderId="0" fillId="4" fontId="45" numFmtId="167" xfId="0" applyFill="1" applyFont="1" applyNumberFormat="1"/>
    <xf borderId="34" fillId="18" fontId="24" numFmtId="167" xfId="0" applyAlignment="1" applyBorder="1" applyFill="1" applyFont="1" applyNumberFormat="1">
      <alignment horizontal="left" vertical="center"/>
    </xf>
    <xf borderId="0" fillId="0" fontId="36" numFmtId="0" xfId="0" applyAlignment="1" applyFont="1">
      <alignment horizontal="center" readingOrder="0" vertical="center"/>
    </xf>
    <xf borderId="37" fillId="0" fontId="36" numFmtId="177" xfId="0" applyAlignment="1" applyBorder="1" applyFont="1" applyNumberFormat="1">
      <alignment vertical="center"/>
    </xf>
    <xf borderId="36" fillId="0" fontId="36" numFmtId="177" xfId="0" applyAlignment="1" applyBorder="1" applyFont="1" applyNumberFormat="1">
      <alignment vertical="center"/>
    </xf>
    <xf borderId="15" fillId="0" fontId="14" numFmtId="177" xfId="0" applyAlignment="1" applyBorder="1" applyFont="1" applyNumberFormat="1">
      <alignment horizontal="left" vertical="center"/>
    </xf>
    <xf borderId="1" fillId="18" fontId="24" numFmtId="167" xfId="0" applyAlignment="1" applyBorder="1" applyFill="1" applyFont="1" applyNumberFormat="1">
      <alignment vertical="center"/>
    </xf>
    <xf borderId="20" fillId="0" fontId="23" numFmtId="0" xfId="0" applyAlignment="1" applyBorder="1" applyFont="1">
      <alignment horizontal="left" vertical="center"/>
    </xf>
    <xf borderId="1" fillId="17" fontId="34" numFmtId="170" xfId="0" applyAlignment="1" applyBorder="1" applyFill="1" applyFont="1" applyNumberFormat="1">
      <alignment vertical="center"/>
    </xf>
    <xf borderId="1" fillId="18" fontId="36" numFmtId="9" xfId="0" applyAlignment="1" applyBorder="1" applyFill="1" applyFont="1" applyNumberFormat="1">
      <alignment vertical="center"/>
    </xf>
    <xf borderId="0" fillId="0" fontId="4" numFmtId="10" xfId="0" applyAlignment="1" applyFont="1" applyNumberFormat="1">
      <alignment horizontal="center"/>
    </xf>
    <xf borderId="0" fillId="0" fontId="37" numFmtId="2" xfId="0" applyAlignment="1" applyFont="1" applyNumberFormat="1">
      <alignment readingOrder="0" vertical="center"/>
    </xf>
    <xf borderId="0" fillId="0" fontId="23" numFmtId="167" xfId="0" applyAlignment="1" applyFont="1" applyNumberFormat="1">
      <alignment horizontal="center"/>
    </xf>
    <xf borderId="0" fillId="0" fontId="4" numFmtId="167" xfId="0" applyAlignment="1" applyFont="1" applyNumberFormat="1">
      <alignment horizontal="center"/>
    </xf>
    <xf borderId="36" fillId="0" fontId="14" numFmtId="168" xfId="0" applyAlignment="1" applyBorder="1" applyFont="1" applyNumberFormat="1">
      <alignment vertical="center"/>
    </xf>
    <xf borderId="0" fillId="0" fontId="20" numFmtId="0" xfId="0" applyFont="1"/>
    <xf borderId="0" fillId="0" fontId="22" numFmtId="167" xfId="0" applyFont="1" applyNumberFormat="1"/>
    <xf borderId="0" fillId="0" fontId="22" numFmtId="22" xfId="0" applyFont="1" applyNumberFormat="1"/>
    <xf borderId="0" fillId="0" fontId="22" numFmtId="3" xfId="0" applyFont="1" applyNumberFormat="1"/>
    <xf borderId="1" fillId="28" fontId="13" numFmtId="0" xfId="0" applyAlignment="1" applyBorder="1" applyFill="1" applyFont="1">
      <alignment horizontal="left" vertical="center"/>
    </xf>
    <xf borderId="5" fillId="28" fontId="13" numFmtId="0" xfId="0" applyAlignment="1" applyBorder="1" applyFill="1" applyFont="1">
      <alignment horizontal="left" vertical="center"/>
    </xf>
    <xf borderId="1" fillId="28" fontId="13" numFmtId="2" xfId="0" applyAlignment="1" applyBorder="1" applyFill="1" applyFont="1" applyNumberFormat="1">
      <alignment horizontal="left" vertical="center"/>
    </xf>
    <xf borderId="5" fillId="29" fontId="13" numFmtId="0" xfId="0" applyAlignment="1" applyBorder="1" applyFill="1" applyFont="1">
      <alignment horizontal="left" vertical="center"/>
    </xf>
    <xf borderId="1" fillId="29" fontId="13" numFmtId="2" xfId="0" applyAlignment="1" applyBorder="1" applyFill="1" applyFont="1" applyNumberFormat="1">
      <alignment horizontal="left" vertical="center"/>
    </xf>
    <xf borderId="5" fillId="30" fontId="13" numFmtId="0" xfId="0" applyAlignment="1" applyBorder="1" applyFill="1" applyFont="1">
      <alignment horizontal="left" vertical="center"/>
    </xf>
    <xf borderId="1" fillId="30" fontId="13" numFmtId="2" xfId="0" applyAlignment="1" applyBorder="1" applyFill="1" applyFont="1" applyNumberFormat="1">
      <alignment horizontal="left" vertical="center"/>
    </xf>
    <xf borderId="8" fillId="0" fontId="13" numFmtId="0" xfId="0" applyBorder="1" applyFont="1"/>
    <xf borderId="8" fillId="0" fontId="22" numFmtId="0" xfId="0" applyBorder="1" applyFont="1"/>
    <xf borderId="43" fillId="2" fontId="4" numFmtId="0" xfId="0" applyBorder="1" applyFill="1" applyFont="1"/>
    <xf borderId="19" fillId="2" fontId="4" numFmtId="0" xfId="0" applyBorder="1" applyFill="1" applyFont="1"/>
    <xf borderId="18" fillId="0" fontId="13" numFmtId="0" xfId="0" applyBorder="1" applyFont="1"/>
    <xf borderId="18" fillId="0" fontId="4" numFmtId="0" xfId="0" applyAlignment="1" applyBorder="1" applyFont="1">
      <alignment readingOrder="0"/>
    </xf>
    <xf borderId="44" fillId="0" fontId="4" numFmtId="0" xfId="0" applyBorder="1" applyFont="1"/>
    <xf borderId="18" fillId="0" fontId="4" numFmtId="2" xfId="0" applyBorder="1" applyFont="1" applyNumberFormat="1"/>
    <xf borderId="18" fillId="0" fontId="4" numFmtId="0" xfId="0" applyBorder="1" applyFont="1"/>
    <xf borderId="33" fillId="14" fontId="13" numFmtId="173" xfId="0" applyAlignment="1" applyBorder="1" applyFill="1" applyFont="1" applyNumberFormat="1">
      <alignment horizontal="center"/>
    </xf>
    <xf borderId="0" fillId="0" fontId="4" numFmtId="171" xfId="0" applyFont="1" applyNumberFormat="1"/>
    <xf borderId="1" fillId="14" fontId="13" numFmtId="167" xfId="0" applyBorder="1" applyFill="1" applyFont="1" applyNumberFormat="1"/>
    <xf borderId="1" fillId="14" fontId="13" numFmtId="10" xfId="0" applyBorder="1" applyFill="1" applyFont="1" applyNumberFormat="1"/>
    <xf borderId="0" fillId="0" fontId="4" numFmtId="9" xfId="0" applyFont="1" applyNumberFormat="1"/>
    <xf borderId="1" fillId="2" fontId="13" numFmtId="165" xfId="0" applyAlignment="1" applyBorder="1" applyFill="1" applyFont="1" applyNumberFormat="1">
      <alignment horizontal="left"/>
    </xf>
    <xf borderId="44" fillId="0" fontId="4" numFmtId="0" xfId="0" applyAlignment="1" applyBorder="1" applyFont="1">
      <alignment readingOrder="0"/>
    </xf>
    <xf borderId="0" fillId="0" fontId="13" numFmtId="170" xfId="0" applyAlignment="1" applyFont="1" applyNumberFormat="1">
      <alignment horizontal="center" vertical="center"/>
    </xf>
    <xf borderId="1" fillId="2" fontId="13" numFmtId="173" xfId="0" applyBorder="1" applyFill="1" applyFont="1" applyNumberFormat="1"/>
    <xf borderId="1" fillId="2" fontId="13" numFmtId="9" xfId="0" applyBorder="1" applyFill="1" applyFont="1" applyNumberFormat="1"/>
    <xf borderId="4" fillId="2" fontId="13" numFmtId="167" xfId="0" applyBorder="1" applyFill="1" applyFont="1" applyNumberFormat="1"/>
    <xf borderId="1" fillId="2" fontId="13" numFmtId="170" xfId="0" applyBorder="1" applyFill="1" applyFont="1" applyNumberFormat="1"/>
    <xf borderId="1" fillId="2" fontId="13" numFmtId="10" xfId="0" applyBorder="1" applyFill="1" applyFont="1" applyNumberFormat="1"/>
    <xf borderId="5" fillId="2" fontId="13" numFmtId="170" xfId="0" applyBorder="1" applyFill="1" applyFont="1" applyNumberFormat="1"/>
    <xf borderId="5" fillId="2" fontId="13" numFmtId="173" xfId="0" applyBorder="1" applyFill="1" applyFont="1" applyNumberFormat="1"/>
    <xf borderId="37" fillId="0" fontId="14" numFmtId="168" xfId="0" applyAlignment="1" applyBorder="1" applyFont="1" applyNumberFormat="1">
      <alignment vertical="center"/>
    </xf>
    <xf borderId="0" fillId="0" fontId="13" numFmtId="0" xfId="0" applyFont="1"/>
    <xf borderId="7" fillId="0" fontId="46" numFmtId="10" xfId="0" applyAlignment="1" applyBorder="1" applyFont="1" applyNumberFormat="1">
      <alignment horizontal="center"/>
    </xf>
    <xf borderId="0" fillId="0" fontId="46" numFmtId="10" xfId="0" applyAlignment="1" applyFont="1" applyNumberFormat="1">
      <alignment horizontal="center"/>
    </xf>
    <xf borderId="7" fillId="0" fontId="4" numFmtId="173" xfId="0" applyBorder="1" applyFont="1" applyNumberFormat="1"/>
    <xf borderId="1" fillId="2" fontId="4" numFmtId="0" xfId="0" applyBorder="1" applyFill="1" applyFont="1"/>
    <xf borderId="0" fillId="0" fontId="4" numFmtId="170" xfId="0" applyAlignment="1" applyFont="1" applyNumberFormat="1">
      <alignment readingOrder="0"/>
    </xf>
    <xf borderId="7" fillId="0" fontId="4" numFmtId="170" xfId="0" applyBorder="1" applyFont="1" applyNumberFormat="1"/>
    <xf borderId="18" fillId="0" fontId="22" numFmtId="0" xfId="0" applyBorder="1" applyFont="1"/>
    <xf borderId="1" fillId="7" fontId="14" numFmtId="0" xfId="0" applyBorder="1" applyFill="1" applyFont="1"/>
    <xf borderId="18" fillId="0" fontId="13" numFmtId="0" xfId="0" applyAlignment="1" applyBorder="1" applyFont="1">
      <alignment readingOrder="0"/>
    </xf>
    <xf borderId="24" fillId="0" fontId="4" numFmtId="170" xfId="0" applyAlignment="1" applyBorder="1" applyFont="1" applyNumberFormat="1">
      <alignment readingOrder="0"/>
    </xf>
    <xf borderId="24" fillId="0" fontId="4" numFmtId="170" xfId="0" applyBorder="1" applyFont="1" applyNumberFormat="1"/>
    <xf borderId="24" fillId="0" fontId="4" numFmtId="173" xfId="0" applyBorder="1" applyFont="1" applyNumberFormat="1"/>
    <xf borderId="1" fillId="2" fontId="22" numFmtId="0" xfId="0" applyBorder="1" applyFill="1" applyFont="1"/>
    <xf borderId="1" fillId="18" fontId="36" numFmtId="10" xfId="0" applyAlignment="1" applyBorder="1" applyFill="1" applyFont="1" applyNumberFormat="1">
      <alignment vertical="center"/>
    </xf>
    <xf borderId="37" fillId="0" fontId="14" numFmtId="167" xfId="0" applyAlignment="1" applyBorder="1" applyFont="1" applyNumberFormat="1">
      <alignment readingOrder="0" vertical="center"/>
    </xf>
    <xf borderId="45" fillId="0" fontId="4" numFmtId="170" xfId="0" applyBorder="1" applyFont="1" applyNumberFormat="1"/>
    <xf borderId="40" fillId="0" fontId="4" numFmtId="10" xfId="0" applyBorder="1" applyFont="1" applyNumberFormat="1"/>
    <xf borderId="40" fillId="0" fontId="4" numFmtId="170" xfId="0" applyBorder="1" applyFont="1" applyNumberFormat="1"/>
    <xf borderId="45" fillId="0" fontId="4" numFmtId="173" xfId="0" applyBorder="1" applyFont="1" applyNumberFormat="1"/>
    <xf borderId="40" fillId="0" fontId="4" numFmtId="0" xfId="0" applyBorder="1" applyFont="1"/>
    <xf borderId="1" fillId="31" fontId="4" numFmtId="0" xfId="0" applyBorder="1" applyFill="1" applyFont="1"/>
    <xf borderId="1" fillId="31" fontId="4" numFmtId="173" xfId="0" applyBorder="1" applyFill="1" applyFont="1" applyNumberFormat="1"/>
    <xf borderId="1" fillId="31" fontId="4" numFmtId="9" xfId="0" applyBorder="1" applyFill="1" applyFont="1" applyNumberFormat="1"/>
    <xf borderId="4" fillId="31" fontId="4" numFmtId="167" xfId="0" applyBorder="1" applyFill="1" applyFont="1" applyNumberFormat="1"/>
    <xf borderId="1" fillId="31" fontId="4" numFmtId="170" xfId="0" applyBorder="1" applyFill="1" applyFont="1" applyNumberFormat="1"/>
    <xf borderId="1" fillId="31" fontId="4" numFmtId="10" xfId="0" applyBorder="1" applyFill="1" applyFont="1" applyNumberFormat="1"/>
    <xf borderId="5" fillId="31" fontId="4" numFmtId="170" xfId="0" applyBorder="1" applyFill="1" applyFont="1" applyNumberFormat="1"/>
    <xf borderId="5" fillId="31" fontId="4" numFmtId="10" xfId="0" applyBorder="1" applyFill="1" applyFont="1" applyNumberFormat="1"/>
    <xf borderId="7" fillId="0" fontId="4" numFmtId="0" xfId="0" applyAlignment="1" applyBorder="1" applyFont="1">
      <alignment horizontal="center"/>
    </xf>
    <xf borderId="1" fillId="2" fontId="4" numFmtId="173" xfId="0" applyBorder="1" applyFill="1" applyFont="1" applyNumberFormat="1"/>
    <xf borderId="1" fillId="2" fontId="4" numFmtId="9" xfId="0" applyBorder="1" applyFill="1" applyFont="1" applyNumberFormat="1"/>
    <xf borderId="1" fillId="2" fontId="4" numFmtId="167" xfId="0" applyBorder="1" applyFill="1" applyFont="1" applyNumberFormat="1"/>
    <xf borderId="1" fillId="2" fontId="4" numFmtId="170" xfId="0" applyBorder="1" applyFill="1" applyFont="1" applyNumberFormat="1"/>
    <xf borderId="18" fillId="0" fontId="4" numFmtId="178" xfId="0" applyBorder="1" applyFont="1" applyNumberFormat="1"/>
    <xf borderId="0" fillId="0" fontId="22" numFmtId="2" xfId="0" applyFont="1" applyNumberFormat="1"/>
    <xf borderId="0" fillId="0" fontId="31" numFmtId="2" xfId="0" applyFont="1" applyNumberFormat="1"/>
    <xf borderId="1" fillId="2" fontId="4" numFmtId="173" xfId="0" applyAlignment="1" applyBorder="1" applyFill="1" applyFont="1" applyNumberFormat="1">
      <alignment horizontal="center"/>
    </xf>
    <xf borderId="1" fillId="2" fontId="4" numFmtId="0" xfId="0" applyAlignment="1" applyBorder="1" applyFill="1" applyFont="1">
      <alignment horizontal="center" readingOrder="0"/>
    </xf>
    <xf borderId="1" fillId="2" fontId="4" numFmtId="167" xfId="0" applyAlignment="1" applyBorder="1" applyFill="1" applyFont="1" applyNumberFormat="1">
      <alignment horizontal="center" readingOrder="0"/>
    </xf>
    <xf borderId="1" fillId="2" fontId="4" numFmtId="170" xfId="0" applyAlignment="1" applyBorder="1" applyFill="1" applyFont="1" applyNumberFormat="1">
      <alignment horizontal="center" readingOrder="0"/>
    </xf>
    <xf borderId="0" fillId="0" fontId="4" numFmtId="2" xfId="0" applyFont="1" applyNumberFormat="1"/>
    <xf borderId="0" fillId="0" fontId="4" numFmtId="2" xfId="0" applyAlignment="1" applyFont="1" applyNumberFormat="1">
      <alignment readingOrder="0"/>
    </xf>
    <xf borderId="0" fillId="0" fontId="14" numFmtId="2" xfId="0" applyFont="1" applyNumberFormat="1"/>
    <xf borderId="0" fillId="0" fontId="14" numFmtId="2" xfId="0" applyAlignment="1" applyFont="1" applyNumberFormat="1">
      <alignment readingOrder="0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8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none"/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DE9D9"/>
          <bgColor rgb="FFFDE9D9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DAEEF3"/>
          <bgColor rgb="FFDAEEF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1">
    <tableStyle count="3" pivot="0" name="Live Rate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98" displayName="Table_1" name="Table_1" id="1">
  <tableColumns count="5">
    <tableColumn name="Date" id="1"/>
    <tableColumn name="Buy USD" id="2"/>
    <tableColumn name="Sell USD" id="3"/>
    <tableColumn name="Column1" id="4"/>
    <tableColumn name="Column2" id="5"/>
  </tableColumns>
  <tableStyleInfo name="Live R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3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4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5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6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7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8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9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0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1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2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3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14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15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16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17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18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1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9594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0"/>
    <col customWidth="1" min="2" max="2" width="9.75"/>
    <col customWidth="1" min="3" max="3" width="13.5"/>
    <col customWidth="1" min="4" max="5" width="12.25"/>
    <col customWidth="1" min="6" max="6" width="12.0"/>
    <col customWidth="1" min="7" max="7" width="17.75"/>
    <col customWidth="1" hidden="1" min="8" max="8" width="12.63"/>
    <col customWidth="1" hidden="1" min="9" max="9" width="13.5"/>
    <col customWidth="1" hidden="1" min="10" max="10" width="11.0"/>
    <col customWidth="1" hidden="1" min="11" max="11" width="11.25"/>
  </cols>
  <sheetData>
    <row r="1" ht="18.0" customHeight="1">
      <c r="A1" s="3" t="s">
        <v>0</v>
      </c>
      <c r="B1" s="4"/>
      <c r="C1" s="4"/>
      <c r="D1" s="6"/>
      <c r="E1" s="15" t="str">
        <f>#REF!</f>
        <v>#REF!</v>
      </c>
      <c r="F1" s="18" t="s">
        <v>11</v>
      </c>
      <c r="G1" s="20"/>
    </row>
    <row r="2" ht="18.0" customHeight="1">
      <c r="A2" s="29" t="str">
        <f>E1</f>
        <v>#REF!</v>
      </c>
      <c r="B2" s="4"/>
      <c r="C2" s="4"/>
      <c r="D2" s="6"/>
      <c r="E2" s="15"/>
      <c r="F2" s="32"/>
      <c r="G2" s="32"/>
    </row>
    <row r="3" ht="14.25" customHeight="1">
      <c r="A3" s="36" t="str">
        <f>'Live Rate'!D2</f>
        <v>89,700 </v>
      </c>
      <c r="B3" s="38" t="s">
        <v>18</v>
      </c>
      <c r="C3" s="38" t="s">
        <v>19</v>
      </c>
      <c r="D3" s="39"/>
      <c r="E3" s="39" t="s">
        <v>20</v>
      </c>
      <c r="F3" s="39" t="s">
        <v>21</v>
      </c>
      <c r="G3" s="42" t="s">
        <v>22</v>
      </c>
      <c r="H3" s="46" t="s">
        <v>24</v>
      </c>
      <c r="I3" s="39" t="s">
        <v>25</v>
      </c>
      <c r="J3" s="39" t="s">
        <v>27</v>
      </c>
      <c r="K3" s="39" t="s">
        <v>21</v>
      </c>
    </row>
    <row r="4" ht="14.25" customHeight="1">
      <c r="A4" s="48" t="s">
        <v>29</v>
      </c>
      <c r="B4" s="32"/>
      <c r="C4" s="32"/>
      <c r="D4" s="32"/>
      <c r="E4" s="32"/>
      <c r="F4" s="32"/>
      <c r="G4" s="32"/>
      <c r="H4" s="51">
        <v>0.1</v>
      </c>
    </row>
    <row r="5" ht="18.75" customHeight="1">
      <c r="A5" s="53" t="s">
        <v>33</v>
      </c>
      <c r="B5" s="55">
        <v>6.0</v>
      </c>
      <c r="C5" s="61">
        <f t="shared" ref="C5:C28" si="1">B5*90000</f>
        <v>540000</v>
      </c>
      <c r="D5" s="63" t="str">
        <f t="shared" ref="D5:D27" si="2">E5/$A$2</f>
        <v>#REF!</v>
      </c>
      <c r="E5" s="65" t="str">
        <f>STARTERS!$C$10</f>
        <v>#REF!</v>
      </c>
      <c r="F5" s="71" t="str">
        <f t="shared" ref="F5:F22" si="3">IF(E5="","",IF(ISBLANK(C5),"",E5/C5))</f>
        <v>#REF!</v>
      </c>
      <c r="G5" s="74" t="str">
        <f t="shared" ref="G5:G22" si="4">C5-E5</f>
        <v>#REF!</v>
      </c>
      <c r="H5" s="61">
        <f t="shared" ref="H5:H24" si="5">(C5*$H$4)+C5</f>
        <v>594000</v>
      </c>
      <c r="I5" s="61" t="str">
        <f t="shared" ref="I5:I24" si="6">E5</f>
        <v>#REF!</v>
      </c>
      <c r="J5" s="61" t="str">
        <f t="shared" ref="J5:J27" si="7">H5-I5</f>
        <v>#REF!</v>
      </c>
      <c r="K5" s="71" t="str">
        <f t="shared" ref="K5:K24" si="8">I5/H5</f>
        <v>#REF!</v>
      </c>
    </row>
    <row r="6" ht="18.75" customHeight="1">
      <c r="A6" s="81" t="s">
        <v>57</v>
      </c>
      <c r="B6" s="55">
        <v>6.5</v>
      </c>
      <c r="C6" s="61">
        <f t="shared" si="1"/>
        <v>585000</v>
      </c>
      <c r="D6" s="63" t="str">
        <f t="shared" si="2"/>
        <v>#REF!</v>
      </c>
      <c r="E6" s="83" t="str">
        <f>STARTERS!$L$10</f>
        <v>#REF!</v>
      </c>
      <c r="F6" s="85" t="str">
        <f t="shared" si="3"/>
        <v>#REF!</v>
      </c>
      <c r="G6" s="88" t="str">
        <f t="shared" si="4"/>
        <v>#REF!</v>
      </c>
      <c r="H6" s="61">
        <f t="shared" si="5"/>
        <v>643500</v>
      </c>
      <c r="I6" s="61" t="str">
        <f t="shared" si="6"/>
        <v>#REF!</v>
      </c>
      <c r="J6" s="61" t="str">
        <f t="shared" si="7"/>
        <v>#REF!</v>
      </c>
      <c r="K6" s="71" t="str">
        <f t="shared" si="8"/>
        <v>#REF!</v>
      </c>
    </row>
    <row r="7" ht="18.75" customHeight="1">
      <c r="A7" s="81" t="s">
        <v>67</v>
      </c>
      <c r="B7" s="55">
        <v>5.0</v>
      </c>
      <c r="C7" s="61">
        <f t="shared" si="1"/>
        <v>450000</v>
      </c>
      <c r="D7" s="63" t="str">
        <f t="shared" si="2"/>
        <v>#REF!</v>
      </c>
      <c r="E7" s="83" t="str">
        <f>STARTERS!$C$54</f>
        <v>#REF!</v>
      </c>
      <c r="F7" s="85" t="str">
        <f t="shared" si="3"/>
        <v>#REF!</v>
      </c>
      <c r="G7" s="88" t="str">
        <f t="shared" si="4"/>
        <v>#REF!</v>
      </c>
      <c r="H7" s="61">
        <f t="shared" si="5"/>
        <v>495000</v>
      </c>
      <c r="I7" s="61" t="str">
        <f t="shared" si="6"/>
        <v>#REF!</v>
      </c>
      <c r="J7" s="61" t="str">
        <f t="shared" si="7"/>
        <v>#REF!</v>
      </c>
      <c r="K7" s="71" t="str">
        <f t="shared" si="8"/>
        <v>#REF!</v>
      </c>
    </row>
    <row r="8" ht="18.75" hidden="1" customHeight="1">
      <c r="A8" s="95" t="s">
        <v>73</v>
      </c>
      <c r="B8" s="55"/>
      <c r="C8" s="61">
        <f t="shared" si="1"/>
        <v>0</v>
      </c>
      <c r="D8" s="63" t="str">
        <f t="shared" si="2"/>
        <v>#REF!</v>
      </c>
      <c r="E8" s="83" t="str">
        <f>STARTERS!$C$237</f>
        <v>#REF!</v>
      </c>
      <c r="F8" s="85" t="str">
        <f t="shared" si="3"/>
        <v>#REF!</v>
      </c>
      <c r="G8" s="88" t="str">
        <f t="shared" si="4"/>
        <v>#REF!</v>
      </c>
      <c r="H8" s="61">
        <f t="shared" si="5"/>
        <v>0</v>
      </c>
      <c r="I8" s="61" t="str">
        <f t="shared" si="6"/>
        <v>#REF!</v>
      </c>
      <c r="J8" s="61" t="str">
        <f t="shared" si="7"/>
        <v>#REF!</v>
      </c>
      <c r="K8" s="71" t="str">
        <f t="shared" si="8"/>
        <v>#REF!</v>
      </c>
    </row>
    <row r="9" ht="18.75" customHeight="1">
      <c r="A9" s="81" t="s">
        <v>85</v>
      </c>
      <c r="B9" s="55">
        <v>6.0</v>
      </c>
      <c r="C9" s="61">
        <f t="shared" si="1"/>
        <v>540000</v>
      </c>
      <c r="D9" s="63" t="str">
        <f t="shared" si="2"/>
        <v>#REF!</v>
      </c>
      <c r="E9" s="83" t="str">
        <f>STARTERS!$L$54</f>
        <v>#REF!</v>
      </c>
      <c r="F9" s="85" t="str">
        <f t="shared" si="3"/>
        <v>#REF!</v>
      </c>
      <c r="G9" s="88" t="str">
        <f t="shared" si="4"/>
        <v>#REF!</v>
      </c>
      <c r="H9" s="61">
        <f t="shared" si="5"/>
        <v>594000</v>
      </c>
      <c r="I9" s="61" t="str">
        <f t="shared" si="6"/>
        <v>#REF!</v>
      </c>
      <c r="J9" s="61" t="str">
        <f t="shared" si="7"/>
        <v>#REF!</v>
      </c>
      <c r="K9" s="71" t="str">
        <f t="shared" si="8"/>
        <v>#REF!</v>
      </c>
    </row>
    <row r="10" ht="18.75" hidden="1" customHeight="1">
      <c r="A10" s="95" t="s">
        <v>91</v>
      </c>
      <c r="B10" s="55"/>
      <c r="C10" s="61">
        <f t="shared" si="1"/>
        <v>0</v>
      </c>
      <c r="D10" s="63" t="str">
        <f t="shared" si="2"/>
        <v>#REF!</v>
      </c>
      <c r="E10" s="83" t="str">
        <f>STARTERS!$C$191</f>
        <v>#REF!</v>
      </c>
      <c r="F10" s="85" t="str">
        <f t="shared" si="3"/>
        <v>#REF!</v>
      </c>
      <c r="G10" s="88" t="str">
        <f t="shared" si="4"/>
        <v>#REF!</v>
      </c>
      <c r="H10" s="61">
        <f t="shared" si="5"/>
        <v>0</v>
      </c>
      <c r="I10" s="61" t="str">
        <f t="shared" si="6"/>
        <v>#REF!</v>
      </c>
      <c r="J10" s="61" t="str">
        <f t="shared" si="7"/>
        <v>#REF!</v>
      </c>
      <c r="K10" s="71" t="str">
        <f t="shared" si="8"/>
        <v>#REF!</v>
      </c>
    </row>
    <row r="11" ht="18.75" customHeight="1">
      <c r="A11" s="81" t="s">
        <v>96</v>
      </c>
      <c r="B11" s="55">
        <v>10.0</v>
      </c>
      <c r="C11" s="61">
        <f t="shared" si="1"/>
        <v>900000</v>
      </c>
      <c r="D11" s="63" t="str">
        <f t="shared" si="2"/>
        <v>#REF!</v>
      </c>
      <c r="E11" s="83" t="str">
        <f>STARTERS!$C$99</f>
        <v>#REF!</v>
      </c>
      <c r="F11" s="85" t="str">
        <f t="shared" si="3"/>
        <v>#REF!</v>
      </c>
      <c r="G11" s="88" t="str">
        <f t="shared" si="4"/>
        <v>#REF!</v>
      </c>
      <c r="H11" s="61">
        <f t="shared" si="5"/>
        <v>990000</v>
      </c>
      <c r="I11" s="61" t="str">
        <f t="shared" si="6"/>
        <v>#REF!</v>
      </c>
      <c r="J11" s="61" t="str">
        <f t="shared" si="7"/>
        <v>#REF!</v>
      </c>
      <c r="K11" s="71" t="str">
        <f t="shared" si="8"/>
        <v>#REF!</v>
      </c>
    </row>
    <row r="12" ht="18.75" customHeight="1">
      <c r="A12" s="81" t="s">
        <v>101</v>
      </c>
      <c r="B12" s="55">
        <v>7.5</v>
      </c>
      <c r="C12" s="61">
        <f t="shared" si="1"/>
        <v>675000</v>
      </c>
      <c r="D12" s="63" t="str">
        <f t="shared" si="2"/>
        <v>#REF!</v>
      </c>
      <c r="E12" s="83" t="str">
        <f>STARTERS!$L$99</f>
        <v>#REF!</v>
      </c>
      <c r="F12" s="85" t="str">
        <f t="shared" si="3"/>
        <v>#REF!</v>
      </c>
      <c r="G12" s="88" t="str">
        <f t="shared" si="4"/>
        <v>#REF!</v>
      </c>
      <c r="H12" s="61">
        <f t="shared" si="5"/>
        <v>742500</v>
      </c>
      <c r="I12" s="61" t="str">
        <f t="shared" si="6"/>
        <v>#REF!</v>
      </c>
      <c r="J12" s="61" t="str">
        <f t="shared" si="7"/>
        <v>#REF!</v>
      </c>
      <c r="K12" s="71" t="str">
        <f t="shared" si="8"/>
        <v>#REF!</v>
      </c>
    </row>
    <row r="13" ht="18.75" customHeight="1">
      <c r="A13" s="112" t="s">
        <v>103</v>
      </c>
      <c r="B13" s="55">
        <v>5.0</v>
      </c>
      <c r="C13" s="61">
        <f t="shared" si="1"/>
        <v>450000</v>
      </c>
      <c r="D13" s="63" t="str">
        <f t="shared" si="2"/>
        <v>#REF!</v>
      </c>
      <c r="E13" s="83" t="str">
        <f>STARTERS!$L$191</f>
        <v>#REF!</v>
      </c>
      <c r="F13" s="85" t="str">
        <f t="shared" si="3"/>
        <v>#REF!</v>
      </c>
      <c r="G13" s="88" t="str">
        <f t="shared" si="4"/>
        <v>#REF!</v>
      </c>
      <c r="H13" s="61">
        <f t="shared" si="5"/>
        <v>495000</v>
      </c>
      <c r="I13" s="61" t="str">
        <f t="shared" si="6"/>
        <v>#REF!</v>
      </c>
      <c r="J13" s="61" t="str">
        <f t="shared" si="7"/>
        <v>#REF!</v>
      </c>
      <c r="K13" s="71" t="str">
        <f t="shared" si="8"/>
        <v>#REF!</v>
      </c>
    </row>
    <row r="14" ht="18.75" customHeight="1">
      <c r="A14" s="112" t="s">
        <v>107</v>
      </c>
      <c r="B14" s="55"/>
      <c r="C14" s="61">
        <f t="shared" si="1"/>
        <v>0</v>
      </c>
      <c r="D14" s="63" t="str">
        <f t="shared" si="2"/>
        <v>#REF!</v>
      </c>
      <c r="E14" s="83" t="str">
        <f>STARTERS!$L$237</f>
        <v>#REF!</v>
      </c>
      <c r="F14" s="85" t="str">
        <f t="shared" si="3"/>
        <v>#REF!</v>
      </c>
      <c r="G14" s="88" t="str">
        <f t="shared" si="4"/>
        <v>#REF!</v>
      </c>
      <c r="H14" s="61">
        <f t="shared" si="5"/>
        <v>0</v>
      </c>
      <c r="I14" s="61" t="str">
        <f t="shared" si="6"/>
        <v>#REF!</v>
      </c>
      <c r="J14" s="61" t="str">
        <f t="shared" si="7"/>
        <v>#REF!</v>
      </c>
      <c r="K14" s="71" t="str">
        <f t="shared" si="8"/>
        <v>#REF!</v>
      </c>
    </row>
    <row r="15" ht="18.75" customHeight="1">
      <c r="A15" s="81" t="s">
        <v>112</v>
      </c>
      <c r="B15" s="55">
        <v>7.5</v>
      </c>
      <c r="C15" s="61">
        <f t="shared" si="1"/>
        <v>675000</v>
      </c>
      <c r="D15" s="63" t="str">
        <f t="shared" si="2"/>
        <v>#REF!</v>
      </c>
      <c r="E15" s="83" t="str">
        <f>STARTERS!$L$144</f>
        <v>#REF!</v>
      </c>
      <c r="F15" s="85" t="str">
        <f t="shared" si="3"/>
        <v>#REF!</v>
      </c>
      <c r="G15" s="88" t="str">
        <f t="shared" si="4"/>
        <v>#REF!</v>
      </c>
      <c r="H15" s="61">
        <f t="shared" si="5"/>
        <v>742500</v>
      </c>
      <c r="I15" s="61" t="str">
        <f t="shared" si="6"/>
        <v>#REF!</v>
      </c>
      <c r="J15" s="61" t="str">
        <f t="shared" si="7"/>
        <v>#REF!</v>
      </c>
      <c r="K15" s="71" t="str">
        <f t="shared" si="8"/>
        <v>#REF!</v>
      </c>
    </row>
    <row r="16" ht="18.75" customHeight="1">
      <c r="A16" s="119" t="s">
        <v>116</v>
      </c>
      <c r="B16" s="55">
        <v>7.0</v>
      </c>
      <c r="C16" s="61">
        <f t="shared" si="1"/>
        <v>630000</v>
      </c>
      <c r="D16" s="63" t="str">
        <f t="shared" si="2"/>
        <v>#REF!</v>
      </c>
      <c r="E16" s="83" t="str">
        <f>STARTERS!C284</f>
        <v>#REF!</v>
      </c>
      <c r="F16" s="85" t="str">
        <f t="shared" si="3"/>
        <v>#REF!</v>
      </c>
      <c r="G16" s="88" t="str">
        <f t="shared" si="4"/>
        <v>#REF!</v>
      </c>
      <c r="H16" s="61">
        <f t="shared" si="5"/>
        <v>693000</v>
      </c>
      <c r="I16" s="61" t="str">
        <f t="shared" si="6"/>
        <v>#REF!</v>
      </c>
      <c r="J16" s="61" t="str">
        <f t="shared" si="7"/>
        <v>#REF!</v>
      </c>
      <c r="K16" s="71" t="str">
        <f t="shared" si="8"/>
        <v>#REF!</v>
      </c>
    </row>
    <row r="17" ht="18.75" customHeight="1">
      <c r="A17" s="81" t="s">
        <v>120</v>
      </c>
      <c r="B17" s="55">
        <v>9.0</v>
      </c>
      <c r="C17" s="61">
        <f t="shared" si="1"/>
        <v>810000</v>
      </c>
      <c r="D17" s="63" t="str">
        <f t="shared" si="2"/>
        <v>#REF!</v>
      </c>
      <c r="E17" s="83" t="str">
        <f>STARTERS!C144</f>
        <v>#REF!</v>
      </c>
      <c r="F17" s="85" t="str">
        <f t="shared" si="3"/>
        <v>#REF!</v>
      </c>
      <c r="G17" s="88" t="str">
        <f t="shared" si="4"/>
        <v>#REF!</v>
      </c>
      <c r="H17" s="61">
        <f t="shared" si="5"/>
        <v>891000</v>
      </c>
      <c r="I17" s="61" t="str">
        <f t="shared" si="6"/>
        <v>#REF!</v>
      </c>
      <c r="J17" s="61" t="str">
        <f t="shared" si="7"/>
        <v>#REF!</v>
      </c>
      <c r="K17" s="71" t="str">
        <f t="shared" si="8"/>
        <v>#REF!</v>
      </c>
    </row>
    <row r="18">
      <c r="A18" s="126" t="s">
        <v>124</v>
      </c>
      <c r="B18" s="55"/>
      <c r="C18" s="61">
        <f t="shared" si="1"/>
        <v>0</v>
      </c>
      <c r="D18" s="63" t="str">
        <f t="shared" si="2"/>
        <v>#REF!</v>
      </c>
      <c r="E18" s="83" t="str">
        <f>STARTERS!L599</f>
        <v>#REF!</v>
      </c>
      <c r="F18" s="85" t="str">
        <f t="shared" si="3"/>
        <v>#REF!</v>
      </c>
      <c r="G18" s="88" t="str">
        <f t="shared" si="4"/>
        <v>#REF!</v>
      </c>
      <c r="H18" s="61">
        <f t="shared" si="5"/>
        <v>0</v>
      </c>
      <c r="I18" s="61" t="str">
        <f t="shared" si="6"/>
        <v>#REF!</v>
      </c>
      <c r="J18" s="61" t="str">
        <f t="shared" si="7"/>
        <v>#REF!</v>
      </c>
      <c r="K18" s="71" t="str">
        <f t="shared" si="8"/>
        <v>#REF!</v>
      </c>
    </row>
    <row r="19" ht="18.75" customHeight="1">
      <c r="A19" s="130" t="str">
        <f>STARTERS!L640</f>
        <v>Truffle Puttin</v>
      </c>
      <c r="B19" s="55"/>
      <c r="C19" s="61">
        <f t="shared" si="1"/>
        <v>0</v>
      </c>
      <c r="D19" s="63" t="str">
        <f t="shared" si="2"/>
        <v>#REF!</v>
      </c>
      <c r="E19" s="83" t="str">
        <f>STARTERS!L644</f>
        <v>#REF!</v>
      </c>
      <c r="F19" s="85" t="str">
        <f t="shared" si="3"/>
        <v>#REF!</v>
      </c>
      <c r="G19" s="88" t="str">
        <f t="shared" si="4"/>
        <v>#REF!</v>
      </c>
      <c r="H19" s="61">
        <f t="shared" si="5"/>
        <v>0</v>
      </c>
      <c r="I19" s="61" t="str">
        <f t="shared" si="6"/>
        <v>#REF!</v>
      </c>
      <c r="J19" s="61" t="str">
        <f t="shared" si="7"/>
        <v>#REF!</v>
      </c>
      <c r="K19" s="71" t="str">
        <f t="shared" si="8"/>
        <v>#REF!</v>
      </c>
    </row>
    <row r="20" ht="18.75" customHeight="1">
      <c r="A20" s="81" t="s">
        <v>136</v>
      </c>
      <c r="B20" s="55">
        <v>11.0</v>
      </c>
      <c r="C20" s="61">
        <f t="shared" si="1"/>
        <v>990000</v>
      </c>
      <c r="D20" s="63" t="str">
        <f t="shared" si="2"/>
        <v>#REF!</v>
      </c>
      <c r="E20" s="83" t="str">
        <f>STARTERS!$C$329</f>
        <v>#REF!</v>
      </c>
      <c r="F20" s="85" t="str">
        <f t="shared" si="3"/>
        <v>#REF!</v>
      </c>
      <c r="G20" s="88" t="str">
        <f t="shared" si="4"/>
        <v>#REF!</v>
      </c>
      <c r="H20" s="61">
        <f t="shared" si="5"/>
        <v>1089000</v>
      </c>
      <c r="I20" s="61" t="str">
        <f t="shared" si="6"/>
        <v>#REF!</v>
      </c>
      <c r="J20" s="61" t="str">
        <f t="shared" si="7"/>
        <v>#REF!</v>
      </c>
      <c r="K20" s="71" t="str">
        <f t="shared" si="8"/>
        <v>#REF!</v>
      </c>
    </row>
    <row r="21" ht="18.75" customHeight="1">
      <c r="A21" s="81" t="s">
        <v>142</v>
      </c>
      <c r="B21" s="55">
        <v>9.0</v>
      </c>
      <c r="C21" s="61">
        <f t="shared" si="1"/>
        <v>810000</v>
      </c>
      <c r="D21" s="63" t="str">
        <f t="shared" si="2"/>
        <v>#REF!</v>
      </c>
      <c r="E21" s="83">
        <f>STARTERS!$L$329</f>
        <v>26242.1675</v>
      </c>
      <c r="F21" s="85">
        <f t="shared" si="3"/>
        <v>0.03239773765</v>
      </c>
      <c r="G21" s="88">
        <f t="shared" si="4"/>
        <v>783757.8325</v>
      </c>
      <c r="H21" s="61">
        <f t="shared" si="5"/>
        <v>891000</v>
      </c>
      <c r="I21" s="61">
        <f t="shared" si="6"/>
        <v>26242.1675</v>
      </c>
      <c r="J21" s="61">
        <f t="shared" si="7"/>
        <v>864757.8325</v>
      </c>
      <c r="K21" s="71">
        <f t="shared" si="8"/>
        <v>0.02945248878</v>
      </c>
    </row>
    <row r="22" ht="18.75" hidden="1" customHeight="1">
      <c r="A22" s="81" t="s">
        <v>146</v>
      </c>
      <c r="B22" s="55"/>
      <c r="C22" s="61">
        <f t="shared" si="1"/>
        <v>0</v>
      </c>
      <c r="D22" s="63" t="str">
        <f t="shared" si="2"/>
        <v>#REF!</v>
      </c>
      <c r="E22" s="83" t="str">
        <f>STARTERS!$C$374</f>
        <v>#REF!</v>
      </c>
      <c r="F22" s="85" t="str">
        <f t="shared" si="3"/>
        <v>#REF!</v>
      </c>
      <c r="G22" s="88" t="str">
        <f t="shared" si="4"/>
        <v>#REF!</v>
      </c>
      <c r="H22" s="61">
        <f t="shared" si="5"/>
        <v>0</v>
      </c>
      <c r="I22" s="61" t="str">
        <f t="shared" si="6"/>
        <v>#REF!</v>
      </c>
      <c r="J22" s="61" t="str">
        <f t="shared" si="7"/>
        <v>#REF!</v>
      </c>
      <c r="K22" s="71" t="str">
        <f t="shared" si="8"/>
        <v>#REF!</v>
      </c>
    </row>
    <row r="23" ht="18.75" hidden="1" customHeight="1">
      <c r="A23" s="81" t="s">
        <v>149</v>
      </c>
      <c r="B23" s="55"/>
      <c r="C23" s="61">
        <f t="shared" si="1"/>
        <v>0</v>
      </c>
      <c r="D23" s="63" t="str">
        <f t="shared" si="2"/>
        <v>#REF!</v>
      </c>
      <c r="E23" s="83" t="str">
        <f>STARTERS!$C$465</f>
        <v>#REF!</v>
      </c>
      <c r="F23" s="85"/>
      <c r="G23" s="88"/>
      <c r="H23" s="61">
        <f t="shared" si="5"/>
        <v>0</v>
      </c>
      <c r="I23" s="61" t="str">
        <f t="shared" si="6"/>
        <v>#REF!</v>
      </c>
      <c r="J23" s="61" t="str">
        <f t="shared" si="7"/>
        <v>#REF!</v>
      </c>
      <c r="K23" s="71" t="str">
        <f t="shared" si="8"/>
        <v>#REF!</v>
      </c>
    </row>
    <row r="24" ht="18.75" customHeight="1">
      <c r="A24" s="81" t="s">
        <v>153</v>
      </c>
      <c r="B24" s="55">
        <v>8.5</v>
      </c>
      <c r="C24" s="61">
        <f t="shared" si="1"/>
        <v>765000</v>
      </c>
      <c r="D24" s="63" t="str">
        <f t="shared" si="2"/>
        <v>#REF!</v>
      </c>
      <c r="E24" s="83" t="str">
        <f>STARTERS!$L$374</f>
        <v>#REF!</v>
      </c>
      <c r="F24" s="85" t="str">
        <f t="shared" ref="F24:F46" si="9">IF(E24="","",IF(ISBLANK(C24),"",E24/C24))</f>
        <v>#REF!</v>
      </c>
      <c r="G24" s="88" t="str">
        <f t="shared" ref="G24:G27" si="10">C24-E24</f>
        <v>#REF!</v>
      </c>
      <c r="H24" s="61">
        <f t="shared" si="5"/>
        <v>841500</v>
      </c>
      <c r="I24" s="61" t="str">
        <f t="shared" si="6"/>
        <v>#REF!</v>
      </c>
      <c r="J24" s="61" t="str">
        <f t="shared" si="7"/>
        <v>#REF!</v>
      </c>
      <c r="K24" s="71" t="str">
        <f t="shared" si="8"/>
        <v>#REF!</v>
      </c>
    </row>
    <row r="25" ht="18.75" hidden="1" customHeight="1">
      <c r="A25" s="81" t="s">
        <v>162</v>
      </c>
      <c r="B25" s="137"/>
      <c r="C25" s="61">
        <f t="shared" si="1"/>
        <v>0</v>
      </c>
      <c r="D25" s="63" t="str">
        <f t="shared" si="2"/>
        <v>#REF!</v>
      </c>
      <c r="E25" s="83" t="str">
        <f>STARTERS!$C$420</f>
        <v>#REF!</v>
      </c>
      <c r="F25" s="85" t="str">
        <f t="shared" si="9"/>
        <v>#REF!</v>
      </c>
      <c r="G25" s="88" t="str">
        <f t="shared" si="10"/>
        <v>#REF!</v>
      </c>
      <c r="H25" s="140" t="str">
        <f t="shared" ref="H25:H27" si="11">#REF!*$H$4+#REF!</f>
        <v>#REF!</v>
      </c>
      <c r="I25" s="142" t="str">
        <f t="shared" ref="I25:I27" si="12">#REF!</f>
        <v>#REF!</v>
      </c>
      <c r="J25" s="142" t="str">
        <f t="shared" si="7"/>
        <v>#REF!</v>
      </c>
      <c r="K25" s="71" t="str">
        <f t="shared" ref="K25:K27" si="13">IF(#REF!="","",IF(ISBLANK(H25),"",I25/H25))</f>
        <v>#REF!</v>
      </c>
    </row>
    <row r="26" ht="18.75" hidden="1" customHeight="1">
      <c r="A26" s="81" t="s">
        <v>175</v>
      </c>
      <c r="B26" s="137"/>
      <c r="C26" s="61">
        <f t="shared" si="1"/>
        <v>0</v>
      </c>
      <c r="D26" s="63" t="str">
        <f t="shared" si="2"/>
        <v>#REF!</v>
      </c>
      <c r="E26" s="83" t="str">
        <f>STARTERS!$L$420</f>
        <v>#REF!</v>
      </c>
      <c r="F26" s="85" t="str">
        <f t="shared" si="9"/>
        <v>#REF!</v>
      </c>
      <c r="G26" s="88" t="str">
        <f t="shared" si="10"/>
        <v>#REF!</v>
      </c>
      <c r="H26" s="140" t="str">
        <f t="shared" si="11"/>
        <v>#REF!</v>
      </c>
      <c r="I26" s="142" t="str">
        <f t="shared" si="12"/>
        <v>#REF!</v>
      </c>
      <c r="J26" s="142" t="str">
        <f t="shared" si="7"/>
        <v>#REF!</v>
      </c>
      <c r="K26" s="71" t="str">
        <f t="shared" si="13"/>
        <v>#REF!</v>
      </c>
    </row>
    <row r="27" ht="18.75" hidden="1" customHeight="1">
      <c r="A27" s="81" t="s">
        <v>183</v>
      </c>
      <c r="B27" s="137"/>
      <c r="C27" s="61">
        <f t="shared" si="1"/>
        <v>0</v>
      </c>
      <c r="D27" s="63" t="str">
        <f t="shared" si="2"/>
        <v>#REF!</v>
      </c>
      <c r="E27" s="83" t="str">
        <f>STARTERS!$C$510</f>
        <v>#REF!</v>
      </c>
      <c r="F27" s="85" t="str">
        <f t="shared" si="9"/>
        <v>#REF!</v>
      </c>
      <c r="G27" s="88" t="str">
        <f t="shared" si="10"/>
        <v>#REF!</v>
      </c>
      <c r="H27" s="140" t="str">
        <f t="shared" si="11"/>
        <v>#REF!</v>
      </c>
      <c r="I27" s="142" t="str">
        <f t="shared" si="12"/>
        <v>#REF!</v>
      </c>
      <c r="J27" s="142" t="str">
        <f t="shared" si="7"/>
        <v>#REF!</v>
      </c>
      <c r="K27" s="71" t="str">
        <f t="shared" si="13"/>
        <v>#REF!</v>
      </c>
    </row>
    <row r="28" ht="18.75" customHeight="1">
      <c r="A28" s="146"/>
      <c r="B28" s="147">
        <v>9.0</v>
      </c>
      <c r="C28" s="61">
        <f t="shared" si="1"/>
        <v>810000</v>
      </c>
      <c r="D28" s="63"/>
      <c r="E28" s="148"/>
      <c r="F28" s="150" t="str">
        <f t="shared" si="9"/>
        <v/>
      </c>
      <c r="G28" s="152"/>
      <c r="H28" s="154"/>
      <c r="I28" s="155"/>
      <c r="J28" s="155"/>
      <c r="K28" s="150"/>
    </row>
    <row r="29" ht="18.75" customHeight="1">
      <c r="A29" s="48" t="s">
        <v>191</v>
      </c>
      <c r="B29" s="156"/>
      <c r="C29" s="61"/>
      <c r="D29" s="63"/>
      <c r="E29" s="157"/>
      <c r="F29" s="158" t="str">
        <f t="shared" si="9"/>
        <v/>
      </c>
      <c r="G29" s="159"/>
      <c r="H29" s="160"/>
      <c r="I29" s="161"/>
      <c r="J29" s="161"/>
      <c r="K29" s="158"/>
    </row>
    <row r="30" ht="18.75" hidden="1" customHeight="1">
      <c r="A30" s="53" t="s">
        <v>194</v>
      </c>
      <c r="B30" s="162"/>
      <c r="C30" s="61">
        <f>B30/90000</f>
        <v>0</v>
      </c>
      <c r="D30" s="63" t="str">
        <f t="shared" ref="D30:D45" si="14">E30/$A$2</f>
        <v>#REF!</v>
      </c>
      <c r="E30" s="65" t="str">
        <f>SALADS!$C$10</f>
        <v>#REF!</v>
      </c>
      <c r="F30" s="71" t="str">
        <f t="shared" si="9"/>
        <v>#REF!</v>
      </c>
      <c r="G30" s="74" t="str">
        <f t="shared" ref="G30:G45" si="15">C30-E30</f>
        <v>#REF!</v>
      </c>
      <c r="H30" s="140" t="str">
        <f>#REF!*$H$4+#REF!</f>
        <v>#REF!</v>
      </c>
      <c r="I30" s="142" t="str">
        <f>#REF!</f>
        <v>#REF!</v>
      </c>
      <c r="J30" s="142" t="str">
        <f t="shared" ref="J30:J45" si="16">H30-I30</f>
        <v>#REF!</v>
      </c>
      <c r="K30" s="71" t="str">
        <f>IF(#REF!="","",IF(ISBLANK(H30),"",I30/H30))</f>
        <v>#REF!</v>
      </c>
    </row>
    <row r="31" ht="18.75" customHeight="1">
      <c r="A31" s="81" t="s">
        <v>217</v>
      </c>
      <c r="B31" s="55">
        <v>8.0</v>
      </c>
      <c r="C31" s="61">
        <f t="shared" ref="C31:C45" si="17">B31*90000</f>
        <v>720000</v>
      </c>
      <c r="D31" s="63" t="str">
        <f t="shared" si="14"/>
        <v>#REF!</v>
      </c>
      <c r="E31" s="83" t="str">
        <f>SALADS!$L$10</f>
        <v>#REF!</v>
      </c>
      <c r="F31" s="85" t="str">
        <f t="shared" si="9"/>
        <v>#REF!</v>
      </c>
      <c r="G31" s="88" t="str">
        <f t="shared" si="15"/>
        <v>#REF!</v>
      </c>
      <c r="H31" s="61">
        <f t="shared" ref="H31:H45" si="18">(C31*$H$4)+C31</f>
        <v>792000</v>
      </c>
      <c r="I31" s="61" t="str">
        <f t="shared" ref="I31:I45" si="19">E31</f>
        <v>#REF!</v>
      </c>
      <c r="J31" s="61" t="str">
        <f t="shared" si="16"/>
        <v>#REF!</v>
      </c>
      <c r="K31" s="71" t="str">
        <f t="shared" ref="K31:K45" si="20">I31/H31</f>
        <v>#REF!</v>
      </c>
    </row>
    <row r="32" ht="18.75" customHeight="1">
      <c r="A32" s="81" t="s">
        <v>230</v>
      </c>
      <c r="B32" s="55">
        <v>8.0</v>
      </c>
      <c r="C32" s="61">
        <f t="shared" si="17"/>
        <v>720000</v>
      </c>
      <c r="D32" s="63" t="str">
        <f t="shared" si="14"/>
        <v>#REF!</v>
      </c>
      <c r="E32" s="83" t="str">
        <f>SALADS!$C$54</f>
        <v>#REF!</v>
      </c>
      <c r="F32" s="85" t="str">
        <f t="shared" si="9"/>
        <v>#REF!</v>
      </c>
      <c r="G32" s="88" t="str">
        <f t="shared" si="15"/>
        <v>#REF!</v>
      </c>
      <c r="H32" s="61">
        <f t="shared" si="18"/>
        <v>792000</v>
      </c>
      <c r="I32" s="61" t="str">
        <f t="shared" si="19"/>
        <v>#REF!</v>
      </c>
      <c r="J32" s="61" t="str">
        <f t="shared" si="16"/>
        <v>#REF!</v>
      </c>
      <c r="K32" s="71" t="str">
        <f t="shared" si="20"/>
        <v>#REF!</v>
      </c>
    </row>
    <row r="33" ht="18.75" customHeight="1">
      <c r="A33" s="81" t="s">
        <v>236</v>
      </c>
      <c r="B33" s="55">
        <v>11.0</v>
      </c>
      <c r="C33" s="61">
        <f t="shared" si="17"/>
        <v>990000</v>
      </c>
      <c r="D33" s="63" t="str">
        <f t="shared" si="14"/>
        <v>#REF!</v>
      </c>
      <c r="E33" s="83" t="str">
        <f>SALADS!$L$54</f>
        <v>#REF!</v>
      </c>
      <c r="F33" s="85" t="str">
        <f t="shared" si="9"/>
        <v>#REF!</v>
      </c>
      <c r="G33" s="88" t="str">
        <f t="shared" si="15"/>
        <v>#REF!</v>
      </c>
      <c r="H33" s="61">
        <f t="shared" si="18"/>
        <v>1089000</v>
      </c>
      <c r="I33" s="61" t="str">
        <f t="shared" si="19"/>
        <v>#REF!</v>
      </c>
      <c r="J33" s="61" t="str">
        <f t="shared" si="16"/>
        <v>#REF!</v>
      </c>
      <c r="K33" s="71" t="str">
        <f t="shared" si="20"/>
        <v>#REF!</v>
      </c>
    </row>
    <row r="34" ht="18.75" customHeight="1">
      <c r="A34" s="81" t="s">
        <v>240</v>
      </c>
      <c r="B34" s="55">
        <v>9.0</v>
      </c>
      <c r="C34" s="61">
        <f t="shared" si="17"/>
        <v>810000</v>
      </c>
      <c r="D34" s="63" t="str">
        <f t="shared" si="14"/>
        <v>#REF!</v>
      </c>
      <c r="E34" s="83" t="str">
        <f>SALADS!$C$99</f>
        <v>#REF!</v>
      </c>
      <c r="F34" s="85" t="str">
        <f t="shared" si="9"/>
        <v>#REF!</v>
      </c>
      <c r="G34" s="88" t="str">
        <f t="shared" si="15"/>
        <v>#REF!</v>
      </c>
      <c r="H34" s="61">
        <f t="shared" si="18"/>
        <v>891000</v>
      </c>
      <c r="I34" s="61" t="str">
        <f t="shared" si="19"/>
        <v>#REF!</v>
      </c>
      <c r="J34" s="61" t="str">
        <f t="shared" si="16"/>
        <v>#REF!</v>
      </c>
      <c r="K34" s="71" t="str">
        <f t="shared" si="20"/>
        <v>#REF!</v>
      </c>
    </row>
    <row r="35" ht="18.75" hidden="1" customHeight="1">
      <c r="A35" s="174" t="s">
        <v>245</v>
      </c>
      <c r="B35" s="55"/>
      <c r="C35" s="61">
        <f t="shared" si="17"/>
        <v>0</v>
      </c>
      <c r="D35" s="63" t="str">
        <f t="shared" si="14"/>
        <v>#REF!</v>
      </c>
      <c r="E35" s="83" t="str">
        <f>SALADS!L373</f>
        <v>#REF!</v>
      </c>
      <c r="F35" s="85" t="str">
        <f t="shared" si="9"/>
        <v>#REF!</v>
      </c>
      <c r="G35" s="88" t="str">
        <f t="shared" si="15"/>
        <v>#REF!</v>
      </c>
      <c r="H35" s="61">
        <f t="shared" si="18"/>
        <v>0</v>
      </c>
      <c r="I35" s="61" t="str">
        <f t="shared" si="19"/>
        <v>#REF!</v>
      </c>
      <c r="J35" s="61" t="str">
        <f t="shared" si="16"/>
        <v>#REF!</v>
      </c>
      <c r="K35" s="71" t="str">
        <f t="shared" si="20"/>
        <v>#REF!</v>
      </c>
    </row>
    <row r="36" ht="18.75" hidden="1" customHeight="1">
      <c r="A36" s="53" t="s">
        <v>249</v>
      </c>
      <c r="B36" s="55"/>
      <c r="C36" s="61">
        <f t="shared" si="17"/>
        <v>0</v>
      </c>
      <c r="D36" s="63" t="str">
        <f t="shared" si="14"/>
        <v>#REF!</v>
      </c>
      <c r="E36" s="65" t="str">
        <f>SALADS!$C$146</f>
        <v>#REF!</v>
      </c>
      <c r="F36" s="71" t="str">
        <f t="shared" si="9"/>
        <v>#REF!</v>
      </c>
      <c r="G36" s="74" t="str">
        <f t="shared" si="15"/>
        <v>#REF!</v>
      </c>
      <c r="H36" s="61">
        <f t="shared" si="18"/>
        <v>0</v>
      </c>
      <c r="I36" s="61" t="str">
        <f t="shared" si="19"/>
        <v>#REF!</v>
      </c>
      <c r="J36" s="61" t="str">
        <f t="shared" si="16"/>
        <v>#REF!</v>
      </c>
      <c r="K36" s="71" t="str">
        <f t="shared" si="20"/>
        <v>#REF!</v>
      </c>
    </row>
    <row r="37" ht="18.75" customHeight="1">
      <c r="A37" s="53" t="s">
        <v>254</v>
      </c>
      <c r="B37" s="55">
        <v>10.0</v>
      </c>
      <c r="C37" s="61">
        <f t="shared" si="17"/>
        <v>900000</v>
      </c>
      <c r="D37" s="63" t="str">
        <f t="shared" si="14"/>
        <v>#REF!</v>
      </c>
      <c r="E37" s="65" t="str">
        <f>SALADS!$L$282</f>
        <v>#REF!</v>
      </c>
      <c r="F37" s="71" t="str">
        <f t="shared" si="9"/>
        <v>#REF!</v>
      </c>
      <c r="G37" s="74" t="str">
        <f t="shared" si="15"/>
        <v>#REF!</v>
      </c>
      <c r="H37" s="61">
        <f t="shared" si="18"/>
        <v>990000</v>
      </c>
      <c r="I37" s="61" t="str">
        <f t="shared" si="19"/>
        <v>#REF!</v>
      </c>
      <c r="J37" s="61" t="str">
        <f t="shared" si="16"/>
        <v>#REF!</v>
      </c>
      <c r="K37" s="71" t="str">
        <f t="shared" si="20"/>
        <v>#REF!</v>
      </c>
    </row>
    <row r="38" ht="18.75" customHeight="1">
      <c r="A38" s="176" t="s">
        <v>259</v>
      </c>
      <c r="B38" s="55">
        <v>10.0</v>
      </c>
      <c r="C38" s="61">
        <f t="shared" si="17"/>
        <v>900000</v>
      </c>
      <c r="D38" s="63" t="str">
        <f t="shared" si="14"/>
        <v>#REF!</v>
      </c>
      <c r="E38" s="65" t="str">
        <f>SALADS!C192</f>
        <v>#REF!</v>
      </c>
      <c r="F38" s="71" t="str">
        <f t="shared" si="9"/>
        <v>#REF!</v>
      </c>
      <c r="G38" s="74" t="str">
        <f t="shared" si="15"/>
        <v>#REF!</v>
      </c>
      <c r="H38" s="61">
        <f t="shared" si="18"/>
        <v>990000</v>
      </c>
      <c r="I38" s="61" t="str">
        <f t="shared" si="19"/>
        <v>#REF!</v>
      </c>
      <c r="J38" s="61" t="str">
        <f t="shared" si="16"/>
        <v>#REF!</v>
      </c>
      <c r="K38" s="71" t="str">
        <f t="shared" si="20"/>
        <v>#REF!</v>
      </c>
    </row>
    <row r="39" ht="18.75" hidden="1" customHeight="1">
      <c r="A39" s="179" t="s">
        <v>264</v>
      </c>
      <c r="B39" s="55"/>
      <c r="C39" s="61">
        <f t="shared" si="17"/>
        <v>0</v>
      </c>
      <c r="D39" s="63" t="str">
        <f t="shared" si="14"/>
        <v>#REF!</v>
      </c>
      <c r="E39" s="65" t="str">
        <f>SALADS!L463</f>
        <v>#REF!</v>
      </c>
      <c r="F39" s="71" t="str">
        <f t="shared" si="9"/>
        <v>#REF!</v>
      </c>
      <c r="G39" s="74" t="str">
        <f t="shared" si="15"/>
        <v>#REF!</v>
      </c>
      <c r="H39" s="61">
        <f t="shared" si="18"/>
        <v>0</v>
      </c>
      <c r="I39" s="61" t="str">
        <f t="shared" si="19"/>
        <v>#REF!</v>
      </c>
      <c r="J39" s="61" t="str">
        <f t="shared" si="16"/>
        <v>#REF!</v>
      </c>
      <c r="K39" s="71" t="str">
        <f t="shared" si="20"/>
        <v>#REF!</v>
      </c>
    </row>
    <row r="40" ht="18.75" customHeight="1">
      <c r="A40" s="53" t="s">
        <v>271</v>
      </c>
      <c r="B40" s="55">
        <v>10.0</v>
      </c>
      <c r="C40" s="61">
        <f t="shared" si="17"/>
        <v>900000</v>
      </c>
      <c r="D40" s="63" t="str">
        <f t="shared" si="14"/>
        <v>#REF!</v>
      </c>
      <c r="E40" s="65" t="str">
        <f>SALADS!$L$237</f>
        <v>#REF!</v>
      </c>
      <c r="F40" s="71" t="str">
        <f t="shared" si="9"/>
        <v>#REF!</v>
      </c>
      <c r="G40" s="74" t="str">
        <f t="shared" si="15"/>
        <v>#REF!</v>
      </c>
      <c r="H40" s="61">
        <f t="shared" si="18"/>
        <v>990000</v>
      </c>
      <c r="I40" s="61" t="str">
        <f t="shared" si="19"/>
        <v>#REF!</v>
      </c>
      <c r="J40" s="61" t="str">
        <f t="shared" si="16"/>
        <v>#REF!</v>
      </c>
      <c r="K40" s="71" t="str">
        <f t="shared" si="20"/>
        <v>#REF!</v>
      </c>
    </row>
    <row r="41" ht="18.75" customHeight="1">
      <c r="A41" s="53" t="s">
        <v>278</v>
      </c>
      <c r="B41" s="55">
        <v>10.0</v>
      </c>
      <c r="C41" s="61">
        <f t="shared" si="17"/>
        <v>900000</v>
      </c>
      <c r="D41" s="63" t="str">
        <f t="shared" si="14"/>
        <v>#REF!</v>
      </c>
      <c r="E41" s="65" t="str">
        <f>SALADS!$L$328</f>
        <v>#REF!</v>
      </c>
      <c r="F41" s="71" t="str">
        <f t="shared" si="9"/>
        <v>#REF!</v>
      </c>
      <c r="G41" s="74" t="str">
        <f t="shared" si="15"/>
        <v>#REF!</v>
      </c>
      <c r="H41" s="61">
        <f t="shared" si="18"/>
        <v>990000</v>
      </c>
      <c r="I41" s="61" t="str">
        <f t="shared" si="19"/>
        <v>#REF!</v>
      </c>
      <c r="J41" s="61" t="str">
        <f t="shared" si="16"/>
        <v>#REF!</v>
      </c>
      <c r="K41" s="71" t="str">
        <f t="shared" si="20"/>
        <v>#REF!</v>
      </c>
    </row>
    <row r="42" ht="18.75" hidden="1" customHeight="1">
      <c r="A42" s="176" t="s">
        <v>287</v>
      </c>
      <c r="B42" s="55"/>
      <c r="C42" s="61">
        <f t="shared" si="17"/>
        <v>0</v>
      </c>
      <c r="D42" s="63" t="str">
        <f t="shared" si="14"/>
        <v>#REF!</v>
      </c>
      <c r="E42" s="65" t="str">
        <f>SALADS!C509</f>
        <v>#REF!</v>
      </c>
      <c r="F42" s="71" t="str">
        <f t="shared" si="9"/>
        <v>#REF!</v>
      </c>
      <c r="G42" s="74" t="str">
        <f t="shared" si="15"/>
        <v>#REF!</v>
      </c>
      <c r="H42" s="61">
        <f t="shared" si="18"/>
        <v>0</v>
      </c>
      <c r="I42" s="61" t="str">
        <f t="shared" si="19"/>
        <v>#REF!</v>
      </c>
      <c r="J42" s="61" t="str">
        <f t="shared" si="16"/>
        <v>#REF!</v>
      </c>
      <c r="K42" s="71" t="str">
        <f t="shared" si="20"/>
        <v>#REF!</v>
      </c>
    </row>
    <row r="43" ht="18.75" customHeight="1">
      <c r="A43" s="53" t="s">
        <v>293</v>
      </c>
      <c r="B43" s="55">
        <v>11.0</v>
      </c>
      <c r="C43" s="61">
        <f t="shared" si="17"/>
        <v>990000</v>
      </c>
      <c r="D43" s="63" t="str">
        <f t="shared" si="14"/>
        <v>#REF!</v>
      </c>
      <c r="E43" s="65" t="str">
        <f>SALADS!$C$328</f>
        <v>#REF!</v>
      </c>
      <c r="F43" s="71" t="str">
        <f t="shared" si="9"/>
        <v>#REF!</v>
      </c>
      <c r="G43" s="74" t="str">
        <f t="shared" si="15"/>
        <v>#REF!</v>
      </c>
      <c r="H43" s="61">
        <f t="shared" si="18"/>
        <v>1089000</v>
      </c>
      <c r="I43" s="61" t="str">
        <f t="shared" si="19"/>
        <v>#REF!</v>
      </c>
      <c r="J43" s="61" t="str">
        <f t="shared" si="16"/>
        <v>#REF!</v>
      </c>
      <c r="K43" s="71" t="str">
        <f t="shared" si="20"/>
        <v>#REF!</v>
      </c>
    </row>
    <row r="44" ht="18.75" customHeight="1">
      <c r="A44" s="185" t="str">
        <f>SALADS!C550</f>
        <v>Goat Cheese</v>
      </c>
      <c r="B44" s="55">
        <v>12.0</v>
      </c>
      <c r="C44" s="61">
        <f t="shared" si="17"/>
        <v>1080000</v>
      </c>
      <c r="D44" s="63" t="str">
        <f t="shared" si="14"/>
        <v>#REF!</v>
      </c>
      <c r="E44" s="65" t="str">
        <f>SALADS!C554</f>
        <v>#REF!</v>
      </c>
      <c r="F44" s="71" t="str">
        <f t="shared" si="9"/>
        <v>#REF!</v>
      </c>
      <c r="G44" s="74" t="str">
        <f t="shared" si="15"/>
        <v>#REF!</v>
      </c>
      <c r="H44" s="61">
        <f t="shared" si="18"/>
        <v>1188000</v>
      </c>
      <c r="I44" s="61" t="str">
        <f t="shared" si="19"/>
        <v>#REF!</v>
      </c>
      <c r="J44" s="61" t="str">
        <f t="shared" si="16"/>
        <v>#REF!</v>
      </c>
      <c r="K44" s="71" t="str">
        <f t="shared" si="20"/>
        <v>#REF!</v>
      </c>
    </row>
    <row r="45" ht="18.75" customHeight="1">
      <c r="A45" s="185" t="str">
        <f>SALADS!L505</f>
        <v>Salmon Quinoa</v>
      </c>
      <c r="B45" s="55">
        <v>15.0</v>
      </c>
      <c r="C45" s="61">
        <f t="shared" si="17"/>
        <v>1350000</v>
      </c>
      <c r="D45" s="63" t="str">
        <f t="shared" si="14"/>
        <v>#REF!</v>
      </c>
      <c r="E45" s="65" t="str">
        <f>SALADS!L509</f>
        <v>#REF!</v>
      </c>
      <c r="F45" s="71" t="str">
        <f t="shared" si="9"/>
        <v>#REF!</v>
      </c>
      <c r="G45" s="74" t="str">
        <f t="shared" si="15"/>
        <v>#REF!</v>
      </c>
      <c r="H45" s="61">
        <f t="shared" si="18"/>
        <v>1485000</v>
      </c>
      <c r="I45" s="61" t="str">
        <f t="shared" si="19"/>
        <v>#REF!</v>
      </c>
      <c r="J45" s="61" t="str">
        <f t="shared" si="16"/>
        <v>#REF!</v>
      </c>
      <c r="K45" s="71" t="str">
        <f t="shared" si="20"/>
        <v>#REF!</v>
      </c>
    </row>
    <row r="46" ht="18.75" customHeight="1">
      <c r="A46" s="146"/>
      <c r="B46" s="188"/>
      <c r="C46" s="61"/>
      <c r="D46" s="155"/>
      <c r="E46" s="155"/>
      <c r="F46" s="150" t="str">
        <f t="shared" si="9"/>
        <v/>
      </c>
      <c r="G46" s="152"/>
      <c r="H46" s="154"/>
      <c r="I46" s="155"/>
      <c r="J46" s="155"/>
      <c r="K46" s="150"/>
    </row>
    <row r="47" ht="18.75" customHeight="1">
      <c r="A47" s="48" t="s">
        <v>313</v>
      </c>
      <c r="B47" s="155"/>
      <c r="C47" s="61"/>
      <c r="D47" s="155"/>
      <c r="E47" s="155"/>
      <c r="F47" s="158"/>
      <c r="G47" s="159"/>
      <c r="H47" s="160"/>
      <c r="I47" s="161"/>
      <c r="J47" s="161"/>
      <c r="K47" s="158"/>
    </row>
    <row r="48" ht="18.75" customHeight="1">
      <c r="A48" s="53" t="s">
        <v>315</v>
      </c>
      <c r="B48" s="55">
        <v>10.0</v>
      </c>
      <c r="C48" s="61">
        <f t="shared" ref="C48:C58" si="21">B48*90000</f>
        <v>900000</v>
      </c>
      <c r="D48" s="63" t="str">
        <f t="shared" ref="D48:D57" si="22">E48/$A$2</f>
        <v>#REF!</v>
      </c>
      <c r="E48" s="83"/>
      <c r="F48" s="85" t="str">
        <f t="shared" ref="F48:F102" si="23">IF(E48="","",IF(ISBLANK(C48),"",E48/C48))</f>
        <v/>
      </c>
      <c r="G48" s="74">
        <f t="shared" ref="G48:G57" si="24">C48-E48</f>
        <v>900000</v>
      </c>
      <c r="H48" s="61">
        <f t="shared" ref="H48:H57" si="25">(C48*$H$4)+C48</f>
        <v>990000</v>
      </c>
      <c r="I48" s="61" t="str">
        <f t="shared" ref="I48:I57" si="26">E48</f>
        <v/>
      </c>
      <c r="J48" s="61">
        <f t="shared" ref="J48:J57" si="27">H48-I48</f>
        <v>990000</v>
      </c>
      <c r="K48" s="71">
        <f t="shared" ref="K48:K57" si="28">I48/H48</f>
        <v>0</v>
      </c>
    </row>
    <row r="49" ht="18.75" customHeight="1">
      <c r="A49" s="81" t="s">
        <v>328</v>
      </c>
      <c r="B49" s="55">
        <v>11.0</v>
      </c>
      <c r="C49" s="61">
        <f t="shared" si="21"/>
        <v>990000</v>
      </c>
      <c r="D49" s="63" t="str">
        <f t="shared" si="22"/>
        <v>#REF!</v>
      </c>
      <c r="E49" s="83" t="str">
        <f>PIZZA!$C$54</f>
        <v>#REF!</v>
      </c>
      <c r="F49" s="85" t="str">
        <f t="shared" si="23"/>
        <v>#REF!</v>
      </c>
      <c r="G49" s="88" t="str">
        <f t="shared" si="24"/>
        <v>#REF!</v>
      </c>
      <c r="H49" s="61">
        <f t="shared" si="25"/>
        <v>1089000</v>
      </c>
      <c r="I49" s="61" t="str">
        <f t="shared" si="26"/>
        <v>#REF!</v>
      </c>
      <c r="J49" s="61" t="str">
        <f t="shared" si="27"/>
        <v>#REF!</v>
      </c>
      <c r="K49" s="71" t="str">
        <f t="shared" si="28"/>
        <v>#REF!</v>
      </c>
    </row>
    <row r="50" ht="18.75" customHeight="1">
      <c r="A50" s="81" t="s">
        <v>333</v>
      </c>
      <c r="B50" s="55">
        <v>13.0</v>
      </c>
      <c r="C50" s="61">
        <f t="shared" si="21"/>
        <v>1170000</v>
      </c>
      <c r="D50" s="63" t="str">
        <f t="shared" si="22"/>
        <v>#REF!</v>
      </c>
      <c r="E50" s="83" t="str">
        <f>PIZZA!$L$10</f>
        <v>#REF!</v>
      </c>
      <c r="F50" s="85" t="str">
        <f t="shared" si="23"/>
        <v>#REF!</v>
      </c>
      <c r="G50" s="88" t="str">
        <f t="shared" si="24"/>
        <v>#REF!</v>
      </c>
      <c r="H50" s="61">
        <f t="shared" si="25"/>
        <v>1287000</v>
      </c>
      <c r="I50" s="61" t="str">
        <f t="shared" si="26"/>
        <v>#REF!</v>
      </c>
      <c r="J50" s="61" t="str">
        <f t="shared" si="27"/>
        <v>#REF!</v>
      </c>
      <c r="K50" s="71" t="str">
        <f t="shared" si="28"/>
        <v>#REF!</v>
      </c>
    </row>
    <row r="51" ht="18.75" customHeight="1">
      <c r="A51" s="81" t="s">
        <v>340</v>
      </c>
      <c r="B51" s="55">
        <v>12.0</v>
      </c>
      <c r="C51" s="61">
        <f t="shared" si="21"/>
        <v>1080000</v>
      </c>
      <c r="D51" s="63" t="str">
        <f t="shared" si="22"/>
        <v>#REF!</v>
      </c>
      <c r="E51" s="83" t="str">
        <f>PIZZA!$L$54</f>
        <v>#REF!</v>
      </c>
      <c r="F51" s="85" t="str">
        <f t="shared" si="23"/>
        <v>#REF!</v>
      </c>
      <c r="G51" s="88" t="str">
        <f t="shared" si="24"/>
        <v>#REF!</v>
      </c>
      <c r="H51" s="61">
        <f t="shared" si="25"/>
        <v>1188000</v>
      </c>
      <c r="I51" s="61" t="str">
        <f t="shared" si="26"/>
        <v>#REF!</v>
      </c>
      <c r="J51" s="61" t="str">
        <f t="shared" si="27"/>
        <v>#REF!</v>
      </c>
      <c r="K51" s="71" t="str">
        <f t="shared" si="28"/>
        <v>#REF!</v>
      </c>
    </row>
    <row r="52" ht="18.75" customHeight="1">
      <c r="A52" s="81" t="s">
        <v>345</v>
      </c>
      <c r="B52" s="55">
        <v>15.0</v>
      </c>
      <c r="C52" s="61">
        <f t="shared" si="21"/>
        <v>1350000</v>
      </c>
      <c r="D52" s="63" t="str">
        <f t="shared" si="22"/>
        <v>#REF!</v>
      </c>
      <c r="E52" s="83" t="str">
        <f>PIZZA!$L$99</f>
        <v>#REF!</v>
      </c>
      <c r="F52" s="85" t="str">
        <f t="shared" si="23"/>
        <v>#REF!</v>
      </c>
      <c r="G52" s="88" t="str">
        <f t="shared" si="24"/>
        <v>#REF!</v>
      </c>
      <c r="H52" s="61">
        <f t="shared" si="25"/>
        <v>1485000</v>
      </c>
      <c r="I52" s="61" t="str">
        <f t="shared" si="26"/>
        <v>#REF!</v>
      </c>
      <c r="J52" s="61" t="str">
        <f t="shared" si="27"/>
        <v>#REF!</v>
      </c>
      <c r="K52" s="71" t="str">
        <f t="shared" si="28"/>
        <v>#REF!</v>
      </c>
    </row>
    <row r="53" ht="18.75" customHeight="1">
      <c r="A53" s="81" t="s">
        <v>351</v>
      </c>
      <c r="B53" s="55">
        <v>16.0</v>
      </c>
      <c r="C53" s="61">
        <f t="shared" si="21"/>
        <v>1440000</v>
      </c>
      <c r="D53" s="63" t="str">
        <f t="shared" si="22"/>
        <v>#REF!</v>
      </c>
      <c r="E53" s="83">
        <f>PIZZA!$C$99</f>
        <v>32219.23703</v>
      </c>
      <c r="F53" s="85">
        <f t="shared" si="23"/>
        <v>0.02237447016</v>
      </c>
      <c r="G53" s="88">
        <f t="shared" si="24"/>
        <v>1407780.763</v>
      </c>
      <c r="H53" s="61">
        <f t="shared" si="25"/>
        <v>1584000</v>
      </c>
      <c r="I53" s="61">
        <f t="shared" si="26"/>
        <v>32219.23703</v>
      </c>
      <c r="J53" s="61">
        <f t="shared" si="27"/>
        <v>1551780.763</v>
      </c>
      <c r="K53" s="71">
        <f t="shared" si="28"/>
        <v>0.02034042742</v>
      </c>
    </row>
    <row r="54" ht="18.75" customHeight="1">
      <c r="A54" s="130" t="str">
        <f>PIZZA!C187</f>
        <v>Alfredo </v>
      </c>
      <c r="B54" s="55">
        <v>16.0</v>
      </c>
      <c r="C54" s="61">
        <f t="shared" si="21"/>
        <v>1440000</v>
      </c>
      <c r="D54" s="63" t="str">
        <f t="shared" si="22"/>
        <v>#REF!</v>
      </c>
      <c r="E54" s="83" t="str">
        <f>PIZZA!C191</f>
        <v>#REF!</v>
      </c>
      <c r="F54" s="85" t="str">
        <f t="shared" si="23"/>
        <v>#REF!</v>
      </c>
      <c r="G54" s="88" t="str">
        <f t="shared" si="24"/>
        <v>#REF!</v>
      </c>
      <c r="H54" s="61">
        <f t="shared" si="25"/>
        <v>1584000</v>
      </c>
      <c r="I54" s="61" t="str">
        <f t="shared" si="26"/>
        <v>#REF!</v>
      </c>
      <c r="J54" s="61" t="str">
        <f t="shared" si="27"/>
        <v>#REF!</v>
      </c>
      <c r="K54" s="71" t="str">
        <f t="shared" si="28"/>
        <v>#REF!</v>
      </c>
    </row>
    <row r="55" ht="18.75" customHeight="1">
      <c r="A55" s="130" t="str">
        <f>PIZZA!L187</f>
        <v>Goat Cheese</v>
      </c>
      <c r="B55" s="55"/>
      <c r="C55" s="61">
        <f t="shared" si="21"/>
        <v>0</v>
      </c>
      <c r="D55" s="63" t="str">
        <f t="shared" si="22"/>
        <v>#REF!</v>
      </c>
      <c r="E55" s="83" t="str">
        <f>PIZZA!L191</f>
        <v>#REF!</v>
      </c>
      <c r="F55" s="85" t="str">
        <f t="shared" si="23"/>
        <v>#REF!</v>
      </c>
      <c r="G55" s="88" t="str">
        <f t="shared" si="24"/>
        <v>#REF!</v>
      </c>
      <c r="H55" s="61">
        <f t="shared" si="25"/>
        <v>0</v>
      </c>
      <c r="I55" s="61" t="str">
        <f t="shared" si="26"/>
        <v>#REF!</v>
      </c>
      <c r="J55" s="61" t="str">
        <f t="shared" si="27"/>
        <v>#REF!</v>
      </c>
      <c r="K55" s="71" t="str">
        <f t="shared" si="28"/>
        <v>#REF!</v>
      </c>
    </row>
    <row r="56" ht="18.75" customHeight="1">
      <c r="A56" s="130" t="str">
        <f>PIZZA!C232</f>
        <v>Salmon</v>
      </c>
      <c r="B56" s="55"/>
      <c r="C56" s="61">
        <f t="shared" si="21"/>
        <v>0</v>
      </c>
      <c r="D56" s="63" t="str">
        <f t="shared" si="22"/>
        <v>#REF!</v>
      </c>
      <c r="E56" s="83" t="str">
        <f>PIZZA!C236</f>
        <v>#REF!</v>
      </c>
      <c r="F56" s="85" t="str">
        <f t="shared" si="23"/>
        <v>#REF!</v>
      </c>
      <c r="G56" s="88" t="str">
        <f t="shared" si="24"/>
        <v>#REF!</v>
      </c>
      <c r="H56" s="61">
        <f t="shared" si="25"/>
        <v>0</v>
      </c>
      <c r="I56" s="61" t="str">
        <f t="shared" si="26"/>
        <v>#REF!</v>
      </c>
      <c r="J56" s="61" t="str">
        <f t="shared" si="27"/>
        <v>#REF!</v>
      </c>
      <c r="K56" s="71" t="str">
        <f t="shared" si="28"/>
        <v>#REF!</v>
      </c>
    </row>
    <row r="57" ht="18.75" customHeight="1">
      <c r="A57" s="130" t="str">
        <f>PIZZA!L232</f>
        <v>Shrimps Pesto</v>
      </c>
      <c r="B57" s="55"/>
      <c r="C57" s="61">
        <f t="shared" si="21"/>
        <v>0</v>
      </c>
      <c r="D57" s="63" t="str">
        <f t="shared" si="22"/>
        <v>#REF!</v>
      </c>
      <c r="E57" s="83" t="str">
        <f>PIZZA!L236</f>
        <v>#REF!</v>
      </c>
      <c r="F57" s="85" t="str">
        <f t="shared" si="23"/>
        <v>#REF!</v>
      </c>
      <c r="G57" s="88" t="str">
        <f t="shared" si="24"/>
        <v>#REF!</v>
      </c>
      <c r="H57" s="61">
        <f t="shared" si="25"/>
        <v>0</v>
      </c>
      <c r="I57" s="61" t="str">
        <f t="shared" si="26"/>
        <v>#REF!</v>
      </c>
      <c r="J57" s="61" t="str">
        <f t="shared" si="27"/>
        <v>#REF!</v>
      </c>
      <c r="K57" s="71" t="str">
        <f t="shared" si="28"/>
        <v>#REF!</v>
      </c>
    </row>
    <row r="58" ht="18.75" customHeight="1">
      <c r="A58" s="193" t="s">
        <v>381</v>
      </c>
      <c r="B58" s="194">
        <v>17.0</v>
      </c>
      <c r="C58" s="61">
        <f t="shared" si="21"/>
        <v>1530000</v>
      </c>
      <c r="D58" s="196"/>
      <c r="E58" s="196"/>
      <c r="F58" s="150" t="str">
        <f t="shared" si="23"/>
        <v/>
      </c>
      <c r="G58" s="152"/>
      <c r="H58" s="154"/>
      <c r="I58" s="155"/>
      <c r="J58" s="155"/>
      <c r="K58" s="150"/>
    </row>
    <row r="59" ht="18.75" customHeight="1">
      <c r="A59" s="48" t="s">
        <v>385</v>
      </c>
      <c r="B59" s="156"/>
      <c r="C59" s="61"/>
      <c r="D59" s="196"/>
      <c r="E59" s="196"/>
      <c r="F59" s="158" t="str">
        <f t="shared" si="23"/>
        <v/>
      </c>
      <c r="G59" s="159"/>
      <c r="H59" s="160"/>
      <c r="I59" s="161"/>
      <c r="J59" s="161"/>
      <c r="K59" s="158"/>
    </row>
    <row r="60" ht="18.75" customHeight="1">
      <c r="A60" s="53" t="s">
        <v>388</v>
      </c>
      <c r="B60" s="55">
        <v>9.0</v>
      </c>
      <c r="C60" s="61">
        <f t="shared" ref="C60:C69" si="29">B60*90000</f>
        <v>810000</v>
      </c>
      <c r="D60" s="63" t="str">
        <f t="shared" ref="D60:D69" si="30">E60/$A$2</f>
        <v>#REF!</v>
      </c>
      <c r="E60" s="65" t="str">
        <f>PASTA!$C$10</f>
        <v>#REF!</v>
      </c>
      <c r="F60" s="71" t="str">
        <f t="shared" si="23"/>
        <v>#REF!</v>
      </c>
      <c r="G60" s="74" t="str">
        <f t="shared" ref="G60:G69" si="31">C60-E60</f>
        <v>#REF!</v>
      </c>
      <c r="H60" s="61">
        <f t="shared" ref="H60:H67" si="32">(C60*$H$4)+C60</f>
        <v>891000</v>
      </c>
      <c r="I60" s="61" t="str">
        <f t="shared" ref="I60:I67" si="33">E60</f>
        <v>#REF!</v>
      </c>
      <c r="J60" s="61" t="str">
        <f t="shared" ref="J60:J67" si="34">H60-I60</f>
        <v>#REF!</v>
      </c>
      <c r="K60" s="71" t="str">
        <f t="shared" ref="K60:K67" si="35">I60/H60</f>
        <v>#REF!</v>
      </c>
    </row>
    <row r="61" ht="18.75" customHeight="1">
      <c r="A61" s="81" t="s">
        <v>401</v>
      </c>
      <c r="B61" s="55">
        <v>12.0</v>
      </c>
      <c r="C61" s="61">
        <f t="shared" si="29"/>
        <v>1080000</v>
      </c>
      <c r="D61" s="63" t="str">
        <f t="shared" si="30"/>
        <v>#REF!</v>
      </c>
      <c r="E61" s="83" t="str">
        <f>PASTA!$L$10</f>
        <v>#REF!</v>
      </c>
      <c r="F61" s="85" t="str">
        <f t="shared" si="23"/>
        <v>#REF!</v>
      </c>
      <c r="G61" s="88" t="str">
        <f t="shared" si="31"/>
        <v>#REF!</v>
      </c>
      <c r="H61" s="61">
        <f t="shared" si="32"/>
        <v>1188000</v>
      </c>
      <c r="I61" s="61" t="str">
        <f t="shared" si="33"/>
        <v>#REF!</v>
      </c>
      <c r="J61" s="61" t="str">
        <f t="shared" si="34"/>
        <v>#REF!</v>
      </c>
      <c r="K61" s="71" t="str">
        <f t="shared" si="35"/>
        <v>#REF!</v>
      </c>
    </row>
    <row r="62" ht="18.75" customHeight="1">
      <c r="A62" s="81" t="s">
        <v>408</v>
      </c>
      <c r="B62" s="55">
        <v>14.0</v>
      </c>
      <c r="C62" s="61">
        <f t="shared" si="29"/>
        <v>1260000</v>
      </c>
      <c r="D62" s="63" t="str">
        <f t="shared" si="30"/>
        <v>#REF!</v>
      </c>
      <c r="E62" s="83" t="str">
        <f>PASTA!$C$54</f>
        <v>#REF!</v>
      </c>
      <c r="F62" s="85" t="str">
        <f t="shared" si="23"/>
        <v>#REF!</v>
      </c>
      <c r="G62" s="88" t="str">
        <f t="shared" si="31"/>
        <v>#REF!</v>
      </c>
      <c r="H62" s="61">
        <f t="shared" si="32"/>
        <v>1386000</v>
      </c>
      <c r="I62" s="61" t="str">
        <f t="shared" si="33"/>
        <v>#REF!</v>
      </c>
      <c r="J62" s="61" t="str">
        <f t="shared" si="34"/>
        <v>#REF!</v>
      </c>
      <c r="K62" s="71" t="str">
        <f t="shared" si="35"/>
        <v>#REF!</v>
      </c>
    </row>
    <row r="63" ht="18.75" customHeight="1">
      <c r="A63" s="81" t="s">
        <v>411</v>
      </c>
      <c r="B63" s="55">
        <v>16.0</v>
      </c>
      <c r="C63" s="61">
        <f t="shared" si="29"/>
        <v>1440000</v>
      </c>
      <c r="D63" s="63" t="str">
        <f t="shared" si="30"/>
        <v>#REF!</v>
      </c>
      <c r="E63" s="83" t="str">
        <f>PASTA!$L$54</f>
        <v>#REF!</v>
      </c>
      <c r="F63" s="85" t="str">
        <f t="shared" si="23"/>
        <v>#REF!</v>
      </c>
      <c r="G63" s="88" t="str">
        <f t="shared" si="31"/>
        <v>#REF!</v>
      </c>
      <c r="H63" s="61">
        <f t="shared" si="32"/>
        <v>1584000</v>
      </c>
      <c r="I63" s="61" t="str">
        <f t="shared" si="33"/>
        <v>#REF!</v>
      </c>
      <c r="J63" s="61" t="str">
        <f t="shared" si="34"/>
        <v>#REF!</v>
      </c>
      <c r="K63" s="71" t="str">
        <f t="shared" si="35"/>
        <v>#REF!</v>
      </c>
    </row>
    <row r="64" ht="18.75" customHeight="1">
      <c r="A64" s="81" t="s">
        <v>414</v>
      </c>
      <c r="B64" s="55">
        <v>13.0</v>
      </c>
      <c r="C64" s="61">
        <f t="shared" si="29"/>
        <v>1170000</v>
      </c>
      <c r="D64" s="63" t="str">
        <f t="shared" si="30"/>
        <v>#REF!</v>
      </c>
      <c r="E64" s="83" t="str">
        <f>PASTA!$C$99</f>
        <v>#REF!</v>
      </c>
      <c r="F64" s="85" t="str">
        <f t="shared" si="23"/>
        <v>#REF!</v>
      </c>
      <c r="G64" s="88" t="str">
        <f t="shared" si="31"/>
        <v>#REF!</v>
      </c>
      <c r="H64" s="61">
        <f t="shared" si="32"/>
        <v>1287000</v>
      </c>
      <c r="I64" s="61" t="str">
        <f t="shared" si="33"/>
        <v>#REF!</v>
      </c>
      <c r="J64" s="61" t="str">
        <f t="shared" si="34"/>
        <v>#REF!</v>
      </c>
      <c r="K64" s="71" t="str">
        <f t="shared" si="35"/>
        <v>#REF!</v>
      </c>
    </row>
    <row r="65" ht="18.75" hidden="1" customHeight="1">
      <c r="A65" s="81" t="s">
        <v>418</v>
      </c>
      <c r="B65" s="55"/>
      <c r="C65" s="61">
        <f t="shared" si="29"/>
        <v>0</v>
      </c>
      <c r="D65" s="63" t="str">
        <f t="shared" si="30"/>
        <v>#REF!</v>
      </c>
      <c r="E65" s="83" t="str">
        <f>PASTA!$L$99</f>
        <v>#REF!</v>
      </c>
      <c r="F65" s="85" t="str">
        <f t="shared" si="23"/>
        <v>#REF!</v>
      </c>
      <c r="G65" s="88" t="str">
        <f t="shared" si="31"/>
        <v>#REF!</v>
      </c>
      <c r="H65" s="61">
        <f t="shared" si="32"/>
        <v>0</v>
      </c>
      <c r="I65" s="61" t="str">
        <f t="shared" si="33"/>
        <v>#REF!</v>
      </c>
      <c r="J65" s="61" t="str">
        <f t="shared" si="34"/>
        <v>#REF!</v>
      </c>
      <c r="K65" s="71" t="str">
        <f t="shared" si="35"/>
        <v>#REF!</v>
      </c>
    </row>
    <row r="66" ht="18.75" customHeight="1">
      <c r="A66" s="81" t="s">
        <v>422</v>
      </c>
      <c r="B66" s="55"/>
      <c r="C66" s="61">
        <f t="shared" si="29"/>
        <v>0</v>
      </c>
      <c r="D66" s="63" t="str">
        <f t="shared" si="30"/>
        <v>#REF!</v>
      </c>
      <c r="E66" s="83" t="str">
        <f>PASTA!L144</f>
        <v>#REF!</v>
      </c>
      <c r="F66" s="85" t="str">
        <f t="shared" si="23"/>
        <v>#REF!</v>
      </c>
      <c r="G66" s="88" t="str">
        <f t="shared" si="31"/>
        <v>#REF!</v>
      </c>
      <c r="H66" s="61">
        <f t="shared" si="32"/>
        <v>0</v>
      </c>
      <c r="I66" s="61" t="str">
        <f t="shared" si="33"/>
        <v>#REF!</v>
      </c>
      <c r="J66" s="61" t="str">
        <f t="shared" si="34"/>
        <v>#REF!</v>
      </c>
      <c r="K66" s="71" t="str">
        <f t="shared" si="35"/>
        <v>#REF!</v>
      </c>
    </row>
    <row r="67" ht="18.75" customHeight="1">
      <c r="A67" s="126" t="s">
        <v>426</v>
      </c>
      <c r="B67" s="55">
        <v>12.0</v>
      </c>
      <c r="C67" s="61">
        <f t="shared" si="29"/>
        <v>1080000</v>
      </c>
      <c r="D67" s="63" t="str">
        <f t="shared" si="30"/>
        <v>#REF!</v>
      </c>
      <c r="E67" s="83" t="str">
        <f>PASTA!C189</f>
        <v>#REF!</v>
      </c>
      <c r="F67" s="85" t="str">
        <f t="shared" si="23"/>
        <v>#REF!</v>
      </c>
      <c r="G67" s="88" t="str">
        <f t="shared" si="31"/>
        <v>#REF!</v>
      </c>
      <c r="H67" s="61">
        <f t="shared" si="32"/>
        <v>1188000</v>
      </c>
      <c r="I67" s="61" t="str">
        <f t="shared" si="33"/>
        <v>#REF!</v>
      </c>
      <c r="J67" s="61" t="str">
        <f t="shared" si="34"/>
        <v>#REF!</v>
      </c>
      <c r="K67" s="71" t="str">
        <f t="shared" si="35"/>
        <v>#REF!</v>
      </c>
    </row>
    <row r="68" ht="18.75" customHeight="1">
      <c r="A68" s="130" t="str">
        <f>PASTA!L185</f>
        <v>Salmon Pasta</v>
      </c>
      <c r="B68" s="55"/>
      <c r="C68" s="61">
        <f t="shared" si="29"/>
        <v>0</v>
      </c>
      <c r="D68" s="63" t="str">
        <f t="shared" si="30"/>
        <v>#REF!</v>
      </c>
      <c r="E68" s="83" t="str">
        <f>PASTA!L189</f>
        <v>#REF!</v>
      </c>
      <c r="F68" s="85" t="str">
        <f t="shared" si="23"/>
        <v>#REF!</v>
      </c>
      <c r="G68" s="88" t="str">
        <f t="shared" si="31"/>
        <v>#REF!</v>
      </c>
      <c r="H68" s="61"/>
      <c r="I68" s="61"/>
      <c r="J68" s="61"/>
      <c r="K68" s="71"/>
    </row>
    <row r="69" ht="18.75" customHeight="1">
      <c r="A69" s="81" t="s">
        <v>435</v>
      </c>
      <c r="B69" s="55"/>
      <c r="C69" s="61">
        <f t="shared" si="29"/>
        <v>0</v>
      </c>
      <c r="D69" s="63" t="str">
        <f t="shared" si="30"/>
        <v>#REF!</v>
      </c>
      <c r="E69" s="83" t="str">
        <f>PASTA!C144</f>
        <v>#REF!</v>
      </c>
      <c r="F69" s="85" t="str">
        <f t="shared" si="23"/>
        <v>#REF!</v>
      </c>
      <c r="G69" s="88" t="str">
        <f t="shared" si="31"/>
        <v>#REF!</v>
      </c>
      <c r="H69" s="61">
        <f>(C69*$H$4)+C69</f>
        <v>0</v>
      </c>
      <c r="I69" s="61" t="str">
        <f>E69</f>
        <v>#REF!</v>
      </c>
      <c r="J69" s="61" t="str">
        <f>H69-I69</f>
        <v>#REF!</v>
      </c>
      <c r="K69" s="71" t="str">
        <f>I69/H69</f>
        <v>#REF!</v>
      </c>
    </row>
    <row r="70" ht="18.75" customHeight="1">
      <c r="A70" s="146"/>
      <c r="B70" s="196"/>
      <c r="C70" s="61"/>
      <c r="D70" s="156"/>
      <c r="E70" s="148"/>
      <c r="F70" s="150" t="str">
        <f t="shared" si="23"/>
        <v/>
      </c>
      <c r="G70" s="152"/>
      <c r="H70" s="154"/>
      <c r="I70" s="155"/>
      <c r="J70" s="155"/>
      <c r="K70" s="150"/>
    </row>
    <row r="71" ht="18.75" customHeight="1">
      <c r="A71" s="48" t="s">
        <v>442</v>
      </c>
      <c r="B71" s="156"/>
      <c r="C71" s="61"/>
      <c r="D71" s="156"/>
      <c r="E71" s="157"/>
      <c r="F71" s="158" t="str">
        <f t="shared" si="23"/>
        <v/>
      </c>
      <c r="G71" s="159"/>
      <c r="H71" s="160"/>
      <c r="I71" s="161"/>
      <c r="J71" s="161"/>
      <c r="K71" s="158"/>
    </row>
    <row r="72" ht="18.75" customHeight="1">
      <c r="A72" s="53" t="s">
        <v>443</v>
      </c>
      <c r="B72" s="55">
        <v>10.0</v>
      </c>
      <c r="C72" s="61">
        <f t="shared" ref="C72:C80" si="36">B72*90000</f>
        <v>900000</v>
      </c>
      <c r="D72" s="63" t="str">
        <f t="shared" ref="D72:D80" si="37">E72/$A$2</f>
        <v>#REF!</v>
      </c>
      <c r="E72" s="65" t="str">
        <f>'BURGERS  '!$C$10</f>
        <v>#REF!</v>
      </c>
      <c r="F72" s="71" t="str">
        <f t="shared" si="23"/>
        <v>#REF!</v>
      </c>
      <c r="G72" s="74" t="str">
        <f t="shared" ref="G72:G80" si="38">C72-E72</f>
        <v>#REF!</v>
      </c>
      <c r="H72" s="61">
        <f t="shared" ref="H72:H80" si="39">(C72*$H$4)+C72</f>
        <v>990000</v>
      </c>
      <c r="I72" s="61" t="str">
        <f t="shared" ref="I72:I80" si="40">E72</f>
        <v>#REF!</v>
      </c>
      <c r="J72" s="61" t="str">
        <f t="shared" ref="J72:J80" si="41">H72-I72</f>
        <v>#REF!</v>
      </c>
      <c r="K72" s="71" t="str">
        <f t="shared" ref="K72:K80" si="42">I72/H72</f>
        <v>#REF!</v>
      </c>
    </row>
    <row r="73" ht="18.75" hidden="1" customHeight="1">
      <c r="A73" s="81" t="s">
        <v>455</v>
      </c>
      <c r="B73" s="55"/>
      <c r="C73" s="61">
        <f t="shared" si="36"/>
        <v>0</v>
      </c>
      <c r="D73" s="63" t="str">
        <f t="shared" si="37"/>
        <v>#REF!</v>
      </c>
      <c r="E73" s="83" t="str">
        <f>'BURGERS  '!$L$10</f>
        <v>#REF!</v>
      </c>
      <c r="F73" s="85" t="str">
        <f t="shared" si="23"/>
        <v>#REF!</v>
      </c>
      <c r="G73" s="88" t="str">
        <f t="shared" si="38"/>
        <v>#REF!</v>
      </c>
      <c r="H73" s="61">
        <f t="shared" si="39"/>
        <v>0</v>
      </c>
      <c r="I73" s="61" t="str">
        <f t="shared" si="40"/>
        <v>#REF!</v>
      </c>
      <c r="J73" s="61" t="str">
        <f t="shared" si="41"/>
        <v>#REF!</v>
      </c>
      <c r="K73" s="71" t="str">
        <f t="shared" si="42"/>
        <v>#REF!</v>
      </c>
    </row>
    <row r="74" ht="18.75" customHeight="1">
      <c r="A74" s="81" t="s">
        <v>460</v>
      </c>
      <c r="B74" s="55">
        <v>15.0</v>
      </c>
      <c r="C74" s="61">
        <f t="shared" si="36"/>
        <v>1350000</v>
      </c>
      <c r="D74" s="63" t="str">
        <f t="shared" si="37"/>
        <v>#REF!</v>
      </c>
      <c r="E74" s="83" t="str">
        <f>'BURGERS  '!$C$236</f>
        <v>#REF!</v>
      </c>
      <c r="F74" s="85" t="str">
        <f t="shared" si="23"/>
        <v>#REF!</v>
      </c>
      <c r="G74" s="88" t="str">
        <f t="shared" si="38"/>
        <v>#REF!</v>
      </c>
      <c r="H74" s="61">
        <f t="shared" si="39"/>
        <v>1485000</v>
      </c>
      <c r="I74" s="61" t="str">
        <f t="shared" si="40"/>
        <v>#REF!</v>
      </c>
      <c r="J74" s="61" t="str">
        <f t="shared" si="41"/>
        <v>#REF!</v>
      </c>
      <c r="K74" s="71" t="str">
        <f t="shared" si="42"/>
        <v>#REF!</v>
      </c>
    </row>
    <row r="75" ht="18.75" customHeight="1">
      <c r="A75" s="81" t="s">
        <v>468</v>
      </c>
      <c r="B75" s="55">
        <v>14.0</v>
      </c>
      <c r="C75" s="61">
        <f t="shared" si="36"/>
        <v>1260000</v>
      </c>
      <c r="D75" s="63" t="str">
        <f t="shared" si="37"/>
        <v>#REF!</v>
      </c>
      <c r="E75" s="83" t="str">
        <f>'BURGERS  '!C146</f>
        <v>#REF!</v>
      </c>
      <c r="F75" s="85" t="str">
        <f t="shared" si="23"/>
        <v>#REF!</v>
      </c>
      <c r="G75" s="88" t="str">
        <f t="shared" si="38"/>
        <v>#REF!</v>
      </c>
      <c r="H75" s="61">
        <f t="shared" si="39"/>
        <v>1386000</v>
      </c>
      <c r="I75" s="61" t="str">
        <f t="shared" si="40"/>
        <v>#REF!</v>
      </c>
      <c r="J75" s="61" t="str">
        <f t="shared" si="41"/>
        <v>#REF!</v>
      </c>
      <c r="K75" s="71" t="str">
        <f t="shared" si="42"/>
        <v>#REF!</v>
      </c>
    </row>
    <row r="76" ht="18.75" customHeight="1">
      <c r="A76" s="208" t="s">
        <v>422</v>
      </c>
      <c r="B76" s="55"/>
      <c r="C76" s="61">
        <f t="shared" si="36"/>
        <v>0</v>
      </c>
      <c r="D76" s="63" t="str">
        <f t="shared" si="37"/>
        <v>#REF!</v>
      </c>
      <c r="E76" s="83" t="str">
        <f>'BURGERS  '!C282</f>
        <v>#REF!</v>
      </c>
      <c r="F76" s="85" t="str">
        <f t="shared" si="23"/>
        <v>#REF!</v>
      </c>
      <c r="G76" s="88" t="str">
        <f t="shared" si="38"/>
        <v>#REF!</v>
      </c>
      <c r="H76" s="61">
        <f t="shared" si="39"/>
        <v>0</v>
      </c>
      <c r="I76" s="61" t="str">
        <f t="shared" si="40"/>
        <v>#REF!</v>
      </c>
      <c r="J76" s="61" t="str">
        <f t="shared" si="41"/>
        <v>#REF!</v>
      </c>
      <c r="K76" s="71" t="str">
        <f t="shared" si="42"/>
        <v>#REF!</v>
      </c>
    </row>
    <row r="77" ht="18.75" customHeight="1">
      <c r="A77" s="81" t="s">
        <v>477</v>
      </c>
      <c r="B77" s="55">
        <v>16.0</v>
      </c>
      <c r="C77" s="61">
        <f t="shared" si="36"/>
        <v>1440000</v>
      </c>
      <c r="D77" s="63" t="str">
        <f t="shared" si="37"/>
        <v>#REF!</v>
      </c>
      <c r="E77" s="83" t="str">
        <f>'BURGERS  '!$C$100</f>
        <v>#REF!</v>
      </c>
      <c r="F77" s="85" t="str">
        <f t="shared" si="23"/>
        <v>#REF!</v>
      </c>
      <c r="G77" s="88" t="str">
        <f t="shared" si="38"/>
        <v>#REF!</v>
      </c>
      <c r="H77" s="61">
        <f t="shared" si="39"/>
        <v>1584000</v>
      </c>
      <c r="I77" s="61" t="str">
        <f t="shared" si="40"/>
        <v>#REF!</v>
      </c>
      <c r="J77" s="61" t="str">
        <f t="shared" si="41"/>
        <v>#REF!</v>
      </c>
      <c r="K77" s="71" t="str">
        <f t="shared" si="42"/>
        <v>#REF!</v>
      </c>
    </row>
    <row r="78" ht="18.75" customHeight="1">
      <c r="A78" s="81" t="s">
        <v>483</v>
      </c>
      <c r="B78" s="55">
        <v>16.0</v>
      </c>
      <c r="C78" s="61">
        <f t="shared" si="36"/>
        <v>1440000</v>
      </c>
      <c r="D78" s="63" t="str">
        <f t="shared" si="37"/>
        <v>#REF!</v>
      </c>
      <c r="E78" s="83" t="str">
        <f>'BURGERS  '!$L$146</f>
        <v>#REF!</v>
      </c>
      <c r="F78" s="85" t="str">
        <f t="shared" si="23"/>
        <v>#REF!</v>
      </c>
      <c r="G78" s="88" t="str">
        <f t="shared" si="38"/>
        <v>#REF!</v>
      </c>
      <c r="H78" s="61">
        <f t="shared" si="39"/>
        <v>1584000</v>
      </c>
      <c r="I78" s="61" t="str">
        <f t="shared" si="40"/>
        <v>#REF!</v>
      </c>
      <c r="J78" s="61" t="str">
        <f t="shared" si="41"/>
        <v>#REF!</v>
      </c>
      <c r="K78" s="71" t="str">
        <f t="shared" si="42"/>
        <v>#REF!</v>
      </c>
    </row>
    <row r="79" ht="18.75" customHeight="1">
      <c r="A79" s="208" t="s">
        <v>488</v>
      </c>
      <c r="B79" s="55">
        <v>14.0</v>
      </c>
      <c r="C79" s="61">
        <f t="shared" si="36"/>
        <v>1260000</v>
      </c>
      <c r="D79" s="63" t="str">
        <f t="shared" si="37"/>
        <v>#REF!</v>
      </c>
      <c r="E79" s="209" t="str">
        <f>'BURGERS  '!L236</f>
        <v>#REF!</v>
      </c>
      <c r="F79" s="85" t="str">
        <f t="shared" si="23"/>
        <v>#REF!</v>
      </c>
      <c r="G79" s="88" t="str">
        <f t="shared" si="38"/>
        <v>#REF!</v>
      </c>
      <c r="H79" s="61">
        <f t="shared" si="39"/>
        <v>1386000</v>
      </c>
      <c r="I79" s="61" t="str">
        <f t="shared" si="40"/>
        <v>#REF!</v>
      </c>
      <c r="J79" s="61" t="str">
        <f t="shared" si="41"/>
        <v>#REF!</v>
      </c>
      <c r="K79" s="71" t="str">
        <f t="shared" si="42"/>
        <v>#REF!</v>
      </c>
    </row>
    <row r="80" ht="18.75" customHeight="1">
      <c r="A80" s="81" t="s">
        <v>496</v>
      </c>
      <c r="B80" s="61">
        <v>15.0</v>
      </c>
      <c r="C80" s="61">
        <f t="shared" si="36"/>
        <v>1350000</v>
      </c>
      <c r="D80" s="63" t="str">
        <f t="shared" si="37"/>
        <v>#VALUE!</v>
      </c>
      <c r="E80" s="83" t="str">
        <f>'BURGERS  '!$C$191:$D$191</f>
        <v>#VALUE!</v>
      </c>
      <c r="F80" s="85" t="str">
        <f t="shared" si="23"/>
        <v>#VALUE!</v>
      </c>
      <c r="G80" s="88" t="str">
        <f t="shared" si="38"/>
        <v>#VALUE!</v>
      </c>
      <c r="H80" s="61">
        <f t="shared" si="39"/>
        <v>1485000</v>
      </c>
      <c r="I80" s="61" t="str">
        <f t="shared" si="40"/>
        <v>#VALUE!</v>
      </c>
      <c r="J80" s="61" t="str">
        <f t="shared" si="41"/>
        <v>#VALUE!</v>
      </c>
      <c r="K80" s="71" t="str">
        <f t="shared" si="42"/>
        <v>#VALUE!</v>
      </c>
    </row>
    <row r="81" ht="18.75" customHeight="1">
      <c r="A81" s="146"/>
      <c r="B81" s="196"/>
      <c r="C81" s="61"/>
      <c r="D81" s="148"/>
      <c r="E81" s="148"/>
      <c r="F81" s="150" t="str">
        <f t="shared" si="23"/>
        <v/>
      </c>
      <c r="G81" s="152"/>
      <c r="H81" s="154"/>
      <c r="I81" s="155"/>
      <c r="J81" s="155"/>
      <c r="K81" s="150"/>
    </row>
    <row r="82" ht="18.75" customHeight="1">
      <c r="A82" s="48" t="s">
        <v>500</v>
      </c>
      <c r="B82" s="156"/>
      <c r="C82" s="61"/>
      <c r="D82" s="157"/>
      <c r="E82" s="157"/>
      <c r="F82" s="158" t="str">
        <f t="shared" si="23"/>
        <v/>
      </c>
      <c r="G82" s="152"/>
      <c r="H82" s="160"/>
      <c r="I82" s="161"/>
      <c r="J82" s="161"/>
      <c r="K82" s="158"/>
    </row>
    <row r="83" ht="18.75" hidden="1" customHeight="1">
      <c r="A83" s="212" t="s">
        <v>502</v>
      </c>
      <c r="B83" s="162"/>
      <c r="C83" s="61">
        <f>B83/90000</f>
        <v>0</v>
      </c>
      <c r="D83" s="63" t="str">
        <f t="shared" ref="D83:D101" si="43">E83/$A$2</f>
        <v>#REF!</v>
      </c>
      <c r="E83" s="65">
        <v>0.0</v>
      </c>
      <c r="F83" s="71" t="str">
        <f t="shared" si="23"/>
        <v>#DIV/0!</v>
      </c>
      <c r="G83" s="74">
        <f t="shared" ref="G83:G101" si="44">C83-E83</f>
        <v>0</v>
      </c>
      <c r="H83" s="214">
        <v>10.5</v>
      </c>
      <c r="I83" s="215"/>
      <c r="J83" s="215"/>
      <c r="K83" s="158" t="str">
        <f>IF(#REF!="","",IF(ISBLANK(H83),"",#REF!/H83))</f>
        <v>#REF!</v>
      </c>
    </row>
    <row r="84" ht="18.75" customHeight="1">
      <c r="A84" s="81" t="s">
        <v>513</v>
      </c>
      <c r="B84" s="55">
        <v>13.0</v>
      </c>
      <c r="C84" s="61">
        <f t="shared" ref="C84:C102" si="45">B84*90000</f>
        <v>1170000</v>
      </c>
      <c r="D84" s="63" t="str">
        <f t="shared" si="43"/>
        <v>#REF!</v>
      </c>
      <c r="E84" s="83" t="str">
        <f>MAINS!$L$10</f>
        <v>#REF!</v>
      </c>
      <c r="F84" s="85" t="str">
        <f t="shared" si="23"/>
        <v>#REF!</v>
      </c>
      <c r="G84" s="88" t="str">
        <f t="shared" si="44"/>
        <v>#REF!</v>
      </c>
      <c r="H84" s="217">
        <f t="shared" ref="H84:H101" si="46">(C84*$H$4)+C84</f>
        <v>1287000</v>
      </c>
      <c r="I84" s="61" t="str">
        <f t="shared" ref="I84:I101" si="47">E84</f>
        <v>#REF!</v>
      </c>
      <c r="J84" s="61" t="str">
        <f t="shared" ref="J84:J101" si="48">H84-I84</f>
        <v>#REF!</v>
      </c>
      <c r="K84" s="71" t="str">
        <f t="shared" ref="K84:K101" si="49">I84/H84</f>
        <v>#REF!</v>
      </c>
    </row>
    <row r="85" ht="18.75" customHeight="1">
      <c r="A85" s="81" t="s">
        <v>524</v>
      </c>
      <c r="B85" s="55">
        <v>15.5</v>
      </c>
      <c r="C85" s="61">
        <f t="shared" si="45"/>
        <v>1395000</v>
      </c>
      <c r="D85" s="63" t="str">
        <f t="shared" si="43"/>
        <v>#REF!</v>
      </c>
      <c r="E85" s="83" t="str">
        <f>MAINS!$L$54</f>
        <v>#REF!</v>
      </c>
      <c r="F85" s="85" t="str">
        <f t="shared" si="23"/>
        <v>#REF!</v>
      </c>
      <c r="G85" s="88" t="str">
        <f t="shared" si="44"/>
        <v>#REF!</v>
      </c>
      <c r="H85" s="61">
        <f t="shared" si="46"/>
        <v>1534500</v>
      </c>
      <c r="I85" s="61" t="str">
        <f t="shared" si="47"/>
        <v>#REF!</v>
      </c>
      <c r="J85" s="61" t="str">
        <f t="shared" si="48"/>
        <v>#REF!</v>
      </c>
      <c r="K85" s="71" t="str">
        <f t="shared" si="49"/>
        <v>#REF!</v>
      </c>
    </row>
    <row r="86" ht="18.75" customHeight="1">
      <c r="A86" s="81" t="s">
        <v>528</v>
      </c>
      <c r="B86" s="55">
        <v>13.0</v>
      </c>
      <c r="C86" s="61">
        <f t="shared" si="45"/>
        <v>1170000</v>
      </c>
      <c r="D86" s="63" t="str">
        <f t="shared" si="43"/>
        <v>#REF!</v>
      </c>
      <c r="E86" s="83" t="str">
        <f>MAINS!$C$54</f>
        <v>#REF!</v>
      </c>
      <c r="F86" s="85" t="str">
        <f t="shared" si="23"/>
        <v>#REF!</v>
      </c>
      <c r="G86" s="88" t="str">
        <f t="shared" si="44"/>
        <v>#REF!</v>
      </c>
      <c r="H86" s="61">
        <f t="shared" si="46"/>
        <v>1287000</v>
      </c>
      <c r="I86" s="61" t="str">
        <f t="shared" si="47"/>
        <v>#REF!</v>
      </c>
      <c r="J86" s="61" t="str">
        <f t="shared" si="48"/>
        <v>#REF!</v>
      </c>
      <c r="K86" s="71" t="str">
        <f t="shared" si="49"/>
        <v>#REF!</v>
      </c>
    </row>
    <row r="87" ht="18.75" customHeight="1">
      <c r="A87" s="81" t="s">
        <v>534</v>
      </c>
      <c r="B87" s="55">
        <v>16.0</v>
      </c>
      <c r="C87" s="61">
        <f t="shared" si="45"/>
        <v>1440000</v>
      </c>
      <c r="D87" s="63" t="str">
        <f t="shared" si="43"/>
        <v>#REF!</v>
      </c>
      <c r="E87" s="83" t="str">
        <f>MAINS!$L$99</f>
        <v>#REF!</v>
      </c>
      <c r="F87" s="85" t="str">
        <f t="shared" si="23"/>
        <v>#REF!</v>
      </c>
      <c r="G87" s="88" t="str">
        <f t="shared" si="44"/>
        <v>#REF!</v>
      </c>
      <c r="H87" s="61">
        <f t="shared" si="46"/>
        <v>1584000</v>
      </c>
      <c r="I87" s="61" t="str">
        <f t="shared" si="47"/>
        <v>#REF!</v>
      </c>
      <c r="J87" s="61" t="str">
        <f t="shared" si="48"/>
        <v>#REF!</v>
      </c>
      <c r="K87" s="71" t="str">
        <f t="shared" si="49"/>
        <v>#REF!</v>
      </c>
    </row>
    <row r="88" ht="18.75" customHeight="1">
      <c r="A88" s="81" t="s">
        <v>537</v>
      </c>
      <c r="B88" s="55">
        <v>16.0</v>
      </c>
      <c r="C88" s="61">
        <f t="shared" si="45"/>
        <v>1440000</v>
      </c>
      <c r="D88" s="63" t="str">
        <f t="shared" si="43"/>
        <v>#REF!</v>
      </c>
      <c r="E88" s="83" t="str">
        <f>MAINS!$L$144</f>
        <v>#REF!</v>
      </c>
      <c r="F88" s="85" t="str">
        <f t="shared" si="23"/>
        <v>#REF!</v>
      </c>
      <c r="G88" s="88" t="str">
        <f t="shared" si="44"/>
        <v>#REF!</v>
      </c>
      <c r="H88" s="61">
        <f t="shared" si="46"/>
        <v>1584000</v>
      </c>
      <c r="I88" s="61" t="str">
        <f t="shared" si="47"/>
        <v>#REF!</v>
      </c>
      <c r="J88" s="61" t="str">
        <f t="shared" si="48"/>
        <v>#REF!</v>
      </c>
      <c r="K88" s="71" t="str">
        <f t="shared" si="49"/>
        <v>#REF!</v>
      </c>
    </row>
    <row r="89" ht="18.75" customHeight="1">
      <c r="A89" s="208" t="s">
        <v>541</v>
      </c>
      <c r="B89" s="55"/>
      <c r="C89" s="61">
        <f t="shared" si="45"/>
        <v>0</v>
      </c>
      <c r="D89" s="63" t="str">
        <f t="shared" si="43"/>
        <v>#REF!</v>
      </c>
      <c r="E89" s="83" t="str">
        <f>MAINS!C415</f>
        <v>#REF!</v>
      </c>
      <c r="F89" s="85" t="str">
        <f t="shared" si="23"/>
        <v>#REF!</v>
      </c>
      <c r="G89" s="88" t="str">
        <f t="shared" si="44"/>
        <v>#REF!</v>
      </c>
      <c r="H89" s="61">
        <f t="shared" si="46"/>
        <v>0</v>
      </c>
      <c r="I89" s="61" t="str">
        <f t="shared" si="47"/>
        <v>#REF!</v>
      </c>
      <c r="J89" s="61" t="str">
        <f t="shared" si="48"/>
        <v>#REF!</v>
      </c>
      <c r="K89" s="71" t="str">
        <f t="shared" si="49"/>
        <v>#REF!</v>
      </c>
    </row>
    <row r="90" ht="18.75" customHeight="1">
      <c r="A90" s="81" t="s">
        <v>552</v>
      </c>
      <c r="B90" s="55">
        <v>16.0</v>
      </c>
      <c r="C90" s="61">
        <f t="shared" si="45"/>
        <v>1440000</v>
      </c>
      <c r="D90" s="63" t="str">
        <f t="shared" si="43"/>
        <v>#REF!</v>
      </c>
      <c r="E90" s="83" t="str">
        <f>LEBANESE!$L$99</f>
        <v>#REF!</v>
      </c>
      <c r="F90" s="85" t="str">
        <f t="shared" si="23"/>
        <v>#REF!</v>
      </c>
      <c r="G90" s="88" t="str">
        <f t="shared" si="44"/>
        <v>#REF!</v>
      </c>
      <c r="H90" s="61">
        <f t="shared" si="46"/>
        <v>1584000</v>
      </c>
      <c r="I90" s="61" t="str">
        <f t="shared" si="47"/>
        <v>#REF!</v>
      </c>
      <c r="J90" s="61" t="str">
        <f t="shared" si="48"/>
        <v>#REF!</v>
      </c>
      <c r="K90" s="71" t="str">
        <f t="shared" si="49"/>
        <v>#REF!</v>
      </c>
    </row>
    <row r="91" ht="18.75" customHeight="1">
      <c r="A91" s="126" t="s">
        <v>557</v>
      </c>
      <c r="B91" s="55">
        <v>13.0</v>
      </c>
      <c r="C91" s="61">
        <f t="shared" si="45"/>
        <v>1170000</v>
      </c>
      <c r="D91" s="63" t="str">
        <f t="shared" si="43"/>
        <v>#REF!</v>
      </c>
      <c r="E91" s="83" t="str">
        <f>MAINS!L279</f>
        <v>#REF!</v>
      </c>
      <c r="F91" s="85" t="str">
        <f t="shared" si="23"/>
        <v>#REF!</v>
      </c>
      <c r="G91" s="88" t="str">
        <f t="shared" si="44"/>
        <v>#REF!</v>
      </c>
      <c r="H91" s="61">
        <f t="shared" si="46"/>
        <v>1287000</v>
      </c>
      <c r="I91" s="61" t="str">
        <f t="shared" si="47"/>
        <v>#REF!</v>
      </c>
      <c r="J91" s="61" t="str">
        <f t="shared" si="48"/>
        <v>#REF!</v>
      </c>
      <c r="K91" s="71" t="str">
        <f t="shared" si="49"/>
        <v>#REF!</v>
      </c>
    </row>
    <row r="92" ht="18.75" customHeight="1">
      <c r="A92" s="81" t="s">
        <v>564</v>
      </c>
      <c r="B92" s="55">
        <v>15.0</v>
      </c>
      <c r="C92" s="61">
        <f t="shared" si="45"/>
        <v>1350000</v>
      </c>
      <c r="D92" s="63" t="str">
        <f t="shared" si="43"/>
        <v>#REF!</v>
      </c>
      <c r="E92" s="83" t="str">
        <f>MAINS!$C$189</f>
        <v>#REF!</v>
      </c>
      <c r="F92" s="85" t="str">
        <f t="shared" si="23"/>
        <v>#REF!</v>
      </c>
      <c r="G92" s="88" t="str">
        <f t="shared" si="44"/>
        <v>#REF!</v>
      </c>
      <c r="H92" s="61">
        <f t="shared" si="46"/>
        <v>1485000</v>
      </c>
      <c r="I92" s="61" t="str">
        <f t="shared" si="47"/>
        <v>#REF!</v>
      </c>
      <c r="J92" s="61" t="str">
        <f t="shared" si="48"/>
        <v>#REF!</v>
      </c>
      <c r="K92" s="71" t="str">
        <f t="shared" si="49"/>
        <v>#REF!</v>
      </c>
    </row>
    <row r="93" ht="18.75" customHeight="1">
      <c r="A93" s="81" t="s">
        <v>574</v>
      </c>
      <c r="B93" s="55">
        <v>18.0</v>
      </c>
      <c r="C93" s="61">
        <f t="shared" si="45"/>
        <v>1620000</v>
      </c>
      <c r="D93" s="63" t="str">
        <f t="shared" si="43"/>
        <v>#REF!</v>
      </c>
      <c r="E93" s="219" t="str">
        <f>MAINS!$L$189</f>
        <v>#REF!</v>
      </c>
      <c r="F93" s="85" t="str">
        <f t="shared" si="23"/>
        <v>#REF!</v>
      </c>
      <c r="G93" s="88" t="str">
        <f t="shared" si="44"/>
        <v>#REF!</v>
      </c>
      <c r="H93" s="61">
        <f t="shared" si="46"/>
        <v>1782000</v>
      </c>
      <c r="I93" s="61" t="str">
        <f t="shared" si="47"/>
        <v>#REF!</v>
      </c>
      <c r="J93" s="61" t="str">
        <f t="shared" si="48"/>
        <v>#REF!</v>
      </c>
      <c r="K93" s="71" t="str">
        <f t="shared" si="49"/>
        <v>#REF!</v>
      </c>
    </row>
    <row r="94" ht="18.75" customHeight="1">
      <c r="A94" s="126" t="s">
        <v>582</v>
      </c>
      <c r="B94" s="55">
        <v>22.0</v>
      </c>
      <c r="C94" s="61">
        <f t="shared" si="45"/>
        <v>1980000</v>
      </c>
      <c r="D94" s="63" t="str">
        <f t="shared" si="43"/>
        <v>#REF!</v>
      </c>
      <c r="E94" s="219" t="str">
        <f>MAINS!L325</f>
        <v>#REF!</v>
      </c>
      <c r="F94" s="85" t="str">
        <f t="shared" si="23"/>
        <v>#REF!</v>
      </c>
      <c r="G94" s="88" t="str">
        <f t="shared" si="44"/>
        <v>#REF!</v>
      </c>
      <c r="H94" s="61">
        <f t="shared" si="46"/>
        <v>2178000</v>
      </c>
      <c r="I94" s="61" t="str">
        <f t="shared" si="47"/>
        <v>#REF!</v>
      </c>
      <c r="J94" s="61" t="str">
        <f t="shared" si="48"/>
        <v>#REF!</v>
      </c>
      <c r="K94" s="71" t="str">
        <f t="shared" si="49"/>
        <v>#REF!</v>
      </c>
    </row>
    <row r="95" ht="18.75" customHeight="1">
      <c r="A95" s="126" t="s">
        <v>584</v>
      </c>
      <c r="B95" s="55"/>
      <c r="C95" s="61">
        <f t="shared" si="45"/>
        <v>0</v>
      </c>
      <c r="D95" s="63" t="str">
        <f t="shared" si="43"/>
        <v>#REF!</v>
      </c>
      <c r="E95" s="219" t="str">
        <f>MAINS!C325</f>
        <v>#REF!</v>
      </c>
      <c r="F95" s="85" t="str">
        <f t="shared" si="23"/>
        <v>#REF!</v>
      </c>
      <c r="G95" s="88" t="str">
        <f t="shared" si="44"/>
        <v>#REF!</v>
      </c>
      <c r="H95" s="61">
        <f t="shared" si="46"/>
        <v>0</v>
      </c>
      <c r="I95" s="61" t="str">
        <f t="shared" si="47"/>
        <v>#REF!</v>
      </c>
      <c r="J95" s="61" t="str">
        <f t="shared" si="48"/>
        <v>#REF!</v>
      </c>
      <c r="K95" s="71" t="str">
        <f t="shared" si="49"/>
        <v>#REF!</v>
      </c>
    </row>
    <row r="96" ht="18.75" customHeight="1">
      <c r="A96" s="126" t="s">
        <v>589</v>
      </c>
      <c r="B96" s="55"/>
      <c r="C96" s="61">
        <f t="shared" si="45"/>
        <v>0</v>
      </c>
      <c r="D96" s="63" t="str">
        <f t="shared" si="43"/>
        <v>#REF!</v>
      </c>
      <c r="E96" s="219" t="str">
        <f>MAINS!C370</f>
        <v>#REF!</v>
      </c>
      <c r="F96" s="85" t="str">
        <f t="shared" si="23"/>
        <v>#REF!</v>
      </c>
      <c r="G96" s="88" t="str">
        <f t="shared" si="44"/>
        <v>#REF!</v>
      </c>
      <c r="H96" s="61">
        <f t="shared" si="46"/>
        <v>0</v>
      </c>
      <c r="I96" s="61" t="str">
        <f t="shared" si="47"/>
        <v>#REF!</v>
      </c>
      <c r="J96" s="61" t="str">
        <f t="shared" si="48"/>
        <v>#REF!</v>
      </c>
      <c r="K96" s="71" t="str">
        <f t="shared" si="49"/>
        <v>#REF!</v>
      </c>
    </row>
    <row r="97" ht="18.75" customHeight="1">
      <c r="A97" s="126" t="s">
        <v>593</v>
      </c>
      <c r="B97" s="55">
        <v>17.0</v>
      </c>
      <c r="C97" s="61">
        <f t="shared" si="45"/>
        <v>1530000</v>
      </c>
      <c r="D97" s="63" t="str">
        <f t="shared" si="43"/>
        <v>#REF!</v>
      </c>
      <c r="E97" s="219" t="str">
        <f>MAINS!L370</f>
        <v>#REF!</v>
      </c>
      <c r="F97" s="85" t="str">
        <f t="shared" si="23"/>
        <v>#REF!</v>
      </c>
      <c r="G97" s="88" t="str">
        <f t="shared" si="44"/>
        <v>#REF!</v>
      </c>
      <c r="H97" s="61">
        <f t="shared" si="46"/>
        <v>1683000</v>
      </c>
      <c r="I97" s="61" t="str">
        <f t="shared" si="47"/>
        <v>#REF!</v>
      </c>
      <c r="J97" s="61" t="str">
        <f t="shared" si="48"/>
        <v>#REF!</v>
      </c>
      <c r="K97" s="71" t="str">
        <f t="shared" si="49"/>
        <v>#REF!</v>
      </c>
    </row>
    <row r="98" ht="18.75" customHeight="1">
      <c r="A98" s="81" t="s">
        <v>597</v>
      </c>
      <c r="B98" s="55">
        <v>21.0</v>
      </c>
      <c r="C98" s="61">
        <f t="shared" si="45"/>
        <v>1890000</v>
      </c>
      <c r="D98" s="63" t="str">
        <f t="shared" si="43"/>
        <v>#REF!</v>
      </c>
      <c r="E98" s="219" t="str">
        <f>MAINS!$C$99</f>
        <v>#REF!</v>
      </c>
      <c r="F98" s="85" t="str">
        <f t="shared" si="23"/>
        <v>#REF!</v>
      </c>
      <c r="G98" s="88" t="str">
        <f t="shared" si="44"/>
        <v>#REF!</v>
      </c>
      <c r="H98" s="61">
        <f t="shared" si="46"/>
        <v>2079000</v>
      </c>
      <c r="I98" s="61" t="str">
        <f t="shared" si="47"/>
        <v>#REF!</v>
      </c>
      <c r="J98" s="61" t="str">
        <f t="shared" si="48"/>
        <v>#REF!</v>
      </c>
      <c r="K98" s="71" t="str">
        <f t="shared" si="49"/>
        <v>#REF!</v>
      </c>
    </row>
    <row r="99" ht="18.75" customHeight="1">
      <c r="A99" s="208" t="s">
        <v>603</v>
      </c>
      <c r="B99" s="55">
        <v>15.0</v>
      </c>
      <c r="C99" s="61">
        <f t="shared" si="45"/>
        <v>1350000</v>
      </c>
      <c r="D99" s="63" t="str">
        <f t="shared" si="43"/>
        <v>#REF!</v>
      </c>
      <c r="E99" s="219" t="str">
        <f>'RICE MEALS'!C55</f>
        <v>#REF!</v>
      </c>
      <c r="F99" s="85" t="str">
        <f t="shared" si="23"/>
        <v>#REF!</v>
      </c>
      <c r="G99" s="88" t="str">
        <f t="shared" si="44"/>
        <v>#REF!</v>
      </c>
      <c r="H99" s="61">
        <f t="shared" si="46"/>
        <v>1485000</v>
      </c>
      <c r="I99" s="61" t="str">
        <f t="shared" si="47"/>
        <v>#REF!</v>
      </c>
      <c r="J99" s="61" t="str">
        <f t="shared" si="48"/>
        <v>#REF!</v>
      </c>
      <c r="K99" s="71" t="str">
        <f t="shared" si="49"/>
        <v>#REF!</v>
      </c>
    </row>
    <row r="100" ht="18.75" customHeight="1">
      <c r="A100" s="208" t="s">
        <v>608</v>
      </c>
      <c r="B100" s="55">
        <v>13.5</v>
      </c>
      <c r="C100" s="61">
        <f t="shared" si="45"/>
        <v>1215000</v>
      </c>
      <c r="D100" s="63" t="str">
        <f t="shared" si="43"/>
        <v>#REF!</v>
      </c>
      <c r="E100" s="219" t="str">
        <f>'RICE MEALS'!C101</f>
        <v>#REF!</v>
      </c>
      <c r="F100" s="85" t="str">
        <f t="shared" si="23"/>
        <v>#REF!</v>
      </c>
      <c r="G100" s="88" t="str">
        <f t="shared" si="44"/>
        <v>#REF!</v>
      </c>
      <c r="H100" s="61">
        <f t="shared" si="46"/>
        <v>1336500</v>
      </c>
      <c r="I100" s="61" t="str">
        <f t="shared" si="47"/>
        <v>#REF!</v>
      </c>
      <c r="J100" s="61" t="str">
        <f t="shared" si="48"/>
        <v>#REF!</v>
      </c>
      <c r="K100" s="71" t="str">
        <f t="shared" si="49"/>
        <v>#REF!</v>
      </c>
    </row>
    <row r="101" ht="18.75" customHeight="1">
      <c r="A101" s="226" t="s">
        <v>613</v>
      </c>
      <c r="B101" s="55">
        <v>16.0</v>
      </c>
      <c r="C101" s="61">
        <f t="shared" si="45"/>
        <v>1440000</v>
      </c>
      <c r="D101" s="63" t="str">
        <f t="shared" si="43"/>
        <v>#REF!</v>
      </c>
      <c r="E101" s="219" t="str">
        <f>'RICE MEALS'!K55</f>
        <v>#REF!</v>
      </c>
      <c r="F101" s="85" t="str">
        <f t="shared" si="23"/>
        <v>#REF!</v>
      </c>
      <c r="G101" s="88" t="str">
        <f t="shared" si="44"/>
        <v>#REF!</v>
      </c>
      <c r="H101" s="61">
        <f t="shared" si="46"/>
        <v>1584000</v>
      </c>
      <c r="I101" s="61" t="str">
        <f t="shared" si="47"/>
        <v>#REF!</v>
      </c>
      <c r="J101" s="61" t="str">
        <f t="shared" si="48"/>
        <v>#REF!</v>
      </c>
      <c r="K101" s="71" t="str">
        <f t="shared" si="49"/>
        <v>#REF!</v>
      </c>
    </row>
    <row r="102" ht="18.75" customHeight="1">
      <c r="A102" s="193" t="s">
        <v>619</v>
      </c>
      <c r="B102" s="55">
        <v>14.0</v>
      </c>
      <c r="C102" s="61">
        <f t="shared" si="45"/>
        <v>1260000</v>
      </c>
      <c r="D102" s="229"/>
      <c r="E102" s="148"/>
      <c r="F102" s="150" t="str">
        <f t="shared" si="23"/>
        <v/>
      </c>
      <c r="G102" s="152"/>
      <c r="H102" s="154"/>
      <c r="I102" s="155"/>
      <c r="J102" s="155"/>
      <c r="K102" s="150"/>
    </row>
    <row r="103" ht="18.75" customHeight="1">
      <c r="A103" s="48"/>
      <c r="B103" s="156"/>
      <c r="C103" s="230"/>
      <c r="D103" s="229"/>
      <c r="E103" s="231"/>
      <c r="F103" s="158"/>
      <c r="G103" s="159"/>
      <c r="H103" s="160"/>
      <c r="I103" s="161"/>
      <c r="J103" s="161"/>
      <c r="K103" s="158"/>
    </row>
    <row r="104" ht="18.75" customHeight="1">
      <c r="A104" s="48" t="s">
        <v>626</v>
      </c>
      <c r="B104" s="156"/>
      <c r="C104" s="230"/>
      <c r="D104" s="229"/>
      <c r="E104" s="231"/>
      <c r="F104" s="158"/>
      <c r="G104" s="159"/>
      <c r="H104" s="160"/>
      <c r="I104" s="161"/>
      <c r="J104" s="161"/>
      <c r="K104" s="158"/>
    </row>
    <row r="105" ht="18.75" customHeight="1">
      <c r="A105" s="53" t="s">
        <v>628</v>
      </c>
      <c r="B105" s="55">
        <v>12.0</v>
      </c>
      <c r="C105" s="61">
        <f t="shared" ref="C105:C119" si="50">B105*90000</f>
        <v>1080000</v>
      </c>
      <c r="D105" s="63" t="str">
        <f t="shared" ref="D105:D117" si="51">E105/$A$2</f>
        <v>#REF!</v>
      </c>
      <c r="E105" s="65" t="str">
        <f>SANDWICHES!$C$10</f>
        <v>#REF!</v>
      </c>
      <c r="F105" s="71" t="str">
        <f t="shared" ref="F105:F118" si="52">IF(E105="","",IF(ISBLANK(C105),"",E105/C105))</f>
        <v>#REF!</v>
      </c>
      <c r="G105" s="74" t="str">
        <f t="shared" ref="G105:G117" si="53">C105-E105</f>
        <v>#REF!</v>
      </c>
      <c r="H105" s="61">
        <f t="shared" ref="H105:H117" si="54">(C105*$H$4)+C105</f>
        <v>1188000</v>
      </c>
      <c r="I105" s="61" t="str">
        <f t="shared" ref="I105:I117" si="55">E105</f>
        <v>#REF!</v>
      </c>
      <c r="J105" s="61" t="str">
        <f t="shared" ref="J105:J117" si="56">H105-I105</f>
        <v>#REF!</v>
      </c>
      <c r="K105" s="71" t="str">
        <f t="shared" ref="K105:K117" si="57">I105/H105</f>
        <v>#REF!</v>
      </c>
    </row>
    <row r="106" ht="18.75" customHeight="1">
      <c r="A106" s="81" t="s">
        <v>647</v>
      </c>
      <c r="B106" s="55">
        <v>13.5</v>
      </c>
      <c r="C106" s="61">
        <f t="shared" si="50"/>
        <v>1215000</v>
      </c>
      <c r="D106" s="63" t="str">
        <f t="shared" si="51"/>
        <v>#REF!</v>
      </c>
      <c r="E106" s="83" t="str">
        <f>SANDWICHES!$L$10</f>
        <v>#REF!</v>
      </c>
      <c r="F106" s="85" t="str">
        <f t="shared" si="52"/>
        <v>#REF!</v>
      </c>
      <c r="G106" s="88" t="str">
        <f t="shared" si="53"/>
        <v>#REF!</v>
      </c>
      <c r="H106" s="61">
        <f t="shared" si="54"/>
        <v>1336500</v>
      </c>
      <c r="I106" s="61" t="str">
        <f t="shared" si="55"/>
        <v>#REF!</v>
      </c>
      <c r="J106" s="61" t="str">
        <f t="shared" si="56"/>
        <v>#REF!</v>
      </c>
      <c r="K106" s="71" t="str">
        <f t="shared" si="57"/>
        <v>#REF!</v>
      </c>
    </row>
    <row r="107" ht="18.75" customHeight="1">
      <c r="A107" s="208" t="s">
        <v>657</v>
      </c>
      <c r="B107" s="55"/>
      <c r="C107" s="61">
        <f t="shared" si="50"/>
        <v>0</v>
      </c>
      <c r="D107" s="63" t="str">
        <f t="shared" si="51"/>
        <v>#REF!</v>
      </c>
      <c r="E107" s="209" t="str">
        <f>LENT!C102</f>
        <v>#REF!</v>
      </c>
      <c r="F107" s="85" t="str">
        <f t="shared" si="52"/>
        <v>#REF!</v>
      </c>
      <c r="G107" s="88" t="str">
        <f t="shared" si="53"/>
        <v>#REF!</v>
      </c>
      <c r="H107" s="61">
        <f t="shared" si="54"/>
        <v>0</v>
      </c>
      <c r="I107" s="61" t="str">
        <f t="shared" si="55"/>
        <v>#REF!</v>
      </c>
      <c r="J107" s="61" t="str">
        <f t="shared" si="56"/>
        <v>#REF!</v>
      </c>
      <c r="K107" s="71" t="str">
        <f t="shared" si="57"/>
        <v>#REF!</v>
      </c>
    </row>
    <row r="108" ht="18.75" customHeight="1">
      <c r="A108" s="81" t="s">
        <v>544</v>
      </c>
      <c r="B108" s="55">
        <v>16.5</v>
      </c>
      <c r="C108" s="61">
        <f t="shared" si="50"/>
        <v>1485000</v>
      </c>
      <c r="D108" s="63" t="str">
        <f t="shared" si="51"/>
        <v>#REF!</v>
      </c>
      <c r="E108" s="83" t="str">
        <f>SANDWICHES!$L$54</f>
        <v>#REF!</v>
      </c>
      <c r="F108" s="85" t="str">
        <f t="shared" si="52"/>
        <v>#REF!</v>
      </c>
      <c r="G108" s="88" t="str">
        <f t="shared" si="53"/>
        <v>#REF!</v>
      </c>
      <c r="H108" s="61">
        <f t="shared" si="54"/>
        <v>1633500</v>
      </c>
      <c r="I108" s="61" t="str">
        <f t="shared" si="55"/>
        <v>#REF!</v>
      </c>
      <c r="J108" s="61" t="str">
        <f t="shared" si="56"/>
        <v>#REF!</v>
      </c>
      <c r="K108" s="71" t="str">
        <f t="shared" si="57"/>
        <v>#REF!</v>
      </c>
    </row>
    <row r="109" ht="18.75" customHeight="1">
      <c r="A109" s="208" t="s">
        <v>665</v>
      </c>
      <c r="B109" s="55">
        <v>10.0</v>
      </c>
      <c r="C109" s="61">
        <f t="shared" si="50"/>
        <v>900000</v>
      </c>
      <c r="D109" s="63" t="str">
        <f t="shared" si="51"/>
        <v>#REF!</v>
      </c>
      <c r="E109" s="83" t="str">
        <f>SANDWICHES!$C$99</f>
        <v>#REF!</v>
      </c>
      <c r="F109" s="85" t="str">
        <f t="shared" si="52"/>
        <v>#REF!</v>
      </c>
      <c r="G109" s="88" t="str">
        <f t="shared" si="53"/>
        <v>#REF!</v>
      </c>
      <c r="H109" s="61">
        <f t="shared" si="54"/>
        <v>990000</v>
      </c>
      <c r="I109" s="61" t="str">
        <f t="shared" si="55"/>
        <v>#REF!</v>
      </c>
      <c r="J109" s="61" t="str">
        <f t="shared" si="56"/>
        <v>#REF!</v>
      </c>
      <c r="K109" s="71" t="str">
        <f t="shared" si="57"/>
        <v>#REF!</v>
      </c>
    </row>
    <row r="110" ht="18.75" customHeight="1">
      <c r="A110" s="81" t="s">
        <v>146</v>
      </c>
      <c r="B110" s="55">
        <v>15.5</v>
      </c>
      <c r="C110" s="61">
        <f t="shared" si="50"/>
        <v>1395000</v>
      </c>
      <c r="D110" s="63" t="str">
        <f t="shared" si="51"/>
        <v>#REF!</v>
      </c>
      <c r="E110" s="83" t="str">
        <f>SANDWICHES!$L$99</f>
        <v>#REF!</v>
      </c>
      <c r="F110" s="85" t="str">
        <f t="shared" si="52"/>
        <v>#REF!</v>
      </c>
      <c r="G110" s="88" t="str">
        <f t="shared" si="53"/>
        <v>#REF!</v>
      </c>
      <c r="H110" s="61">
        <f t="shared" si="54"/>
        <v>1534500</v>
      </c>
      <c r="I110" s="61" t="str">
        <f t="shared" si="55"/>
        <v>#REF!</v>
      </c>
      <c r="J110" s="61" t="str">
        <f t="shared" si="56"/>
        <v>#REF!</v>
      </c>
      <c r="K110" s="71" t="str">
        <f t="shared" si="57"/>
        <v>#REF!</v>
      </c>
    </row>
    <row r="111" ht="18.75" customHeight="1">
      <c r="A111" s="208" t="s">
        <v>671</v>
      </c>
      <c r="B111" s="55">
        <v>12.0</v>
      </c>
      <c r="C111" s="61">
        <f t="shared" si="50"/>
        <v>1080000</v>
      </c>
      <c r="D111" s="245" t="str">
        <f t="shared" si="51"/>
        <v>#REF!</v>
      </c>
      <c r="E111" s="209" t="str">
        <f>SANDWICHES!C467</f>
        <v>#REF!</v>
      </c>
      <c r="F111" s="85" t="str">
        <f t="shared" si="52"/>
        <v>#REF!</v>
      </c>
      <c r="G111" s="88" t="str">
        <f t="shared" si="53"/>
        <v>#REF!</v>
      </c>
      <c r="H111" s="61">
        <f t="shared" si="54"/>
        <v>1188000</v>
      </c>
      <c r="I111" s="61" t="str">
        <f t="shared" si="55"/>
        <v>#REF!</v>
      </c>
      <c r="J111" s="61" t="str">
        <f t="shared" si="56"/>
        <v>#REF!</v>
      </c>
      <c r="K111" s="71" t="str">
        <f t="shared" si="57"/>
        <v>#REF!</v>
      </c>
    </row>
    <row r="112" ht="18.75" customHeight="1">
      <c r="A112" s="81" t="s">
        <v>677</v>
      </c>
      <c r="B112" s="55">
        <v>15.0</v>
      </c>
      <c r="C112" s="61">
        <f t="shared" si="50"/>
        <v>1350000</v>
      </c>
      <c r="D112" s="63" t="str">
        <f t="shared" si="51"/>
        <v>#REF!</v>
      </c>
      <c r="E112" s="83" t="str">
        <f>SANDWICHES!$L$144</f>
        <v>#REF!</v>
      </c>
      <c r="F112" s="85" t="str">
        <f t="shared" si="52"/>
        <v>#REF!</v>
      </c>
      <c r="G112" s="88" t="str">
        <f t="shared" si="53"/>
        <v>#REF!</v>
      </c>
      <c r="H112" s="61">
        <f t="shared" si="54"/>
        <v>1485000</v>
      </c>
      <c r="I112" s="61" t="str">
        <f t="shared" si="55"/>
        <v>#REF!</v>
      </c>
      <c r="J112" s="61" t="str">
        <f t="shared" si="56"/>
        <v>#REF!</v>
      </c>
      <c r="K112" s="71" t="str">
        <f t="shared" si="57"/>
        <v>#REF!</v>
      </c>
    </row>
    <row r="113" ht="18.75" customHeight="1">
      <c r="A113" s="81" t="s">
        <v>679</v>
      </c>
      <c r="B113" s="55">
        <v>12.5</v>
      </c>
      <c r="C113" s="61">
        <f t="shared" si="50"/>
        <v>1125000</v>
      </c>
      <c r="D113" s="63" t="str">
        <f t="shared" si="51"/>
        <v>#REF!</v>
      </c>
      <c r="E113" s="83" t="str">
        <f>SANDWICHES!$C$191</f>
        <v>#REF!</v>
      </c>
      <c r="F113" s="85" t="str">
        <f t="shared" si="52"/>
        <v>#REF!</v>
      </c>
      <c r="G113" s="88" t="str">
        <f t="shared" si="53"/>
        <v>#REF!</v>
      </c>
      <c r="H113" s="61">
        <f t="shared" si="54"/>
        <v>1237500</v>
      </c>
      <c r="I113" s="61" t="str">
        <f t="shared" si="55"/>
        <v>#REF!</v>
      </c>
      <c r="J113" s="61" t="str">
        <f t="shared" si="56"/>
        <v>#REF!</v>
      </c>
      <c r="K113" s="71" t="str">
        <f t="shared" si="57"/>
        <v>#REF!</v>
      </c>
    </row>
    <row r="114" ht="18.75" customHeight="1">
      <c r="A114" s="81" t="s">
        <v>686</v>
      </c>
      <c r="B114" s="55">
        <v>15.0</v>
      </c>
      <c r="C114" s="61">
        <f t="shared" si="50"/>
        <v>1350000</v>
      </c>
      <c r="D114" s="63" t="str">
        <f t="shared" si="51"/>
        <v>#REF!</v>
      </c>
      <c r="E114" s="83" t="str">
        <f>SANDWICHES!$C$237</f>
        <v>#REF!</v>
      </c>
      <c r="F114" s="85" t="str">
        <f t="shared" si="52"/>
        <v>#REF!</v>
      </c>
      <c r="G114" s="88" t="str">
        <f t="shared" si="53"/>
        <v>#REF!</v>
      </c>
      <c r="H114" s="61">
        <f t="shared" si="54"/>
        <v>1485000</v>
      </c>
      <c r="I114" s="61" t="str">
        <f t="shared" si="55"/>
        <v>#REF!</v>
      </c>
      <c r="J114" s="61" t="str">
        <f t="shared" si="56"/>
        <v>#REF!</v>
      </c>
      <c r="K114" s="71" t="str">
        <f t="shared" si="57"/>
        <v>#REF!</v>
      </c>
    </row>
    <row r="115" ht="18.75" hidden="1" customHeight="1">
      <c r="A115" s="81" t="s">
        <v>690</v>
      </c>
      <c r="B115" s="55"/>
      <c r="C115" s="61">
        <f t="shared" si="50"/>
        <v>0</v>
      </c>
      <c r="D115" s="63" t="str">
        <f t="shared" si="51"/>
        <v>#REF!</v>
      </c>
      <c r="E115" s="83" t="str">
        <f>SANDWICHES!$C$283</f>
        <v>#REF!</v>
      </c>
      <c r="F115" s="85" t="str">
        <f t="shared" si="52"/>
        <v>#REF!</v>
      </c>
      <c r="G115" s="88" t="str">
        <f t="shared" si="53"/>
        <v>#REF!</v>
      </c>
      <c r="H115" s="61">
        <f t="shared" si="54"/>
        <v>0</v>
      </c>
      <c r="I115" s="61" t="str">
        <f t="shared" si="55"/>
        <v>#REF!</v>
      </c>
      <c r="J115" s="61" t="str">
        <f t="shared" si="56"/>
        <v>#REF!</v>
      </c>
      <c r="K115" s="71" t="str">
        <f t="shared" si="57"/>
        <v>#REF!</v>
      </c>
    </row>
    <row r="116" ht="18.75" hidden="1" customHeight="1">
      <c r="A116" s="81" t="s">
        <v>694</v>
      </c>
      <c r="B116" s="55"/>
      <c r="C116" s="61">
        <f t="shared" si="50"/>
        <v>0</v>
      </c>
      <c r="D116" s="63" t="str">
        <f t="shared" si="51"/>
        <v>#REF!</v>
      </c>
      <c r="E116" s="83" t="str">
        <f>SANDWICHES!$L$283</f>
        <v>#REF!</v>
      </c>
      <c r="F116" s="85" t="str">
        <f t="shared" si="52"/>
        <v>#REF!</v>
      </c>
      <c r="G116" s="88" t="str">
        <f t="shared" si="53"/>
        <v>#REF!</v>
      </c>
      <c r="H116" s="61">
        <f t="shared" si="54"/>
        <v>0</v>
      </c>
      <c r="I116" s="61" t="str">
        <f t="shared" si="55"/>
        <v>#REF!</v>
      </c>
      <c r="J116" s="61" t="str">
        <f t="shared" si="56"/>
        <v>#REF!</v>
      </c>
      <c r="K116" s="71" t="str">
        <f t="shared" si="57"/>
        <v>#REF!</v>
      </c>
    </row>
    <row r="117" ht="18.75" customHeight="1">
      <c r="A117" s="222" t="s">
        <v>699</v>
      </c>
      <c r="B117" s="55">
        <v>17.0</v>
      </c>
      <c r="C117" s="61">
        <f t="shared" si="50"/>
        <v>1530000</v>
      </c>
      <c r="D117" s="63" t="str">
        <f t="shared" si="51"/>
        <v>#REF!</v>
      </c>
      <c r="E117" s="209" t="str">
        <f>SANDWICHES!C420</f>
        <v>#REF!</v>
      </c>
      <c r="F117" s="85" t="str">
        <f t="shared" si="52"/>
        <v>#REF!</v>
      </c>
      <c r="G117" s="88" t="str">
        <f t="shared" si="53"/>
        <v>#REF!</v>
      </c>
      <c r="H117" s="61">
        <f t="shared" si="54"/>
        <v>1683000</v>
      </c>
      <c r="I117" s="61" t="str">
        <f t="shared" si="55"/>
        <v>#REF!</v>
      </c>
      <c r="J117" s="61" t="str">
        <f t="shared" si="56"/>
        <v>#REF!</v>
      </c>
      <c r="K117" s="71" t="str">
        <f t="shared" si="57"/>
        <v>#REF!</v>
      </c>
    </row>
    <row r="118" ht="18.75" customHeight="1">
      <c r="A118" s="193" t="s">
        <v>701</v>
      </c>
      <c r="B118" s="194">
        <v>11.0</v>
      </c>
      <c r="C118" s="61">
        <f t="shared" si="50"/>
        <v>990000</v>
      </c>
      <c r="D118" s="148"/>
      <c r="E118" s="148"/>
      <c r="F118" s="150" t="str">
        <f t="shared" si="52"/>
        <v/>
      </c>
      <c r="G118" s="152"/>
      <c r="H118" s="154"/>
      <c r="I118" s="155"/>
      <c r="J118" s="155"/>
      <c r="K118" s="150"/>
    </row>
    <row r="119" ht="18.75" customHeight="1">
      <c r="A119" s="249" t="s">
        <v>422</v>
      </c>
      <c r="B119" s="250">
        <v>14.0</v>
      </c>
      <c r="C119" s="61">
        <f t="shared" si="50"/>
        <v>1260000</v>
      </c>
      <c r="D119" s="148"/>
      <c r="E119" s="148"/>
      <c r="F119" s="158"/>
      <c r="G119" s="159"/>
      <c r="H119" s="160"/>
      <c r="I119" s="161"/>
      <c r="J119" s="161"/>
      <c r="K119" s="158"/>
    </row>
    <row r="120" ht="18.75" customHeight="1">
      <c r="A120" s="48" t="s">
        <v>705</v>
      </c>
      <c r="B120" s="156"/>
      <c r="C120" s="61"/>
      <c r="D120" s="148"/>
      <c r="E120" s="148"/>
      <c r="F120" s="158" t="str">
        <f t="shared" ref="F120:F133" si="58">IF(E120="","",IF(ISBLANK(C120),"",E120/C120))</f>
        <v/>
      </c>
      <c r="G120" s="159"/>
      <c r="H120" s="160"/>
      <c r="I120" s="161"/>
      <c r="J120" s="161"/>
      <c r="K120" s="158"/>
    </row>
    <row r="121" ht="18.75" customHeight="1">
      <c r="A121" s="53" t="s">
        <v>709</v>
      </c>
      <c r="B121" s="55">
        <v>6.0</v>
      </c>
      <c r="C121" s="61">
        <f t="shared" ref="C121:C133" si="59">B121*90000</f>
        <v>540000</v>
      </c>
      <c r="D121" s="63" t="str">
        <f t="shared" ref="D121:D132" si="60">E121/$A$2</f>
        <v>#REF!</v>
      </c>
      <c r="E121" s="65" t="str">
        <f>LEBANESE!$C$10</f>
        <v>#REF!</v>
      </c>
      <c r="F121" s="71" t="str">
        <f t="shared" si="58"/>
        <v>#REF!</v>
      </c>
      <c r="G121" s="74" t="str">
        <f t="shared" ref="G121:G133" si="61">C121-E121</f>
        <v>#REF!</v>
      </c>
      <c r="H121" s="61">
        <f t="shared" ref="H121:H130" si="62">(C121*$H$4)+C121</f>
        <v>594000</v>
      </c>
      <c r="I121" s="61" t="str">
        <f t="shared" ref="I121:I130" si="63">E121</f>
        <v>#REF!</v>
      </c>
      <c r="J121" s="61" t="str">
        <f t="shared" ref="J121:J133" si="64">H121-I121</f>
        <v>#REF!</v>
      </c>
      <c r="K121" s="71" t="str">
        <f t="shared" ref="K121:K130" si="65">I121/H121</f>
        <v>#REF!</v>
      </c>
    </row>
    <row r="122" ht="18.75" customHeight="1">
      <c r="A122" s="81" t="s">
        <v>722</v>
      </c>
      <c r="B122" s="55">
        <v>6.0</v>
      </c>
      <c r="C122" s="61">
        <f t="shared" si="59"/>
        <v>540000</v>
      </c>
      <c r="D122" s="63" t="str">
        <f t="shared" si="60"/>
        <v>#REF!</v>
      </c>
      <c r="E122" s="83" t="str">
        <f>LEBANESE!$L$10</f>
        <v>#REF!</v>
      </c>
      <c r="F122" s="85" t="str">
        <f t="shared" si="58"/>
        <v>#REF!</v>
      </c>
      <c r="G122" s="88" t="str">
        <f t="shared" si="61"/>
        <v>#REF!</v>
      </c>
      <c r="H122" s="61">
        <f t="shared" si="62"/>
        <v>594000</v>
      </c>
      <c r="I122" s="61" t="str">
        <f t="shared" si="63"/>
        <v>#REF!</v>
      </c>
      <c r="J122" s="61" t="str">
        <f t="shared" si="64"/>
        <v>#REF!</v>
      </c>
      <c r="K122" s="71" t="str">
        <f t="shared" si="65"/>
        <v>#REF!</v>
      </c>
    </row>
    <row r="123" ht="18.75" customHeight="1">
      <c r="A123" s="81" t="s">
        <v>672</v>
      </c>
      <c r="B123" s="55">
        <v>5.0</v>
      </c>
      <c r="C123" s="61">
        <f t="shared" si="59"/>
        <v>450000</v>
      </c>
      <c r="D123" s="63" t="str">
        <f t="shared" si="60"/>
        <v>#REF!</v>
      </c>
      <c r="E123" s="83" t="str">
        <f>LEBANESE!$L$144</f>
        <v>#REF!</v>
      </c>
      <c r="F123" s="85" t="str">
        <f t="shared" si="58"/>
        <v>#REF!</v>
      </c>
      <c r="G123" s="88" t="str">
        <f t="shared" si="61"/>
        <v>#REF!</v>
      </c>
      <c r="H123" s="61">
        <f t="shared" si="62"/>
        <v>495000</v>
      </c>
      <c r="I123" s="61" t="str">
        <f t="shared" si="63"/>
        <v>#REF!</v>
      </c>
      <c r="J123" s="61" t="str">
        <f t="shared" si="64"/>
        <v>#REF!</v>
      </c>
      <c r="K123" s="71" t="str">
        <f t="shared" si="65"/>
        <v>#REF!</v>
      </c>
    </row>
    <row r="124" ht="18.75" customHeight="1">
      <c r="A124" s="81" t="s">
        <v>731</v>
      </c>
      <c r="B124" s="55">
        <v>5.0</v>
      </c>
      <c r="C124" s="61">
        <f t="shared" si="59"/>
        <v>450000</v>
      </c>
      <c r="D124" s="63" t="str">
        <f t="shared" si="60"/>
        <v>#REF!</v>
      </c>
      <c r="E124" s="83" t="str">
        <f>LEBANESE!$L$189</f>
        <v>#REF!</v>
      </c>
      <c r="F124" s="85" t="str">
        <f t="shared" si="58"/>
        <v>#REF!</v>
      </c>
      <c r="G124" s="88" t="str">
        <f t="shared" si="61"/>
        <v>#REF!</v>
      </c>
      <c r="H124" s="61">
        <f t="shared" si="62"/>
        <v>495000</v>
      </c>
      <c r="I124" s="61" t="str">
        <f t="shared" si="63"/>
        <v>#REF!</v>
      </c>
      <c r="J124" s="61" t="str">
        <f t="shared" si="64"/>
        <v>#REF!</v>
      </c>
      <c r="K124" s="71" t="str">
        <f t="shared" si="65"/>
        <v>#REF!</v>
      </c>
    </row>
    <row r="125" ht="18.75" customHeight="1">
      <c r="A125" s="81" t="s">
        <v>444</v>
      </c>
      <c r="B125" s="55">
        <v>5.0</v>
      </c>
      <c r="C125" s="61">
        <f t="shared" si="59"/>
        <v>450000</v>
      </c>
      <c r="D125" s="63" t="str">
        <f t="shared" si="60"/>
        <v>#REF!</v>
      </c>
      <c r="E125" s="83" t="str">
        <f>LEBANESE!$C$99</f>
        <v>#REF!</v>
      </c>
      <c r="F125" s="85" t="str">
        <f t="shared" si="58"/>
        <v>#REF!</v>
      </c>
      <c r="G125" s="88" t="str">
        <f t="shared" si="61"/>
        <v>#REF!</v>
      </c>
      <c r="H125" s="61">
        <f t="shared" si="62"/>
        <v>495000</v>
      </c>
      <c r="I125" s="61" t="str">
        <f t="shared" si="63"/>
        <v>#REF!</v>
      </c>
      <c r="J125" s="61" t="str">
        <f t="shared" si="64"/>
        <v>#REF!</v>
      </c>
      <c r="K125" s="71" t="str">
        <f t="shared" si="65"/>
        <v>#REF!</v>
      </c>
    </row>
    <row r="126" ht="18.75" customHeight="1">
      <c r="A126" s="81" t="s">
        <v>741</v>
      </c>
      <c r="B126" s="55">
        <v>5.0</v>
      </c>
      <c r="C126" s="61">
        <f t="shared" si="59"/>
        <v>450000</v>
      </c>
      <c r="D126" s="63" t="str">
        <f t="shared" si="60"/>
        <v>#REF!</v>
      </c>
      <c r="E126" s="83" t="str">
        <f>LEBANESE!$C$144</f>
        <v>#REF!</v>
      </c>
      <c r="F126" s="85" t="str">
        <f t="shared" si="58"/>
        <v>#REF!</v>
      </c>
      <c r="G126" s="88" t="str">
        <f t="shared" si="61"/>
        <v>#REF!</v>
      </c>
      <c r="H126" s="61">
        <f t="shared" si="62"/>
        <v>495000</v>
      </c>
      <c r="I126" s="61" t="str">
        <f t="shared" si="63"/>
        <v>#REF!</v>
      </c>
      <c r="J126" s="61" t="str">
        <f t="shared" si="64"/>
        <v>#REF!</v>
      </c>
      <c r="K126" s="71" t="str">
        <f t="shared" si="65"/>
        <v>#REF!</v>
      </c>
    </row>
    <row r="127" ht="18.75" customHeight="1">
      <c r="A127" s="81" t="s">
        <v>747</v>
      </c>
      <c r="B127" s="55">
        <v>8.5</v>
      </c>
      <c r="C127" s="61">
        <f t="shared" si="59"/>
        <v>765000</v>
      </c>
      <c r="D127" s="63" t="str">
        <f t="shared" si="60"/>
        <v>#REF!</v>
      </c>
      <c r="E127" s="83" t="str">
        <f>LEBANESE!$C$54</f>
        <v>#REF!</v>
      </c>
      <c r="F127" s="85" t="str">
        <f t="shared" si="58"/>
        <v>#REF!</v>
      </c>
      <c r="G127" s="88" t="str">
        <f t="shared" si="61"/>
        <v>#REF!</v>
      </c>
      <c r="H127" s="61">
        <f t="shared" si="62"/>
        <v>841500</v>
      </c>
      <c r="I127" s="61" t="str">
        <f t="shared" si="63"/>
        <v>#REF!</v>
      </c>
      <c r="J127" s="61" t="str">
        <f t="shared" si="64"/>
        <v>#REF!</v>
      </c>
      <c r="K127" s="71" t="str">
        <f t="shared" si="65"/>
        <v>#REF!</v>
      </c>
    </row>
    <row r="128" ht="18.75" customHeight="1">
      <c r="A128" s="81" t="s">
        <v>752</v>
      </c>
      <c r="B128" s="55">
        <v>8.5</v>
      </c>
      <c r="C128" s="61">
        <f t="shared" si="59"/>
        <v>765000</v>
      </c>
      <c r="D128" s="63" t="str">
        <f t="shared" si="60"/>
        <v>#REF!</v>
      </c>
      <c r="E128" s="83" t="str">
        <f>LEBANESE!$C$54</f>
        <v>#REF!</v>
      </c>
      <c r="F128" s="85" t="str">
        <f t="shared" si="58"/>
        <v>#REF!</v>
      </c>
      <c r="G128" s="88" t="str">
        <f t="shared" si="61"/>
        <v>#REF!</v>
      </c>
      <c r="H128" s="61">
        <f t="shared" si="62"/>
        <v>841500</v>
      </c>
      <c r="I128" s="61" t="str">
        <f t="shared" si="63"/>
        <v>#REF!</v>
      </c>
      <c r="J128" s="61" t="str">
        <f t="shared" si="64"/>
        <v>#REF!</v>
      </c>
      <c r="K128" s="71" t="str">
        <f t="shared" si="65"/>
        <v>#REF!</v>
      </c>
    </row>
    <row r="129" ht="18.75" customHeight="1">
      <c r="A129" s="81" t="s">
        <v>255</v>
      </c>
      <c r="B129" s="55">
        <v>1.8</v>
      </c>
      <c r="C129" s="61">
        <f t="shared" si="59"/>
        <v>162000</v>
      </c>
      <c r="D129" s="63" t="str">
        <f t="shared" si="60"/>
        <v>#REF!</v>
      </c>
      <c r="E129" s="83">
        <f>Prep!$J$17</f>
        <v>3103.305529</v>
      </c>
      <c r="F129" s="85">
        <f t="shared" si="58"/>
        <v>0.01915620697</v>
      </c>
      <c r="G129" s="88">
        <f t="shared" si="61"/>
        <v>158896.6945</v>
      </c>
      <c r="H129" s="61">
        <f t="shared" si="62"/>
        <v>178200</v>
      </c>
      <c r="I129" s="61">
        <f t="shared" si="63"/>
        <v>3103.305529</v>
      </c>
      <c r="J129" s="61">
        <f t="shared" si="64"/>
        <v>175096.6945</v>
      </c>
      <c r="K129" s="71">
        <f t="shared" si="65"/>
        <v>0.01741473361</v>
      </c>
    </row>
    <row r="130" ht="18.75" customHeight="1">
      <c r="A130" s="81" t="s">
        <v>763</v>
      </c>
      <c r="B130" s="55">
        <v>1.8</v>
      </c>
      <c r="C130" s="61">
        <f t="shared" si="59"/>
        <v>162000</v>
      </c>
      <c r="D130" s="63" t="str">
        <f t="shared" si="60"/>
        <v>#REF!</v>
      </c>
      <c r="E130" s="83">
        <f>Prep!$D$17</f>
        <v>2246.702257</v>
      </c>
      <c r="F130" s="85">
        <f t="shared" si="58"/>
        <v>0.01386853245</v>
      </c>
      <c r="G130" s="88">
        <f t="shared" si="61"/>
        <v>159753.2977</v>
      </c>
      <c r="H130" s="61">
        <f t="shared" si="62"/>
        <v>178200</v>
      </c>
      <c r="I130" s="61">
        <f t="shared" si="63"/>
        <v>2246.702257</v>
      </c>
      <c r="J130" s="61">
        <f t="shared" si="64"/>
        <v>175953.2977</v>
      </c>
      <c r="K130" s="71">
        <f t="shared" si="65"/>
        <v>0.01260775677</v>
      </c>
    </row>
    <row r="131" ht="18.75" customHeight="1">
      <c r="A131" s="81" t="s">
        <v>185</v>
      </c>
      <c r="B131" s="55">
        <v>1.8</v>
      </c>
      <c r="C131" s="61">
        <f t="shared" si="59"/>
        <v>162000</v>
      </c>
      <c r="D131" s="63" t="str">
        <f t="shared" si="60"/>
        <v>#REF!</v>
      </c>
      <c r="E131" s="83">
        <f>Prep!$J$1</f>
        <v>1482.065145</v>
      </c>
      <c r="F131" s="85">
        <f t="shared" si="58"/>
        <v>0.009148550276</v>
      </c>
      <c r="G131" s="88">
        <f t="shared" si="61"/>
        <v>160517.9349</v>
      </c>
      <c r="H131" s="140" t="str">
        <f t="shared" ref="H131:H133" si="66">#REF!*$H$4+#REF!</f>
        <v>#REF!</v>
      </c>
      <c r="I131" s="142" t="str">
        <f t="shared" ref="I131:I133" si="67">#REF!</f>
        <v>#REF!</v>
      </c>
      <c r="J131" s="142" t="str">
        <f t="shared" si="64"/>
        <v>#REF!</v>
      </c>
      <c r="K131" s="71" t="str">
        <f t="shared" ref="K131:K133" si="68">IF(#REF!="","",IF(ISBLANK(H131),"",I131/H131))</f>
        <v>#REF!</v>
      </c>
    </row>
    <row r="132" ht="18.75" customHeight="1">
      <c r="A132" s="81" t="s">
        <v>552</v>
      </c>
      <c r="B132" s="268">
        <v>15.5</v>
      </c>
      <c r="C132" s="61">
        <f t="shared" si="59"/>
        <v>1395000</v>
      </c>
      <c r="D132" s="63" t="str">
        <f t="shared" si="60"/>
        <v>#REF!</v>
      </c>
      <c r="E132" s="83" t="str">
        <f>LEBANESE!$L$99</f>
        <v>#REF!</v>
      </c>
      <c r="F132" s="85" t="str">
        <f t="shared" si="58"/>
        <v>#REF!</v>
      </c>
      <c r="G132" s="88" t="str">
        <f t="shared" si="61"/>
        <v>#REF!</v>
      </c>
      <c r="H132" s="140" t="str">
        <f t="shared" si="66"/>
        <v>#REF!</v>
      </c>
      <c r="I132" s="142" t="str">
        <f t="shared" si="67"/>
        <v>#REF!</v>
      </c>
      <c r="J132" s="142" t="str">
        <f t="shared" si="64"/>
        <v>#REF!</v>
      </c>
      <c r="K132" s="71" t="str">
        <f t="shared" si="68"/>
        <v>#REF!</v>
      </c>
    </row>
    <row r="133" ht="18.75" customHeight="1">
      <c r="A133" s="81" t="s">
        <v>432</v>
      </c>
      <c r="B133" s="268">
        <v>6.0</v>
      </c>
      <c r="C133" s="61">
        <f t="shared" si="59"/>
        <v>540000</v>
      </c>
      <c r="D133" s="269">
        <v>0.25</v>
      </c>
      <c r="E133" s="83">
        <f>Prep!$D$48</f>
        <v>59985</v>
      </c>
      <c r="F133" s="85">
        <f t="shared" si="58"/>
        <v>0.1110833333</v>
      </c>
      <c r="G133" s="88">
        <f t="shared" si="61"/>
        <v>480015</v>
      </c>
      <c r="H133" s="140" t="str">
        <f t="shared" si="66"/>
        <v>#REF!</v>
      </c>
      <c r="I133" s="142" t="str">
        <f t="shared" si="67"/>
        <v>#REF!</v>
      </c>
      <c r="J133" s="142" t="str">
        <f t="shared" si="64"/>
        <v>#REF!</v>
      </c>
      <c r="K133" s="71" t="str">
        <f t="shared" si="68"/>
        <v>#REF!</v>
      </c>
    </row>
    <row r="134" ht="18.75" customHeight="1">
      <c r="A134" s="146"/>
      <c r="B134" s="196"/>
      <c r="C134" s="61"/>
      <c r="D134" s="196"/>
      <c r="E134" s="196"/>
      <c r="F134" s="196"/>
      <c r="G134" s="152"/>
      <c r="H134" s="154"/>
      <c r="I134" s="155"/>
      <c r="J134" s="155"/>
      <c r="K134" s="150"/>
    </row>
    <row r="135" ht="18.75" customHeight="1">
      <c r="A135" s="146"/>
      <c r="B135" s="196"/>
      <c r="C135" s="61"/>
      <c r="D135" s="196"/>
      <c r="E135" s="196"/>
      <c r="F135" s="196"/>
      <c r="G135" s="152"/>
      <c r="H135" s="154"/>
      <c r="I135" s="156"/>
      <c r="J135" s="156"/>
      <c r="K135" s="156"/>
    </row>
    <row r="136" ht="18.75" customHeight="1">
      <c r="A136" s="48" t="s">
        <v>798</v>
      </c>
      <c r="B136" s="196"/>
      <c r="C136" s="61"/>
      <c r="D136" s="196"/>
      <c r="E136" s="196"/>
      <c r="F136" s="196"/>
      <c r="G136" s="159"/>
      <c r="H136" s="154"/>
      <c r="I136" s="156"/>
      <c r="J136" s="156"/>
      <c r="K136" s="156"/>
    </row>
    <row r="137" ht="18.75" customHeight="1">
      <c r="A137" s="53" t="s">
        <v>799</v>
      </c>
      <c r="B137" s="55">
        <v>9.0</v>
      </c>
      <c r="C137" s="61">
        <f t="shared" ref="C137:C150" si="69">B137*90000</f>
        <v>810000</v>
      </c>
      <c r="D137" s="63" t="str">
        <f t="shared" ref="D137:D154" si="70">E137/$A$2</f>
        <v>#REF!</v>
      </c>
      <c r="E137" s="65" t="str">
        <f>DESSERTS!$C$10</f>
        <v>#REF!</v>
      </c>
      <c r="F137" s="71" t="str">
        <f t="shared" ref="F137:F173" si="71">IF(E137="","",IF(ISBLANK(C137),"",E137/C137))</f>
        <v>#REF!</v>
      </c>
      <c r="G137" s="74" t="str">
        <f t="shared" ref="G137:G154" si="72">C137-E137</f>
        <v>#REF!</v>
      </c>
      <c r="H137" s="61">
        <f t="shared" ref="H137:H151" si="73">(C137*$H$4)+C137</f>
        <v>891000</v>
      </c>
      <c r="I137" s="61" t="str">
        <f t="shared" ref="I137:I151" si="74">E137</f>
        <v>#REF!</v>
      </c>
      <c r="J137" s="61" t="str">
        <f t="shared" ref="J137:J154" si="75">H137-I137</f>
        <v>#REF!</v>
      </c>
      <c r="K137" s="71" t="str">
        <f t="shared" ref="K137:K151" si="76">I137/H137</f>
        <v>#REF!</v>
      </c>
    </row>
    <row r="138" ht="18.75" customHeight="1">
      <c r="A138" s="81" t="s">
        <v>800</v>
      </c>
      <c r="B138" s="55">
        <v>8.0</v>
      </c>
      <c r="C138" s="61">
        <f t="shared" si="69"/>
        <v>720000</v>
      </c>
      <c r="D138" s="63" t="str">
        <f t="shared" si="70"/>
        <v>#REF!</v>
      </c>
      <c r="E138" s="83" t="str">
        <f>DESSERTS!$L$10</f>
        <v>#REF!</v>
      </c>
      <c r="F138" s="85" t="str">
        <f t="shared" si="71"/>
        <v>#REF!</v>
      </c>
      <c r="G138" s="88" t="str">
        <f t="shared" si="72"/>
        <v>#REF!</v>
      </c>
      <c r="H138" s="61">
        <f t="shared" si="73"/>
        <v>792000</v>
      </c>
      <c r="I138" s="61" t="str">
        <f t="shared" si="74"/>
        <v>#REF!</v>
      </c>
      <c r="J138" s="61" t="str">
        <f t="shared" si="75"/>
        <v>#REF!</v>
      </c>
      <c r="K138" s="71" t="str">
        <f t="shared" si="76"/>
        <v>#REF!</v>
      </c>
    </row>
    <row r="139" ht="18.75" customHeight="1">
      <c r="A139" s="81" t="s">
        <v>802</v>
      </c>
      <c r="B139" s="55">
        <v>9.0</v>
      </c>
      <c r="C139" s="61">
        <f t="shared" si="69"/>
        <v>810000</v>
      </c>
      <c r="D139" s="63" t="str">
        <f t="shared" si="70"/>
        <v>#REF!</v>
      </c>
      <c r="E139" s="83" t="str">
        <f>DESSERTS!$C$144</f>
        <v>#REF!</v>
      </c>
      <c r="F139" s="85" t="str">
        <f t="shared" si="71"/>
        <v>#REF!</v>
      </c>
      <c r="G139" s="88" t="str">
        <f t="shared" si="72"/>
        <v>#REF!</v>
      </c>
      <c r="H139" s="61">
        <f t="shared" si="73"/>
        <v>891000</v>
      </c>
      <c r="I139" s="61" t="str">
        <f t="shared" si="74"/>
        <v>#REF!</v>
      </c>
      <c r="J139" s="61" t="str">
        <f t="shared" si="75"/>
        <v>#REF!</v>
      </c>
      <c r="K139" s="71" t="str">
        <f t="shared" si="76"/>
        <v>#REF!</v>
      </c>
    </row>
    <row r="140" ht="18.75" customHeight="1">
      <c r="A140" s="81" t="s">
        <v>804</v>
      </c>
      <c r="B140" s="55">
        <v>9.0</v>
      </c>
      <c r="C140" s="61">
        <f t="shared" si="69"/>
        <v>810000</v>
      </c>
      <c r="D140" s="63" t="str">
        <f t="shared" si="70"/>
        <v>#REF!</v>
      </c>
      <c r="E140" s="83" t="str">
        <f>DESSERTS!$C$54</f>
        <v>#REF!</v>
      </c>
      <c r="F140" s="85" t="str">
        <f t="shared" si="71"/>
        <v>#REF!</v>
      </c>
      <c r="G140" s="88" t="str">
        <f t="shared" si="72"/>
        <v>#REF!</v>
      </c>
      <c r="H140" s="61">
        <f t="shared" si="73"/>
        <v>891000</v>
      </c>
      <c r="I140" s="61" t="str">
        <f t="shared" si="74"/>
        <v>#REF!</v>
      </c>
      <c r="J140" s="61" t="str">
        <f t="shared" si="75"/>
        <v>#REF!</v>
      </c>
      <c r="K140" s="71" t="str">
        <f t="shared" si="76"/>
        <v>#REF!</v>
      </c>
    </row>
    <row r="141" ht="18.75" customHeight="1">
      <c r="A141" s="81" t="s">
        <v>805</v>
      </c>
      <c r="B141" s="55">
        <v>5.0</v>
      </c>
      <c r="C141" s="61">
        <f t="shared" si="69"/>
        <v>450000</v>
      </c>
      <c r="D141" s="63" t="str">
        <f t="shared" si="70"/>
        <v>#REF!</v>
      </c>
      <c r="E141" s="83" t="str">
        <f>DESSERTS!$L$99</f>
        <v>#REF!</v>
      </c>
      <c r="F141" s="85" t="str">
        <f t="shared" si="71"/>
        <v>#REF!</v>
      </c>
      <c r="G141" s="88" t="str">
        <f t="shared" si="72"/>
        <v>#REF!</v>
      </c>
      <c r="H141" s="61">
        <f t="shared" si="73"/>
        <v>495000</v>
      </c>
      <c r="I141" s="61" t="str">
        <f t="shared" si="74"/>
        <v>#REF!</v>
      </c>
      <c r="J141" s="61" t="str">
        <f t="shared" si="75"/>
        <v>#REF!</v>
      </c>
      <c r="K141" s="71" t="str">
        <f t="shared" si="76"/>
        <v>#REF!</v>
      </c>
    </row>
    <row r="142" ht="18.75" customHeight="1">
      <c r="A142" s="81" t="s">
        <v>807</v>
      </c>
      <c r="B142" s="55">
        <v>8.0</v>
      </c>
      <c r="C142" s="61">
        <f t="shared" si="69"/>
        <v>720000</v>
      </c>
      <c r="D142" s="63" t="str">
        <f t="shared" si="70"/>
        <v>#REF!</v>
      </c>
      <c r="E142" s="83" t="str">
        <f>DESSERTS!$C$99</f>
        <v>#REF!</v>
      </c>
      <c r="F142" s="85" t="str">
        <f t="shared" si="71"/>
        <v>#REF!</v>
      </c>
      <c r="G142" s="88" t="str">
        <f t="shared" si="72"/>
        <v>#REF!</v>
      </c>
      <c r="H142" s="61">
        <f t="shared" si="73"/>
        <v>792000</v>
      </c>
      <c r="I142" s="61" t="str">
        <f t="shared" si="74"/>
        <v>#REF!</v>
      </c>
      <c r="J142" s="61" t="str">
        <f t="shared" si="75"/>
        <v>#REF!</v>
      </c>
      <c r="K142" s="71" t="str">
        <f t="shared" si="76"/>
        <v>#REF!</v>
      </c>
    </row>
    <row r="143" ht="18.75" hidden="1" customHeight="1">
      <c r="A143" s="208" t="s">
        <v>808</v>
      </c>
      <c r="B143" s="55"/>
      <c r="C143" s="61">
        <f t="shared" si="69"/>
        <v>0</v>
      </c>
      <c r="D143" s="63" t="str">
        <f t="shared" si="70"/>
        <v>#REF!</v>
      </c>
      <c r="E143" s="83" t="str">
        <f>DESSERTS!$C$233</f>
        <v>#REF!</v>
      </c>
      <c r="F143" s="85" t="str">
        <f t="shared" si="71"/>
        <v>#REF!</v>
      </c>
      <c r="G143" s="88" t="str">
        <f t="shared" si="72"/>
        <v>#REF!</v>
      </c>
      <c r="H143" s="61">
        <f t="shared" si="73"/>
        <v>0</v>
      </c>
      <c r="I143" s="61" t="str">
        <f t="shared" si="74"/>
        <v>#REF!</v>
      </c>
      <c r="J143" s="61" t="str">
        <f t="shared" si="75"/>
        <v>#REF!</v>
      </c>
      <c r="K143" s="71" t="str">
        <f t="shared" si="76"/>
        <v>#REF!</v>
      </c>
    </row>
    <row r="144" ht="18.75" hidden="1" customHeight="1">
      <c r="A144" s="208" t="s">
        <v>810</v>
      </c>
      <c r="B144" s="55"/>
      <c r="C144" s="61">
        <f t="shared" si="69"/>
        <v>0</v>
      </c>
      <c r="D144" s="63" t="str">
        <f t="shared" si="70"/>
        <v>#REF!</v>
      </c>
      <c r="E144" s="83" t="str">
        <f>DESSERTS!$C$233</f>
        <v>#REF!</v>
      </c>
      <c r="F144" s="85" t="str">
        <f t="shared" si="71"/>
        <v>#REF!</v>
      </c>
      <c r="G144" s="88" t="str">
        <f t="shared" si="72"/>
        <v>#REF!</v>
      </c>
      <c r="H144" s="61">
        <f t="shared" si="73"/>
        <v>0</v>
      </c>
      <c r="I144" s="61" t="str">
        <f t="shared" si="74"/>
        <v>#REF!</v>
      </c>
      <c r="J144" s="61" t="str">
        <f t="shared" si="75"/>
        <v>#REF!</v>
      </c>
      <c r="K144" s="71" t="str">
        <f t="shared" si="76"/>
        <v>#REF!</v>
      </c>
    </row>
    <row r="145" ht="18.75" customHeight="1">
      <c r="A145" s="81" t="s">
        <v>811</v>
      </c>
      <c r="B145" s="55"/>
      <c r="C145" s="61">
        <f t="shared" si="69"/>
        <v>0</v>
      </c>
      <c r="D145" s="63" t="str">
        <f t="shared" si="70"/>
        <v>#REF!</v>
      </c>
      <c r="E145" s="83" t="str">
        <f>DESSERTS!$C$233</f>
        <v>#REF!</v>
      </c>
      <c r="F145" s="85" t="str">
        <f t="shared" si="71"/>
        <v>#REF!</v>
      </c>
      <c r="G145" s="88" t="str">
        <f t="shared" si="72"/>
        <v>#REF!</v>
      </c>
      <c r="H145" s="61">
        <f t="shared" si="73"/>
        <v>0</v>
      </c>
      <c r="I145" s="61" t="str">
        <f t="shared" si="74"/>
        <v>#REF!</v>
      </c>
      <c r="J145" s="61" t="str">
        <f t="shared" si="75"/>
        <v>#REF!</v>
      </c>
      <c r="K145" s="71" t="str">
        <f t="shared" si="76"/>
        <v>#REF!</v>
      </c>
    </row>
    <row r="146" ht="18.75" hidden="1" customHeight="1">
      <c r="A146" s="81" t="s">
        <v>813</v>
      </c>
      <c r="B146" s="55"/>
      <c r="C146" s="61">
        <f t="shared" si="69"/>
        <v>0</v>
      </c>
      <c r="D146" s="63" t="str">
        <f t="shared" si="70"/>
        <v>#REF!</v>
      </c>
      <c r="E146" s="83" t="str">
        <f>DESSERTS!$C$233</f>
        <v>#REF!</v>
      </c>
      <c r="F146" s="85" t="str">
        <f t="shared" si="71"/>
        <v>#REF!</v>
      </c>
      <c r="G146" s="88" t="str">
        <f t="shared" si="72"/>
        <v>#REF!</v>
      </c>
      <c r="H146" s="61">
        <f t="shared" si="73"/>
        <v>0</v>
      </c>
      <c r="I146" s="61" t="str">
        <f t="shared" si="74"/>
        <v>#REF!</v>
      </c>
      <c r="J146" s="61" t="str">
        <f t="shared" si="75"/>
        <v>#REF!</v>
      </c>
      <c r="K146" s="71" t="str">
        <f t="shared" si="76"/>
        <v>#REF!</v>
      </c>
    </row>
    <row r="147" ht="18.75" customHeight="1">
      <c r="A147" s="208" t="s">
        <v>814</v>
      </c>
      <c r="B147" s="55">
        <v>8.0</v>
      </c>
      <c r="C147" s="61">
        <f t="shared" si="69"/>
        <v>720000</v>
      </c>
      <c r="D147" s="63" t="str">
        <f t="shared" si="70"/>
        <v>#REF!</v>
      </c>
      <c r="E147" s="83"/>
      <c r="F147" s="85" t="str">
        <f t="shared" si="71"/>
        <v/>
      </c>
      <c r="G147" s="88">
        <f t="shared" si="72"/>
        <v>720000</v>
      </c>
      <c r="H147" s="61">
        <f t="shared" si="73"/>
        <v>792000</v>
      </c>
      <c r="I147" s="61" t="str">
        <f t="shared" si="74"/>
        <v/>
      </c>
      <c r="J147" s="61">
        <f t="shared" si="75"/>
        <v>792000</v>
      </c>
      <c r="K147" s="71">
        <f t="shared" si="76"/>
        <v>0</v>
      </c>
    </row>
    <row r="148" ht="18.75" customHeight="1">
      <c r="A148" s="208" t="s">
        <v>816</v>
      </c>
      <c r="B148" s="55">
        <v>9.0</v>
      </c>
      <c r="C148" s="61">
        <f t="shared" si="69"/>
        <v>810000</v>
      </c>
      <c r="D148" s="63" t="str">
        <f t="shared" si="70"/>
        <v>#REF!</v>
      </c>
      <c r="E148" s="209" t="str">
        <f>DESSERTS!L455</f>
        <v>#REF!</v>
      </c>
      <c r="F148" s="85" t="str">
        <f t="shared" si="71"/>
        <v>#REF!</v>
      </c>
      <c r="G148" s="88" t="str">
        <f t="shared" si="72"/>
        <v>#REF!</v>
      </c>
      <c r="H148" s="61">
        <f t="shared" si="73"/>
        <v>891000</v>
      </c>
      <c r="I148" s="61" t="str">
        <f t="shared" si="74"/>
        <v>#REF!</v>
      </c>
      <c r="J148" s="61" t="str">
        <f t="shared" si="75"/>
        <v>#REF!</v>
      </c>
      <c r="K148" s="71" t="str">
        <f t="shared" si="76"/>
        <v>#REF!</v>
      </c>
    </row>
    <row r="149" ht="18.75" customHeight="1">
      <c r="A149" s="208" t="s">
        <v>818</v>
      </c>
      <c r="B149" s="55">
        <v>10.0</v>
      </c>
      <c r="C149" s="61">
        <f t="shared" si="69"/>
        <v>900000</v>
      </c>
      <c r="D149" s="63" t="str">
        <f t="shared" si="70"/>
        <v>#REF!</v>
      </c>
      <c r="E149" s="209" t="str">
        <f>DESSERTS!L499</f>
        <v>#REF!</v>
      </c>
      <c r="F149" s="85" t="str">
        <f t="shared" si="71"/>
        <v>#REF!</v>
      </c>
      <c r="G149" s="88" t="str">
        <f t="shared" si="72"/>
        <v>#REF!</v>
      </c>
      <c r="H149" s="61">
        <f t="shared" si="73"/>
        <v>990000</v>
      </c>
      <c r="I149" s="61" t="str">
        <f t="shared" si="74"/>
        <v>#REF!</v>
      </c>
      <c r="J149" s="61" t="str">
        <f t="shared" si="75"/>
        <v>#REF!</v>
      </c>
      <c r="K149" s="71" t="str">
        <f t="shared" si="76"/>
        <v>#REF!</v>
      </c>
    </row>
    <row r="150" ht="18.75" customHeight="1">
      <c r="A150" s="208" t="s">
        <v>820</v>
      </c>
      <c r="B150" s="55"/>
      <c r="C150" s="61">
        <f t="shared" si="69"/>
        <v>0</v>
      </c>
      <c r="D150" s="63" t="str">
        <f t="shared" si="70"/>
        <v>#REF!</v>
      </c>
      <c r="E150" s="209" t="str">
        <f>DESSERTS!C543</f>
        <v>#REF!</v>
      </c>
      <c r="F150" s="85" t="str">
        <f t="shared" si="71"/>
        <v>#REF!</v>
      </c>
      <c r="G150" s="88" t="str">
        <f t="shared" si="72"/>
        <v>#REF!</v>
      </c>
      <c r="H150" s="61">
        <f t="shared" si="73"/>
        <v>0</v>
      </c>
      <c r="I150" s="61" t="str">
        <f t="shared" si="74"/>
        <v>#REF!</v>
      </c>
      <c r="J150" s="61" t="str">
        <f t="shared" si="75"/>
        <v>#REF!</v>
      </c>
      <c r="K150" s="71" t="str">
        <f t="shared" si="76"/>
        <v>#REF!</v>
      </c>
    </row>
    <row r="151" ht="18.75" hidden="1" customHeight="1">
      <c r="A151" s="81" t="s">
        <v>813</v>
      </c>
      <c r="B151" s="61"/>
      <c r="C151" s="61">
        <f t="shared" ref="C151:C154" si="77">B151/90000</f>
        <v>0</v>
      </c>
      <c r="D151" s="63" t="str">
        <f t="shared" si="70"/>
        <v>#REF!</v>
      </c>
      <c r="E151" s="83" t="str">
        <f>DESSERTS!$C$233</f>
        <v>#REF!</v>
      </c>
      <c r="F151" s="85" t="str">
        <f t="shared" si="71"/>
        <v>#REF!</v>
      </c>
      <c r="G151" s="88" t="str">
        <f t="shared" si="72"/>
        <v>#REF!</v>
      </c>
      <c r="H151" s="61">
        <f t="shared" si="73"/>
        <v>0</v>
      </c>
      <c r="I151" s="61" t="str">
        <f t="shared" si="74"/>
        <v>#REF!</v>
      </c>
      <c r="J151" s="61" t="str">
        <f t="shared" si="75"/>
        <v>#REF!</v>
      </c>
      <c r="K151" s="71" t="str">
        <f t="shared" si="76"/>
        <v>#REF!</v>
      </c>
    </row>
    <row r="152" ht="18.75" hidden="1" customHeight="1">
      <c r="A152" s="81" t="s">
        <v>830</v>
      </c>
      <c r="B152" s="137"/>
      <c r="C152" s="61">
        <f t="shared" si="77"/>
        <v>0</v>
      </c>
      <c r="D152" s="63" t="str">
        <f t="shared" si="70"/>
        <v>#REF!</v>
      </c>
      <c r="E152" s="83" t="str">
        <f>DESSERTS!L278</f>
        <v>#REF!</v>
      </c>
      <c r="F152" s="85" t="str">
        <f t="shared" si="71"/>
        <v>#REF!</v>
      </c>
      <c r="G152" s="88" t="str">
        <f t="shared" si="72"/>
        <v>#REF!</v>
      </c>
      <c r="H152" s="140" t="str">
        <f t="shared" ref="H152:H154" si="78">#REF!*$H$4+#REF!</f>
        <v>#REF!</v>
      </c>
      <c r="I152" s="142" t="str">
        <f t="shared" ref="I152:I154" si="79">#REF!</f>
        <v>#REF!</v>
      </c>
      <c r="J152" s="142" t="str">
        <f t="shared" si="75"/>
        <v>#REF!</v>
      </c>
      <c r="K152" s="71" t="str">
        <f t="shared" ref="K152:K154" si="80">IF(#REF!="","",IF(ISBLANK(H152),"",I152/H152))</f>
        <v>#REF!</v>
      </c>
    </row>
    <row r="153" ht="18.75" hidden="1" customHeight="1">
      <c r="A153" s="81" t="s">
        <v>839</v>
      </c>
      <c r="B153" s="137"/>
      <c r="C153" s="61">
        <f t="shared" si="77"/>
        <v>0</v>
      </c>
      <c r="D153" s="63" t="str">
        <f t="shared" si="70"/>
        <v>#REF!</v>
      </c>
      <c r="E153" s="83" t="str">
        <f>DESSERTS!C323</f>
        <v>#REF!</v>
      </c>
      <c r="F153" s="85" t="str">
        <f t="shared" si="71"/>
        <v>#REF!</v>
      </c>
      <c r="G153" s="88" t="str">
        <f t="shared" si="72"/>
        <v>#REF!</v>
      </c>
      <c r="H153" s="140" t="str">
        <f t="shared" si="78"/>
        <v>#REF!</v>
      </c>
      <c r="I153" s="142" t="str">
        <f t="shared" si="79"/>
        <v>#REF!</v>
      </c>
      <c r="J153" s="142" t="str">
        <f t="shared" si="75"/>
        <v>#REF!</v>
      </c>
      <c r="K153" s="288" t="str">
        <f t="shared" si="80"/>
        <v>#REF!</v>
      </c>
    </row>
    <row r="154" ht="18.75" hidden="1" customHeight="1">
      <c r="A154" s="81" t="s">
        <v>841</v>
      </c>
      <c r="B154" s="137"/>
      <c r="C154" s="61">
        <f t="shared" si="77"/>
        <v>0</v>
      </c>
      <c r="D154" s="63" t="str">
        <f t="shared" si="70"/>
        <v>#REF!</v>
      </c>
      <c r="E154" s="83" t="str">
        <f>DESSERTS!L323</f>
        <v>#REF!</v>
      </c>
      <c r="F154" s="85" t="str">
        <f t="shared" si="71"/>
        <v>#REF!</v>
      </c>
      <c r="G154" s="88" t="str">
        <f t="shared" si="72"/>
        <v>#REF!</v>
      </c>
      <c r="H154" s="140" t="str">
        <f t="shared" si="78"/>
        <v>#REF!</v>
      </c>
      <c r="I154" s="142" t="str">
        <f t="shared" si="79"/>
        <v>#REF!</v>
      </c>
      <c r="J154" s="142" t="str">
        <f t="shared" si="75"/>
        <v>#REF!</v>
      </c>
      <c r="K154" s="288" t="str">
        <f t="shared" si="80"/>
        <v>#REF!</v>
      </c>
    </row>
    <row r="155" ht="18.75" customHeight="1">
      <c r="A155" s="146"/>
      <c r="B155" s="196"/>
      <c r="C155" s="61"/>
      <c r="D155" s="196"/>
      <c r="E155" s="196"/>
      <c r="F155" s="150" t="str">
        <f t="shared" si="71"/>
        <v/>
      </c>
      <c r="G155" s="152"/>
      <c r="H155" s="154"/>
      <c r="I155" s="155"/>
      <c r="J155" s="155"/>
      <c r="K155" s="150"/>
    </row>
    <row r="156" ht="18.75" customHeight="1">
      <c r="A156" s="48" t="s">
        <v>844</v>
      </c>
      <c r="B156" s="196"/>
      <c r="C156" s="61"/>
      <c r="D156" s="196"/>
      <c r="E156" s="196"/>
      <c r="F156" s="158" t="str">
        <f t="shared" si="71"/>
        <v/>
      </c>
      <c r="G156" s="159"/>
      <c r="H156" s="160"/>
      <c r="I156" s="161"/>
      <c r="J156" s="161"/>
      <c r="K156" s="158"/>
    </row>
    <row r="157" ht="18.75" hidden="1" customHeight="1">
      <c r="A157" s="53" t="s">
        <v>846</v>
      </c>
      <c r="B157" s="162"/>
      <c r="C157" s="61">
        <f t="shared" ref="C157:C159" si="81">B157/90000</f>
        <v>0</v>
      </c>
      <c r="D157" s="63" t="str">
        <f t="shared" ref="D157:D173" si="82">E157/$A$2</f>
        <v>#REF!</v>
      </c>
      <c r="E157" s="65" t="str">
        <f>WRAP!$C$10</f>
        <v>#REF!</v>
      </c>
      <c r="F157" s="71" t="str">
        <f t="shared" si="71"/>
        <v>#REF!</v>
      </c>
      <c r="G157" s="74" t="str">
        <f t="shared" ref="G157:G173" si="83">C157-E157</f>
        <v>#REF!</v>
      </c>
      <c r="H157" s="140" t="str">
        <f t="shared" ref="H157:H159" si="84">#REF!*$H$4+#REF!</f>
        <v>#REF!</v>
      </c>
      <c r="I157" s="142" t="str">
        <f t="shared" ref="I157:I159" si="85">#REF!</f>
        <v>#REF!</v>
      </c>
      <c r="J157" s="142" t="str">
        <f t="shared" ref="J157:J173" si="86">H157-I157</f>
        <v>#REF!</v>
      </c>
      <c r="K157" s="71" t="str">
        <f t="shared" ref="K157:K159" si="87">IF(#REF!="","",IF(ISBLANK(H157),"",I157/H157))</f>
        <v>#REF!</v>
      </c>
    </row>
    <row r="158" ht="18.75" hidden="1" customHeight="1">
      <c r="A158" s="81" t="s">
        <v>851</v>
      </c>
      <c r="B158" s="162"/>
      <c r="C158" s="61">
        <f t="shared" si="81"/>
        <v>0</v>
      </c>
      <c r="D158" s="63" t="str">
        <f t="shared" si="82"/>
        <v>#REF!</v>
      </c>
      <c r="E158" s="83" t="str">
        <f>WRAP!$L$10</f>
        <v>#REF!</v>
      </c>
      <c r="F158" s="85" t="str">
        <f t="shared" si="71"/>
        <v>#REF!</v>
      </c>
      <c r="G158" s="88" t="str">
        <f t="shared" si="83"/>
        <v>#REF!</v>
      </c>
      <c r="H158" s="140" t="str">
        <f t="shared" si="84"/>
        <v>#REF!</v>
      </c>
      <c r="I158" s="142" t="str">
        <f t="shared" si="85"/>
        <v>#REF!</v>
      </c>
      <c r="J158" s="142" t="str">
        <f t="shared" si="86"/>
        <v>#REF!</v>
      </c>
      <c r="K158" s="71" t="str">
        <f t="shared" si="87"/>
        <v>#REF!</v>
      </c>
    </row>
    <row r="159" ht="18.75" hidden="1" customHeight="1">
      <c r="A159" s="81" t="s">
        <v>854</v>
      </c>
      <c r="B159" s="162"/>
      <c r="C159" s="61">
        <f t="shared" si="81"/>
        <v>0</v>
      </c>
      <c r="D159" s="63" t="str">
        <f t="shared" si="82"/>
        <v>#REF!</v>
      </c>
      <c r="E159" s="83" t="str">
        <f>WRAP!$L$54</f>
        <v>#REF!</v>
      </c>
      <c r="F159" s="85" t="str">
        <f t="shared" si="71"/>
        <v>#REF!</v>
      </c>
      <c r="G159" s="88" t="str">
        <f t="shared" si="83"/>
        <v>#REF!</v>
      </c>
      <c r="H159" s="140" t="str">
        <f t="shared" si="84"/>
        <v>#REF!</v>
      </c>
      <c r="I159" s="142" t="str">
        <f t="shared" si="85"/>
        <v>#REF!</v>
      </c>
      <c r="J159" s="142" t="str">
        <f t="shared" si="86"/>
        <v>#REF!</v>
      </c>
      <c r="K159" s="71" t="str">
        <f t="shared" si="87"/>
        <v>#REF!</v>
      </c>
    </row>
    <row r="160" ht="18.75" customHeight="1">
      <c r="A160" s="81" t="s">
        <v>858</v>
      </c>
      <c r="B160" s="55"/>
      <c r="C160" s="61">
        <f t="shared" ref="C160:C173" si="88">B160*90000</f>
        <v>0</v>
      </c>
      <c r="D160" s="63" t="str">
        <f t="shared" si="82"/>
        <v>#REF!</v>
      </c>
      <c r="E160" s="83" t="str">
        <f>MANAKISH!$C$54</f>
        <v>#REF!</v>
      </c>
      <c r="F160" s="85" t="str">
        <f t="shared" si="71"/>
        <v>#REF!</v>
      </c>
      <c r="G160" s="88" t="str">
        <f t="shared" si="83"/>
        <v>#REF!</v>
      </c>
      <c r="H160" s="61">
        <f t="shared" ref="H160:H173" si="89">(C160*$H$4)+C160</f>
        <v>0</v>
      </c>
      <c r="I160" s="61" t="str">
        <f t="shared" ref="I160:I173" si="90">E160</f>
        <v>#REF!</v>
      </c>
      <c r="J160" s="61" t="str">
        <f t="shared" si="86"/>
        <v>#REF!</v>
      </c>
      <c r="K160" s="71" t="str">
        <f t="shared" ref="K160:K173" si="91">I160/H160</f>
        <v>#REF!</v>
      </c>
    </row>
    <row r="161" ht="18.75" customHeight="1">
      <c r="A161" s="81" t="s">
        <v>863</v>
      </c>
      <c r="B161" s="55"/>
      <c r="C161" s="61">
        <f t="shared" si="88"/>
        <v>0</v>
      </c>
      <c r="D161" s="63" t="str">
        <f t="shared" si="82"/>
        <v>#REF!</v>
      </c>
      <c r="E161" s="83" t="str">
        <f>MANAKISH!$L$281</f>
        <v>#REF!</v>
      </c>
      <c r="F161" s="85" t="str">
        <f t="shared" si="71"/>
        <v>#REF!</v>
      </c>
      <c r="G161" s="88" t="str">
        <f t="shared" si="83"/>
        <v>#REF!</v>
      </c>
      <c r="H161" s="61">
        <f t="shared" si="89"/>
        <v>0</v>
      </c>
      <c r="I161" s="61" t="str">
        <f t="shared" si="90"/>
        <v>#REF!</v>
      </c>
      <c r="J161" s="61" t="str">
        <f t="shared" si="86"/>
        <v>#REF!</v>
      </c>
      <c r="K161" s="71" t="str">
        <f t="shared" si="91"/>
        <v>#REF!</v>
      </c>
    </row>
    <row r="162" ht="18.75" customHeight="1">
      <c r="A162" s="81" t="s">
        <v>864</v>
      </c>
      <c r="B162" s="55"/>
      <c r="C162" s="61">
        <f t="shared" si="88"/>
        <v>0</v>
      </c>
      <c r="D162" s="63" t="str">
        <f t="shared" si="82"/>
        <v>#REF!</v>
      </c>
      <c r="E162" s="83" t="str">
        <f>MANAKISH!$C$326</f>
        <v>#REF!</v>
      </c>
      <c r="F162" s="85" t="str">
        <f t="shared" si="71"/>
        <v>#REF!</v>
      </c>
      <c r="G162" s="88" t="str">
        <f t="shared" si="83"/>
        <v>#REF!</v>
      </c>
      <c r="H162" s="61">
        <f t="shared" si="89"/>
        <v>0</v>
      </c>
      <c r="I162" s="61" t="str">
        <f t="shared" si="90"/>
        <v>#REF!</v>
      </c>
      <c r="J162" s="61" t="str">
        <f t="shared" si="86"/>
        <v>#REF!</v>
      </c>
      <c r="K162" s="71" t="str">
        <f t="shared" si="91"/>
        <v>#REF!</v>
      </c>
    </row>
    <row r="163" ht="18.75" hidden="1" customHeight="1">
      <c r="A163" s="81" t="s">
        <v>867</v>
      </c>
      <c r="B163" s="55"/>
      <c r="C163" s="61">
        <f t="shared" si="88"/>
        <v>0</v>
      </c>
      <c r="D163" s="63" t="str">
        <f t="shared" si="82"/>
        <v>#REF!</v>
      </c>
      <c r="E163" s="83" t="str">
        <f>MANAKISH!$L$326</f>
        <v>#REF!</v>
      </c>
      <c r="F163" s="85" t="str">
        <f t="shared" si="71"/>
        <v>#REF!</v>
      </c>
      <c r="G163" s="88" t="str">
        <f t="shared" si="83"/>
        <v>#REF!</v>
      </c>
      <c r="H163" s="61">
        <f t="shared" si="89"/>
        <v>0</v>
      </c>
      <c r="I163" s="61" t="str">
        <f t="shared" si="90"/>
        <v>#REF!</v>
      </c>
      <c r="J163" s="61" t="str">
        <f t="shared" si="86"/>
        <v>#REF!</v>
      </c>
      <c r="K163" s="71" t="str">
        <f t="shared" si="91"/>
        <v>#REF!</v>
      </c>
    </row>
    <row r="164" ht="18.75" customHeight="1">
      <c r="A164" s="81" t="s">
        <v>868</v>
      </c>
      <c r="B164" s="55"/>
      <c r="C164" s="61">
        <f t="shared" si="88"/>
        <v>0</v>
      </c>
      <c r="D164" s="63" t="str">
        <f t="shared" si="82"/>
        <v>#REF!</v>
      </c>
      <c r="E164" s="83" t="str">
        <f>WRAP!$C$99</f>
        <v>#REF!</v>
      </c>
      <c r="F164" s="85" t="str">
        <f t="shared" si="71"/>
        <v>#REF!</v>
      </c>
      <c r="G164" s="88" t="str">
        <f t="shared" si="83"/>
        <v>#REF!</v>
      </c>
      <c r="H164" s="61">
        <f t="shared" si="89"/>
        <v>0</v>
      </c>
      <c r="I164" s="61" t="str">
        <f t="shared" si="90"/>
        <v>#REF!</v>
      </c>
      <c r="J164" s="61" t="str">
        <f t="shared" si="86"/>
        <v>#REF!</v>
      </c>
      <c r="K164" s="71" t="str">
        <f t="shared" si="91"/>
        <v>#REF!</v>
      </c>
    </row>
    <row r="165" ht="18.75" customHeight="1">
      <c r="A165" s="81" t="s">
        <v>870</v>
      </c>
      <c r="B165" s="55">
        <v>2.5</v>
      </c>
      <c r="C165" s="61">
        <f t="shared" si="88"/>
        <v>225000</v>
      </c>
      <c r="D165" s="63" t="str">
        <f t="shared" si="82"/>
        <v>#REF!</v>
      </c>
      <c r="E165" s="83" t="str">
        <f>MANAKISH!$C$10</f>
        <v>#REF!</v>
      </c>
      <c r="F165" s="85" t="str">
        <f t="shared" si="71"/>
        <v>#REF!</v>
      </c>
      <c r="G165" s="88" t="str">
        <f t="shared" si="83"/>
        <v>#REF!</v>
      </c>
      <c r="H165" s="61">
        <f t="shared" si="89"/>
        <v>247500</v>
      </c>
      <c r="I165" s="61" t="str">
        <f t="shared" si="90"/>
        <v>#REF!</v>
      </c>
      <c r="J165" s="61" t="str">
        <f t="shared" si="86"/>
        <v>#REF!</v>
      </c>
      <c r="K165" s="71" t="str">
        <f t="shared" si="91"/>
        <v>#REF!</v>
      </c>
    </row>
    <row r="166" ht="18.75" customHeight="1">
      <c r="A166" s="81" t="s">
        <v>874</v>
      </c>
      <c r="B166" s="55">
        <v>4.5</v>
      </c>
      <c r="C166" s="61">
        <f t="shared" si="88"/>
        <v>405000</v>
      </c>
      <c r="D166" s="63" t="str">
        <f t="shared" si="82"/>
        <v>#REF!</v>
      </c>
      <c r="E166" s="83" t="str">
        <f>MANAKISH!$L$10</f>
        <v>#REF!</v>
      </c>
      <c r="F166" s="85" t="str">
        <f t="shared" si="71"/>
        <v>#REF!</v>
      </c>
      <c r="G166" s="88" t="str">
        <f t="shared" si="83"/>
        <v>#REF!</v>
      </c>
      <c r="H166" s="61">
        <f t="shared" si="89"/>
        <v>445500</v>
      </c>
      <c r="I166" s="61" t="str">
        <f t="shared" si="90"/>
        <v>#REF!</v>
      </c>
      <c r="J166" s="61" t="str">
        <f t="shared" si="86"/>
        <v>#REF!</v>
      </c>
      <c r="K166" s="71" t="str">
        <f t="shared" si="91"/>
        <v>#REF!</v>
      </c>
    </row>
    <row r="167" ht="18.75" hidden="1" customHeight="1">
      <c r="A167" s="310" t="s">
        <v>341</v>
      </c>
      <c r="B167" s="55"/>
      <c r="C167" s="61">
        <f t="shared" si="88"/>
        <v>0</v>
      </c>
      <c r="D167" s="63" t="str">
        <f t="shared" si="82"/>
        <v>#REF!</v>
      </c>
      <c r="E167" s="83" t="str">
        <f>MANAKISH!$C$145</f>
        <v>#REF!</v>
      </c>
      <c r="F167" s="85" t="str">
        <f t="shared" si="71"/>
        <v>#REF!</v>
      </c>
      <c r="G167" s="88" t="str">
        <f t="shared" si="83"/>
        <v>#REF!</v>
      </c>
      <c r="H167" s="61">
        <f t="shared" si="89"/>
        <v>0</v>
      </c>
      <c r="I167" s="61" t="str">
        <f t="shared" si="90"/>
        <v>#REF!</v>
      </c>
      <c r="J167" s="61" t="str">
        <f t="shared" si="86"/>
        <v>#REF!</v>
      </c>
      <c r="K167" s="71" t="str">
        <f t="shared" si="91"/>
        <v>#REF!</v>
      </c>
    </row>
    <row r="168" ht="18.75" customHeight="1">
      <c r="A168" s="81" t="s">
        <v>882</v>
      </c>
      <c r="B168" s="176">
        <v>3.5</v>
      </c>
      <c r="C168" s="61">
        <f t="shared" si="88"/>
        <v>315000</v>
      </c>
      <c r="D168" s="63" t="str">
        <f t="shared" si="82"/>
        <v>#REF!</v>
      </c>
      <c r="E168" s="83" t="str">
        <f>MANAKISH!$C$191</f>
        <v>#REF!</v>
      </c>
      <c r="F168" s="85" t="str">
        <f t="shared" si="71"/>
        <v>#REF!</v>
      </c>
      <c r="G168" s="88" t="str">
        <f t="shared" si="83"/>
        <v>#REF!</v>
      </c>
      <c r="H168" s="61">
        <f t="shared" si="89"/>
        <v>346500</v>
      </c>
      <c r="I168" s="61" t="str">
        <f t="shared" si="90"/>
        <v>#REF!</v>
      </c>
      <c r="J168" s="61" t="str">
        <f t="shared" si="86"/>
        <v>#REF!</v>
      </c>
      <c r="K168" s="71" t="str">
        <f t="shared" si="91"/>
        <v>#REF!</v>
      </c>
    </row>
    <row r="169" ht="18.75" customHeight="1">
      <c r="A169" s="81" t="s">
        <v>887</v>
      </c>
      <c r="B169" s="55"/>
      <c r="C169" s="61">
        <f t="shared" si="88"/>
        <v>0</v>
      </c>
      <c r="D169" s="63" t="str">
        <f t="shared" si="82"/>
        <v>#REF!</v>
      </c>
      <c r="E169" s="83" t="str">
        <f>MANAKISH!$L$145</f>
        <v>#REF!</v>
      </c>
      <c r="F169" s="85" t="str">
        <f t="shared" si="71"/>
        <v>#REF!</v>
      </c>
      <c r="G169" s="88" t="str">
        <f t="shared" si="83"/>
        <v>#REF!</v>
      </c>
      <c r="H169" s="61">
        <f t="shared" si="89"/>
        <v>0</v>
      </c>
      <c r="I169" s="61" t="str">
        <f t="shared" si="90"/>
        <v>#REF!</v>
      </c>
      <c r="J169" s="61" t="str">
        <f t="shared" si="86"/>
        <v>#REF!</v>
      </c>
      <c r="K169" s="71" t="str">
        <f t="shared" si="91"/>
        <v>#REF!</v>
      </c>
    </row>
    <row r="170" ht="18.75" customHeight="1">
      <c r="A170" s="81" t="s">
        <v>890</v>
      </c>
      <c r="B170" s="55"/>
      <c r="C170" s="61">
        <f t="shared" si="88"/>
        <v>0</v>
      </c>
      <c r="D170" s="63" t="str">
        <f t="shared" si="82"/>
        <v>#REF!</v>
      </c>
      <c r="E170" s="83" t="str">
        <f>MANAKISH!L191</f>
        <v>#REF!</v>
      </c>
      <c r="F170" s="85" t="str">
        <f t="shared" si="71"/>
        <v>#REF!</v>
      </c>
      <c r="G170" s="88" t="str">
        <f t="shared" si="83"/>
        <v>#REF!</v>
      </c>
      <c r="H170" s="61">
        <f t="shared" si="89"/>
        <v>0</v>
      </c>
      <c r="I170" s="61" t="str">
        <f t="shared" si="90"/>
        <v>#REF!</v>
      </c>
      <c r="J170" s="61" t="str">
        <f t="shared" si="86"/>
        <v>#REF!</v>
      </c>
      <c r="K170" s="71" t="str">
        <f t="shared" si="91"/>
        <v>#REF!</v>
      </c>
    </row>
    <row r="171" ht="18.75" customHeight="1">
      <c r="A171" s="81" t="s">
        <v>894</v>
      </c>
      <c r="B171" s="55">
        <v>9.5</v>
      </c>
      <c r="C171" s="61">
        <f t="shared" si="88"/>
        <v>855000</v>
      </c>
      <c r="D171" s="63" t="str">
        <f t="shared" si="82"/>
        <v>#REF!</v>
      </c>
      <c r="E171" s="83" t="str">
        <f>MANAKISH!$C$236</f>
        <v>#REF!</v>
      </c>
      <c r="F171" s="85" t="str">
        <f t="shared" si="71"/>
        <v>#REF!</v>
      </c>
      <c r="G171" s="88" t="str">
        <f t="shared" si="83"/>
        <v>#REF!</v>
      </c>
      <c r="H171" s="61">
        <f t="shared" si="89"/>
        <v>940500</v>
      </c>
      <c r="I171" s="61" t="str">
        <f t="shared" si="90"/>
        <v>#REF!</v>
      </c>
      <c r="J171" s="61" t="str">
        <f t="shared" si="86"/>
        <v>#REF!</v>
      </c>
      <c r="K171" s="71" t="str">
        <f t="shared" si="91"/>
        <v>#REF!</v>
      </c>
    </row>
    <row r="172" ht="18.75" customHeight="1">
      <c r="A172" s="174" t="s">
        <v>897</v>
      </c>
      <c r="B172" s="55"/>
      <c r="C172" s="61">
        <f t="shared" si="88"/>
        <v>0</v>
      </c>
      <c r="D172" s="63" t="str">
        <f t="shared" si="82"/>
        <v>#REF!</v>
      </c>
      <c r="E172" s="209">
        <v>0.0</v>
      </c>
      <c r="F172" s="85" t="str">
        <f t="shared" si="71"/>
        <v>#DIV/0!</v>
      </c>
      <c r="G172" s="88">
        <f t="shared" si="83"/>
        <v>0</v>
      </c>
      <c r="H172" s="61">
        <f t="shared" si="89"/>
        <v>0</v>
      </c>
      <c r="I172" s="61">
        <f t="shared" si="90"/>
        <v>0</v>
      </c>
      <c r="J172" s="61">
        <f t="shared" si="86"/>
        <v>0</v>
      </c>
      <c r="K172" s="71" t="str">
        <f t="shared" si="91"/>
        <v>#DIV/0!</v>
      </c>
    </row>
    <row r="173" ht="18.75" customHeight="1">
      <c r="A173" s="81" t="s">
        <v>899</v>
      </c>
      <c r="B173" s="55"/>
      <c r="C173" s="61">
        <f t="shared" si="88"/>
        <v>0</v>
      </c>
      <c r="D173" s="63" t="str">
        <f t="shared" si="82"/>
        <v>#REF!</v>
      </c>
      <c r="E173" s="83" t="str">
        <f>MANAKISH!C281</f>
        <v>#REF!</v>
      </c>
      <c r="F173" s="85" t="str">
        <f t="shared" si="71"/>
        <v>#REF!</v>
      </c>
      <c r="G173" s="88" t="str">
        <f t="shared" si="83"/>
        <v>#REF!</v>
      </c>
      <c r="H173" s="61">
        <f t="shared" si="89"/>
        <v>0</v>
      </c>
      <c r="I173" s="61" t="str">
        <f t="shared" si="90"/>
        <v>#REF!</v>
      </c>
      <c r="J173" s="61" t="str">
        <f t="shared" si="86"/>
        <v>#REF!</v>
      </c>
      <c r="K173" s="71" t="str">
        <f t="shared" si="91"/>
        <v>#REF!</v>
      </c>
    </row>
    <row r="174" ht="18.75" customHeight="1">
      <c r="A174" s="222"/>
      <c r="B174" s="156"/>
      <c r="C174" s="61"/>
      <c r="D174" s="196"/>
      <c r="E174" s="156"/>
      <c r="F174" s="156"/>
      <c r="G174" s="159"/>
      <c r="H174" s="214"/>
      <c r="I174" s="215"/>
      <c r="J174" s="215"/>
      <c r="K174" s="158"/>
    </row>
    <row r="175" ht="18.75" customHeight="1">
      <c r="A175" s="146"/>
      <c r="B175" s="156"/>
      <c r="C175" s="61"/>
      <c r="D175" s="196"/>
      <c r="E175" s="156"/>
      <c r="F175" s="156"/>
      <c r="G175" s="159"/>
      <c r="H175" s="160"/>
      <c r="I175" s="161"/>
      <c r="J175" s="161"/>
      <c r="K175" s="158"/>
    </row>
    <row r="176" ht="18.75" customHeight="1">
      <c r="A176" s="48" t="s">
        <v>902</v>
      </c>
      <c r="B176" s="156"/>
      <c r="C176" s="61"/>
      <c r="D176" s="196"/>
      <c r="E176" s="156"/>
      <c r="F176" s="156"/>
      <c r="G176" s="159"/>
      <c r="H176" s="160"/>
      <c r="I176" s="161"/>
      <c r="J176" s="161"/>
      <c r="K176" s="158"/>
    </row>
    <row r="177" ht="18.75" customHeight="1">
      <c r="A177" s="53" t="s">
        <v>230</v>
      </c>
      <c r="B177" s="55"/>
      <c r="C177" s="61">
        <f t="shared" ref="C177:C196" si="92">B177/90000</f>
        <v>0</v>
      </c>
      <c r="D177" s="63" t="str">
        <f t="shared" ref="D177:D196" si="93">E177/$A$2</f>
        <v>#REF!</v>
      </c>
      <c r="E177" s="65">
        <f>SAUCES!$D$16</f>
        <v>3406.947866</v>
      </c>
      <c r="F177" s="85" t="str">
        <f t="shared" ref="F177:F196" si="94">IF(E177="","",IF(ISBLANK(C177),"",E177/C177))</f>
        <v>#DIV/0!</v>
      </c>
      <c r="G177" s="74">
        <f t="shared" ref="G177:G196" si="95">C177-E177</f>
        <v>-3406.947866</v>
      </c>
      <c r="H177" s="61">
        <f t="shared" ref="H177:H196" si="96">(C177*$H$4)+C177</f>
        <v>0</v>
      </c>
      <c r="I177" s="61">
        <f t="shared" ref="I177:I196" si="97">E177</f>
        <v>3406.947866</v>
      </c>
      <c r="J177" s="61">
        <f t="shared" ref="J177:J196" si="98">H177-I177</f>
        <v>-3406.947866</v>
      </c>
      <c r="K177" s="71" t="str">
        <f t="shared" ref="K177:K196" si="99">I177/H177</f>
        <v>#DIV/0!</v>
      </c>
    </row>
    <row r="178" ht="18.75" customHeight="1">
      <c r="A178" s="81" t="s">
        <v>906</v>
      </c>
      <c r="B178" s="55"/>
      <c r="C178" s="61">
        <f t="shared" si="92"/>
        <v>0</v>
      </c>
      <c r="D178" s="63" t="str">
        <f t="shared" si="93"/>
        <v>#REF!</v>
      </c>
      <c r="E178" s="83">
        <f>SAUCES!$D$34</f>
        <v>1195.819259</v>
      </c>
      <c r="F178" s="85" t="str">
        <f t="shared" si="94"/>
        <v>#DIV/0!</v>
      </c>
      <c r="G178" s="88">
        <f t="shared" si="95"/>
        <v>-1195.819259</v>
      </c>
      <c r="H178" s="61">
        <f t="shared" si="96"/>
        <v>0</v>
      </c>
      <c r="I178" s="61">
        <f t="shared" si="97"/>
        <v>1195.819259</v>
      </c>
      <c r="J178" s="61">
        <f t="shared" si="98"/>
        <v>-1195.819259</v>
      </c>
      <c r="K178" s="71" t="str">
        <f t="shared" si="99"/>
        <v>#DIV/0!</v>
      </c>
    </row>
    <row r="179" ht="18.75" customHeight="1">
      <c r="A179" s="81" t="s">
        <v>909</v>
      </c>
      <c r="B179" s="55"/>
      <c r="C179" s="61">
        <f t="shared" si="92"/>
        <v>0</v>
      </c>
      <c r="D179" s="63" t="str">
        <f t="shared" si="93"/>
        <v>#REF!</v>
      </c>
      <c r="E179" s="83">
        <f>SAUCES!$D$46</f>
        <v>965.0953623</v>
      </c>
      <c r="F179" s="85" t="str">
        <f t="shared" si="94"/>
        <v>#DIV/0!</v>
      </c>
      <c r="G179" s="88">
        <f t="shared" si="95"/>
        <v>-965.0953623</v>
      </c>
      <c r="H179" s="61">
        <f t="shared" si="96"/>
        <v>0</v>
      </c>
      <c r="I179" s="61">
        <f t="shared" si="97"/>
        <v>965.0953623</v>
      </c>
      <c r="J179" s="61">
        <f t="shared" si="98"/>
        <v>-965.0953623</v>
      </c>
      <c r="K179" s="71" t="str">
        <f t="shared" si="99"/>
        <v>#DIV/0!</v>
      </c>
    </row>
    <row r="180" ht="18.75" hidden="1" customHeight="1">
      <c r="A180" s="81" t="s">
        <v>308</v>
      </c>
      <c r="B180" s="55"/>
      <c r="C180" s="61">
        <f t="shared" si="92"/>
        <v>0</v>
      </c>
      <c r="D180" s="63" t="str">
        <f t="shared" si="93"/>
        <v>#REF!</v>
      </c>
      <c r="E180" s="83"/>
      <c r="F180" s="85" t="str">
        <f t="shared" si="94"/>
        <v/>
      </c>
      <c r="G180" s="88">
        <f t="shared" si="95"/>
        <v>0</v>
      </c>
      <c r="H180" s="61">
        <f t="shared" si="96"/>
        <v>0</v>
      </c>
      <c r="I180" s="61" t="str">
        <f t="shared" si="97"/>
        <v/>
      </c>
      <c r="J180" s="61">
        <f t="shared" si="98"/>
        <v>0</v>
      </c>
      <c r="K180" s="71" t="str">
        <f t="shared" si="99"/>
        <v>#DIV/0!</v>
      </c>
    </row>
    <row r="181" ht="18.75" customHeight="1">
      <c r="A181" s="81" t="s">
        <v>429</v>
      </c>
      <c r="B181" s="55"/>
      <c r="C181" s="61">
        <f t="shared" si="92"/>
        <v>0</v>
      </c>
      <c r="D181" s="63" t="str">
        <f t="shared" si="93"/>
        <v>#REF!</v>
      </c>
      <c r="E181" s="83">
        <f>SAUCES!$D$105</f>
        <v>2661.661085</v>
      </c>
      <c r="F181" s="85" t="str">
        <f t="shared" si="94"/>
        <v>#DIV/0!</v>
      </c>
      <c r="G181" s="88">
        <f t="shared" si="95"/>
        <v>-2661.661085</v>
      </c>
      <c r="H181" s="61">
        <f t="shared" si="96"/>
        <v>0</v>
      </c>
      <c r="I181" s="61">
        <f t="shared" si="97"/>
        <v>2661.661085</v>
      </c>
      <c r="J181" s="61">
        <f t="shared" si="98"/>
        <v>-2661.661085</v>
      </c>
      <c r="K181" s="71" t="str">
        <f t="shared" si="99"/>
        <v>#DIV/0!</v>
      </c>
    </row>
    <row r="182" ht="18.75" customHeight="1">
      <c r="A182" s="81" t="s">
        <v>37</v>
      </c>
      <c r="B182" s="55"/>
      <c r="C182" s="61">
        <f t="shared" si="92"/>
        <v>0</v>
      </c>
      <c r="D182" s="63" t="str">
        <f t="shared" si="93"/>
        <v>#REF!</v>
      </c>
      <c r="E182" s="83">
        <f>SAUCES!$L$16</f>
        <v>629.9629934</v>
      </c>
      <c r="F182" s="85" t="str">
        <f t="shared" si="94"/>
        <v>#DIV/0!</v>
      </c>
      <c r="G182" s="88">
        <f t="shared" si="95"/>
        <v>-629.9629934</v>
      </c>
      <c r="H182" s="61">
        <f t="shared" si="96"/>
        <v>0</v>
      </c>
      <c r="I182" s="61">
        <f t="shared" si="97"/>
        <v>629.9629934</v>
      </c>
      <c r="J182" s="61">
        <f t="shared" si="98"/>
        <v>-629.9629934</v>
      </c>
      <c r="K182" s="71" t="str">
        <f t="shared" si="99"/>
        <v>#DIV/0!</v>
      </c>
    </row>
    <row r="183" ht="18.75" customHeight="1">
      <c r="A183" s="81" t="s">
        <v>108</v>
      </c>
      <c r="B183" s="55"/>
      <c r="C183" s="61">
        <f t="shared" si="92"/>
        <v>0</v>
      </c>
      <c r="D183" s="63" t="str">
        <f t="shared" si="93"/>
        <v>#REF!</v>
      </c>
      <c r="E183" s="83">
        <f>SAUCES!$L$34</f>
        <v>480.448125</v>
      </c>
      <c r="F183" s="85" t="str">
        <f t="shared" si="94"/>
        <v>#DIV/0!</v>
      </c>
      <c r="G183" s="88">
        <f t="shared" si="95"/>
        <v>-480.448125</v>
      </c>
      <c r="H183" s="61">
        <f t="shared" si="96"/>
        <v>0</v>
      </c>
      <c r="I183" s="61">
        <f t="shared" si="97"/>
        <v>480.448125</v>
      </c>
      <c r="J183" s="61">
        <f t="shared" si="98"/>
        <v>-480.448125</v>
      </c>
      <c r="K183" s="71" t="str">
        <f t="shared" si="99"/>
        <v>#DIV/0!</v>
      </c>
    </row>
    <row r="184" ht="18.75" customHeight="1">
      <c r="A184" s="81" t="s">
        <v>434</v>
      </c>
      <c r="B184" s="55"/>
      <c r="C184" s="61">
        <f t="shared" si="92"/>
        <v>0</v>
      </c>
      <c r="D184" s="63" t="str">
        <f t="shared" si="93"/>
        <v>#REF!</v>
      </c>
      <c r="E184" s="83">
        <f>SAUCES!$L$105</f>
        <v>1090.94156</v>
      </c>
      <c r="F184" s="85" t="str">
        <f t="shared" si="94"/>
        <v>#DIV/0!</v>
      </c>
      <c r="G184" s="88">
        <f t="shared" si="95"/>
        <v>-1090.94156</v>
      </c>
      <c r="H184" s="61">
        <f t="shared" si="96"/>
        <v>0</v>
      </c>
      <c r="I184" s="61">
        <f t="shared" si="97"/>
        <v>1090.94156</v>
      </c>
      <c r="J184" s="61">
        <f t="shared" si="98"/>
        <v>-1090.94156</v>
      </c>
      <c r="K184" s="71" t="str">
        <f t="shared" si="99"/>
        <v>#DIV/0!</v>
      </c>
    </row>
    <row r="185" ht="18.75" customHeight="1">
      <c r="A185" s="81" t="s">
        <v>205</v>
      </c>
      <c r="B185" s="55"/>
      <c r="C185" s="61">
        <f t="shared" si="92"/>
        <v>0</v>
      </c>
      <c r="D185" s="63" t="str">
        <f t="shared" si="93"/>
        <v>#REF!</v>
      </c>
      <c r="E185" s="83">
        <f>SAUCES!$L$58</f>
        <v>923.2488</v>
      </c>
      <c r="F185" s="85" t="str">
        <f t="shared" si="94"/>
        <v>#DIV/0!</v>
      </c>
      <c r="G185" s="88">
        <f t="shared" si="95"/>
        <v>-923.2488</v>
      </c>
      <c r="H185" s="61">
        <f t="shared" si="96"/>
        <v>0</v>
      </c>
      <c r="I185" s="61">
        <f t="shared" si="97"/>
        <v>923.2488</v>
      </c>
      <c r="J185" s="61">
        <f t="shared" si="98"/>
        <v>-923.2488</v>
      </c>
      <c r="K185" s="71" t="str">
        <f t="shared" si="99"/>
        <v>#DIV/0!</v>
      </c>
    </row>
    <row r="186" ht="18.75" customHeight="1">
      <c r="A186" s="81" t="s">
        <v>310</v>
      </c>
      <c r="B186" s="55"/>
      <c r="C186" s="61">
        <f t="shared" si="92"/>
        <v>0</v>
      </c>
      <c r="D186" s="63" t="str">
        <f t="shared" si="93"/>
        <v>#REF!</v>
      </c>
      <c r="E186" s="83">
        <f>SAUCES!$L$77</f>
        <v>1303.068898</v>
      </c>
      <c r="F186" s="85" t="str">
        <f t="shared" si="94"/>
        <v>#DIV/0!</v>
      </c>
      <c r="G186" s="88">
        <f t="shared" si="95"/>
        <v>-1303.068898</v>
      </c>
      <c r="H186" s="61">
        <f t="shared" si="96"/>
        <v>0</v>
      </c>
      <c r="I186" s="61">
        <f t="shared" si="97"/>
        <v>1303.068898</v>
      </c>
      <c r="J186" s="61">
        <f t="shared" si="98"/>
        <v>-1303.068898</v>
      </c>
      <c r="K186" s="71" t="str">
        <f t="shared" si="99"/>
        <v>#DIV/0!</v>
      </c>
    </row>
    <row r="187" ht="18.75" customHeight="1">
      <c r="A187" s="81" t="s">
        <v>353</v>
      </c>
      <c r="B187" s="55"/>
      <c r="C187" s="61">
        <f t="shared" si="92"/>
        <v>0</v>
      </c>
      <c r="D187" s="63" t="str">
        <f t="shared" si="93"/>
        <v>#REF!</v>
      </c>
      <c r="E187" s="83">
        <f>SAUCES!$L$92</f>
        <v>2481.970249</v>
      </c>
      <c r="F187" s="85" t="str">
        <f t="shared" si="94"/>
        <v>#DIV/0!</v>
      </c>
      <c r="G187" s="88">
        <f t="shared" si="95"/>
        <v>-2481.970249</v>
      </c>
      <c r="H187" s="61">
        <f t="shared" si="96"/>
        <v>0</v>
      </c>
      <c r="I187" s="61">
        <f t="shared" si="97"/>
        <v>2481.970249</v>
      </c>
      <c r="J187" s="61">
        <f t="shared" si="98"/>
        <v>-2481.970249</v>
      </c>
      <c r="K187" s="71" t="str">
        <f t="shared" si="99"/>
        <v>#DIV/0!</v>
      </c>
    </row>
    <row r="188" ht="18.75" customHeight="1">
      <c r="A188" s="81" t="s">
        <v>922</v>
      </c>
      <c r="B188" s="55"/>
      <c r="C188" s="61">
        <f t="shared" si="92"/>
        <v>0</v>
      </c>
      <c r="D188" s="63" t="str">
        <f t="shared" si="93"/>
        <v>#REF!</v>
      </c>
      <c r="E188" s="83">
        <f>SAUCES!$L$120</f>
        <v>1364.138053</v>
      </c>
      <c r="F188" s="85" t="str">
        <f t="shared" si="94"/>
        <v>#DIV/0!</v>
      </c>
      <c r="G188" s="88">
        <f t="shared" si="95"/>
        <v>-1364.138053</v>
      </c>
      <c r="H188" s="61">
        <f t="shared" si="96"/>
        <v>0</v>
      </c>
      <c r="I188" s="61">
        <f t="shared" si="97"/>
        <v>1364.138053</v>
      </c>
      <c r="J188" s="61">
        <f t="shared" si="98"/>
        <v>-1364.138053</v>
      </c>
      <c r="K188" s="71" t="str">
        <f t="shared" si="99"/>
        <v>#DIV/0!</v>
      </c>
    </row>
    <row r="189" ht="18.75" customHeight="1">
      <c r="A189" s="81" t="s">
        <v>544</v>
      </c>
      <c r="B189" s="55"/>
      <c r="C189" s="61">
        <f t="shared" si="92"/>
        <v>0</v>
      </c>
      <c r="D189" s="63" t="str">
        <f t="shared" si="93"/>
        <v>#REF!</v>
      </c>
      <c r="E189" s="83">
        <f>SAUCES!$D$133</f>
        <v>2010.930109</v>
      </c>
      <c r="F189" s="85" t="str">
        <f t="shared" si="94"/>
        <v>#DIV/0!</v>
      </c>
      <c r="G189" s="88">
        <f t="shared" si="95"/>
        <v>-2010.930109</v>
      </c>
      <c r="H189" s="61">
        <f t="shared" si="96"/>
        <v>0</v>
      </c>
      <c r="I189" s="61">
        <f t="shared" si="97"/>
        <v>2010.930109</v>
      </c>
      <c r="J189" s="61">
        <f t="shared" si="98"/>
        <v>-2010.930109</v>
      </c>
      <c r="K189" s="71" t="str">
        <f t="shared" si="99"/>
        <v>#DIV/0!</v>
      </c>
    </row>
    <row r="190" ht="18.75" customHeight="1">
      <c r="A190" s="81" t="s">
        <v>547</v>
      </c>
      <c r="B190" s="55"/>
      <c r="C190" s="61">
        <f t="shared" si="92"/>
        <v>0</v>
      </c>
      <c r="D190" s="63" t="str">
        <f t="shared" si="93"/>
        <v>#REF!</v>
      </c>
      <c r="E190" s="83">
        <f>SAUCES!$L$133</f>
        <v>1303.660727</v>
      </c>
      <c r="F190" s="85" t="str">
        <f t="shared" si="94"/>
        <v>#DIV/0!</v>
      </c>
      <c r="G190" s="88">
        <f t="shared" si="95"/>
        <v>-1303.660727</v>
      </c>
      <c r="H190" s="61">
        <f t="shared" si="96"/>
        <v>0</v>
      </c>
      <c r="I190" s="61">
        <f t="shared" si="97"/>
        <v>1303.660727</v>
      </c>
      <c r="J190" s="61">
        <f t="shared" si="98"/>
        <v>-1303.660727</v>
      </c>
      <c r="K190" s="71" t="str">
        <f t="shared" si="99"/>
        <v>#DIV/0!</v>
      </c>
    </row>
    <row r="191" ht="18.75" customHeight="1">
      <c r="A191" s="81" t="s">
        <v>598</v>
      </c>
      <c r="B191" s="55"/>
      <c r="C191" s="61">
        <f t="shared" si="92"/>
        <v>0</v>
      </c>
      <c r="D191" s="63" t="str">
        <f t="shared" si="93"/>
        <v>#REF!</v>
      </c>
      <c r="E191" s="83">
        <f>SAUCES!$D$152</f>
        <v>1471.976447</v>
      </c>
      <c r="F191" s="85" t="str">
        <f t="shared" si="94"/>
        <v>#DIV/0!</v>
      </c>
      <c r="G191" s="88">
        <f t="shared" si="95"/>
        <v>-1471.976447</v>
      </c>
      <c r="H191" s="61">
        <f t="shared" si="96"/>
        <v>0</v>
      </c>
      <c r="I191" s="61">
        <f t="shared" si="97"/>
        <v>1471.976447</v>
      </c>
      <c r="J191" s="61">
        <f t="shared" si="98"/>
        <v>-1471.976447</v>
      </c>
      <c r="K191" s="71" t="str">
        <f t="shared" si="99"/>
        <v>#DIV/0!</v>
      </c>
    </row>
    <row r="192" ht="18.75" customHeight="1">
      <c r="A192" s="81" t="s">
        <v>672</v>
      </c>
      <c r="B192" s="55"/>
      <c r="C192" s="61">
        <f t="shared" si="92"/>
        <v>0</v>
      </c>
      <c r="D192" s="63" t="str">
        <f t="shared" si="93"/>
        <v>#REF!</v>
      </c>
      <c r="E192" s="83" t="str">
        <f>SAUCES!$D$170</f>
        <v>#REF!</v>
      </c>
      <c r="F192" s="85" t="str">
        <f t="shared" si="94"/>
        <v>#REF!</v>
      </c>
      <c r="G192" s="88" t="str">
        <f t="shared" si="95"/>
        <v>#REF!</v>
      </c>
      <c r="H192" s="61">
        <f t="shared" si="96"/>
        <v>0</v>
      </c>
      <c r="I192" s="61" t="str">
        <f t="shared" si="97"/>
        <v>#REF!</v>
      </c>
      <c r="J192" s="61" t="str">
        <f t="shared" si="98"/>
        <v>#REF!</v>
      </c>
      <c r="K192" s="71" t="str">
        <f t="shared" si="99"/>
        <v>#REF!</v>
      </c>
    </row>
    <row r="193" ht="18.75" customHeight="1">
      <c r="A193" s="81" t="s">
        <v>676</v>
      </c>
      <c r="B193" s="55"/>
      <c r="C193" s="61">
        <f t="shared" si="92"/>
        <v>0</v>
      </c>
      <c r="D193" s="63" t="str">
        <f t="shared" si="93"/>
        <v>#REF!</v>
      </c>
      <c r="E193" s="83" t="str">
        <f>SAUCES!$L$170</f>
        <v>#REF!</v>
      </c>
      <c r="F193" s="85" t="str">
        <f t="shared" si="94"/>
        <v>#REF!</v>
      </c>
      <c r="G193" s="88" t="str">
        <f t="shared" si="95"/>
        <v>#REF!</v>
      </c>
      <c r="H193" s="61">
        <f t="shared" si="96"/>
        <v>0</v>
      </c>
      <c r="I193" s="61" t="str">
        <f t="shared" si="97"/>
        <v>#REF!</v>
      </c>
      <c r="J193" s="61" t="str">
        <f t="shared" si="98"/>
        <v>#REF!</v>
      </c>
      <c r="K193" s="71" t="str">
        <f t="shared" si="99"/>
        <v>#REF!</v>
      </c>
    </row>
    <row r="194" ht="18.75" customHeight="1">
      <c r="A194" s="81" t="s">
        <v>760</v>
      </c>
      <c r="B194" s="55"/>
      <c r="C194" s="61">
        <f t="shared" si="92"/>
        <v>0</v>
      </c>
      <c r="D194" s="63" t="str">
        <f t="shared" si="93"/>
        <v>#REF!</v>
      </c>
      <c r="E194" s="83">
        <f>SAUCES!$D$196</f>
        <v>7690.325625</v>
      </c>
      <c r="F194" s="85" t="str">
        <f t="shared" si="94"/>
        <v>#DIV/0!</v>
      </c>
      <c r="G194" s="88">
        <f t="shared" si="95"/>
        <v>-7690.325625</v>
      </c>
      <c r="H194" s="61">
        <f t="shared" si="96"/>
        <v>0</v>
      </c>
      <c r="I194" s="61">
        <f t="shared" si="97"/>
        <v>7690.325625</v>
      </c>
      <c r="J194" s="61">
        <f t="shared" si="98"/>
        <v>-7690.325625</v>
      </c>
      <c r="K194" s="71" t="str">
        <f t="shared" si="99"/>
        <v>#DIV/0!</v>
      </c>
    </row>
    <row r="195" ht="18.75" customHeight="1">
      <c r="A195" s="81" t="s">
        <v>765</v>
      </c>
      <c r="B195" s="55"/>
      <c r="C195" s="61">
        <f t="shared" si="92"/>
        <v>0</v>
      </c>
      <c r="D195" s="63" t="str">
        <f t="shared" si="93"/>
        <v>#REF!</v>
      </c>
      <c r="E195" s="83">
        <f>SAUCES!$L$197</f>
        <v>1671.334871</v>
      </c>
      <c r="F195" s="85" t="str">
        <f t="shared" si="94"/>
        <v>#DIV/0!</v>
      </c>
      <c r="G195" s="88">
        <f t="shared" si="95"/>
        <v>-1671.334871</v>
      </c>
      <c r="H195" s="61">
        <f t="shared" si="96"/>
        <v>0</v>
      </c>
      <c r="I195" s="61">
        <f t="shared" si="97"/>
        <v>1671.334871</v>
      </c>
      <c r="J195" s="61">
        <f t="shared" si="98"/>
        <v>-1671.334871</v>
      </c>
      <c r="K195" s="71" t="str">
        <f t="shared" si="99"/>
        <v>#DIV/0!</v>
      </c>
    </row>
    <row r="196" ht="18.75" customHeight="1">
      <c r="A196" s="81" t="s">
        <v>933</v>
      </c>
      <c r="B196" s="55"/>
      <c r="C196" s="61">
        <f t="shared" si="92"/>
        <v>0</v>
      </c>
      <c r="D196" s="63" t="str">
        <f t="shared" si="93"/>
        <v>#REF!</v>
      </c>
      <c r="E196" s="83">
        <f>'F&amp;B'!$F$229*160/1000</f>
        <v>12960</v>
      </c>
      <c r="F196" s="85" t="str">
        <f t="shared" si="94"/>
        <v>#DIV/0!</v>
      </c>
      <c r="G196" s="88">
        <f t="shared" si="95"/>
        <v>-12960</v>
      </c>
      <c r="H196" s="61">
        <f t="shared" si="96"/>
        <v>0</v>
      </c>
      <c r="I196" s="61">
        <f t="shared" si="97"/>
        <v>12960</v>
      </c>
      <c r="J196" s="61">
        <f t="shared" si="98"/>
        <v>-12960</v>
      </c>
      <c r="K196" s="71" t="str">
        <f t="shared" si="99"/>
        <v>#DIV/0!</v>
      </c>
    </row>
    <row r="197" ht="18.75" customHeight="1">
      <c r="A197" s="146"/>
      <c r="C197" s="61"/>
      <c r="D197" s="196"/>
      <c r="G197" s="159"/>
      <c r="H197" s="160"/>
      <c r="I197" s="161"/>
      <c r="J197" s="161"/>
    </row>
    <row r="198" ht="18.75" customHeight="1">
      <c r="A198" s="48" t="s">
        <v>936</v>
      </c>
      <c r="C198" s="61"/>
      <c r="D198" s="196"/>
      <c r="G198" s="159"/>
      <c r="H198" s="160"/>
      <c r="I198" s="161"/>
      <c r="J198" s="161"/>
      <c r="K198" s="158"/>
    </row>
    <row r="199" ht="18.75" customHeight="1">
      <c r="A199" s="53" t="s">
        <v>937</v>
      </c>
      <c r="B199" s="55"/>
      <c r="C199" s="61">
        <f t="shared" ref="C199:C202" si="100">B199/90000</f>
        <v>0</v>
      </c>
      <c r="D199" s="63" t="str">
        <f t="shared" ref="D199:D202" si="101">E199/$A$2</f>
        <v>#REF!</v>
      </c>
      <c r="E199" s="65" t="str">
        <f>HOOKA!$C$10</f>
        <v>#REF!</v>
      </c>
      <c r="F199" s="71" t="str">
        <f t="shared" ref="F199:F202" si="102">IF(E199="","",IF(ISBLANK(C199),"",E199/C199))</f>
        <v>#REF!</v>
      </c>
      <c r="G199" s="74" t="str">
        <f t="shared" ref="G199:G202" si="103">C199-E199</f>
        <v>#REF!</v>
      </c>
      <c r="H199" s="61">
        <f t="shared" ref="H199:H202" si="104">(C199*$H$4)+C199</f>
        <v>0</v>
      </c>
      <c r="I199" s="61" t="str">
        <f t="shared" ref="I199:I202" si="105">E199</f>
        <v>#REF!</v>
      </c>
      <c r="J199" s="61" t="str">
        <f t="shared" ref="J199:J202" si="106">H199-I199</f>
        <v>#REF!</v>
      </c>
      <c r="K199" s="71" t="str">
        <f t="shared" ref="K199:K202" si="107">I199/H199</f>
        <v>#REF!</v>
      </c>
    </row>
    <row r="200" ht="18.75" customHeight="1">
      <c r="A200" s="81" t="s">
        <v>944</v>
      </c>
      <c r="B200" s="55"/>
      <c r="C200" s="61">
        <f t="shared" si="100"/>
        <v>0</v>
      </c>
      <c r="D200" s="63" t="str">
        <f t="shared" si="101"/>
        <v>#REF!</v>
      </c>
      <c r="E200" s="83" t="str">
        <f>HOOKA!$K$10</f>
        <v>#REF!</v>
      </c>
      <c r="F200" s="85" t="str">
        <f t="shared" si="102"/>
        <v>#REF!</v>
      </c>
      <c r="G200" s="88" t="str">
        <f t="shared" si="103"/>
        <v>#REF!</v>
      </c>
      <c r="H200" s="61">
        <f t="shared" si="104"/>
        <v>0</v>
      </c>
      <c r="I200" s="61" t="str">
        <f t="shared" si="105"/>
        <v>#REF!</v>
      </c>
      <c r="J200" s="61" t="str">
        <f t="shared" si="106"/>
        <v>#REF!</v>
      </c>
      <c r="K200" s="71" t="str">
        <f t="shared" si="107"/>
        <v>#REF!</v>
      </c>
    </row>
    <row r="201" ht="18.75" customHeight="1">
      <c r="A201" s="81" t="s">
        <v>945</v>
      </c>
      <c r="B201" s="55"/>
      <c r="C201" s="61">
        <f t="shared" si="100"/>
        <v>0</v>
      </c>
      <c r="D201" s="63" t="str">
        <f t="shared" si="101"/>
        <v>#REF!</v>
      </c>
      <c r="E201" s="83" t="str">
        <f>HOOKA!$K$55</f>
        <v>#REF!</v>
      </c>
      <c r="F201" s="85" t="str">
        <f t="shared" si="102"/>
        <v>#REF!</v>
      </c>
      <c r="G201" s="88" t="str">
        <f t="shared" si="103"/>
        <v>#REF!</v>
      </c>
      <c r="H201" s="61">
        <f t="shared" si="104"/>
        <v>0</v>
      </c>
      <c r="I201" s="61" t="str">
        <f t="shared" si="105"/>
        <v>#REF!</v>
      </c>
      <c r="J201" s="61" t="str">
        <f t="shared" si="106"/>
        <v>#REF!</v>
      </c>
      <c r="K201" s="71" t="str">
        <f t="shared" si="107"/>
        <v>#REF!</v>
      </c>
    </row>
    <row r="202" ht="18.75" customHeight="1">
      <c r="A202" s="81" t="s">
        <v>947</v>
      </c>
      <c r="B202" s="55"/>
      <c r="C202" s="61">
        <f t="shared" si="100"/>
        <v>0</v>
      </c>
      <c r="D202" s="63" t="str">
        <f t="shared" si="101"/>
        <v>#REF!</v>
      </c>
      <c r="E202" s="83" t="str">
        <f>HOOKA!E19+HOOKA!E20</f>
        <v>#REF!</v>
      </c>
      <c r="F202" s="85" t="str">
        <f t="shared" si="102"/>
        <v>#REF!</v>
      </c>
      <c r="G202" s="88" t="str">
        <f t="shared" si="103"/>
        <v>#REF!</v>
      </c>
      <c r="H202" s="61">
        <f t="shared" si="104"/>
        <v>0</v>
      </c>
      <c r="I202" s="61" t="str">
        <f t="shared" si="105"/>
        <v>#REF!</v>
      </c>
      <c r="J202" s="61" t="str">
        <f t="shared" si="106"/>
        <v>#REF!</v>
      </c>
      <c r="K202" s="71" t="str">
        <f t="shared" si="107"/>
        <v>#REF!</v>
      </c>
    </row>
    <row r="203" ht="18.75" customHeight="1">
      <c r="C203" s="61"/>
      <c r="D203" s="196"/>
    </row>
    <row r="204" ht="18.75" hidden="1" customHeight="1">
      <c r="A204" s="249" t="s">
        <v>948</v>
      </c>
      <c r="C204" s="61"/>
      <c r="D204" s="196"/>
    </row>
    <row r="205" ht="18.75" hidden="1" customHeight="1">
      <c r="A205" s="336" t="s">
        <v>949</v>
      </c>
      <c r="B205" s="162"/>
      <c r="C205" s="61"/>
      <c r="D205" s="63" t="str">
        <f t="shared" ref="D205:D227" si="108">E205/$A$2</f>
        <v>#REF!</v>
      </c>
      <c r="E205" s="83" t="str">
        <f>HOOKA!E22+HOOKA!E23</f>
        <v>#REF!</v>
      </c>
      <c r="F205" s="85" t="str">
        <f t="shared" ref="F205:F227" si="109">IF(E205="","",IF(ISBLANK(C205),"",E205/C205))</f>
        <v>#REF!</v>
      </c>
      <c r="G205" s="88" t="str">
        <f t="shared" ref="G205:G227" si="110">C205-E205</f>
        <v>#REF!</v>
      </c>
    </row>
    <row r="206" ht="18.75" hidden="1" customHeight="1">
      <c r="A206" s="336" t="s">
        <v>952</v>
      </c>
      <c r="B206" s="162"/>
      <c r="C206" s="61"/>
      <c r="D206" s="63" t="str">
        <f t="shared" si="108"/>
        <v>#REF!</v>
      </c>
      <c r="E206" s="83">
        <f>HOOKA!E23+HOOKA!E24</f>
        <v>0</v>
      </c>
      <c r="F206" s="85" t="str">
        <f t="shared" si="109"/>
        <v/>
      </c>
      <c r="G206" s="88">
        <f t="shared" si="110"/>
        <v>0</v>
      </c>
    </row>
    <row r="207" ht="18.75" hidden="1" customHeight="1">
      <c r="A207" s="336" t="s">
        <v>956</v>
      </c>
      <c r="B207" s="162"/>
      <c r="C207" s="61"/>
      <c r="D207" s="63" t="str">
        <f t="shared" si="108"/>
        <v>#VALUE!</v>
      </c>
      <c r="E207" s="83" t="str">
        <f>HOOKA!E24+HOOKA!E25</f>
        <v>#VALUE!</v>
      </c>
      <c r="F207" s="85" t="str">
        <f t="shared" si="109"/>
        <v>#VALUE!</v>
      </c>
      <c r="G207" s="88" t="str">
        <f t="shared" si="110"/>
        <v>#VALUE!</v>
      </c>
    </row>
    <row r="208" ht="18.75" hidden="1" customHeight="1">
      <c r="A208" s="336" t="s">
        <v>957</v>
      </c>
      <c r="B208" s="162"/>
      <c r="C208" s="61"/>
      <c r="D208" s="63" t="str">
        <f t="shared" si="108"/>
        <v>#VALUE!</v>
      </c>
      <c r="E208" s="83" t="str">
        <f>HOOKA!E25+HOOKA!E26</f>
        <v>#VALUE!</v>
      </c>
      <c r="F208" s="85" t="str">
        <f t="shared" si="109"/>
        <v>#VALUE!</v>
      </c>
      <c r="G208" s="88" t="str">
        <f t="shared" si="110"/>
        <v>#VALUE!</v>
      </c>
    </row>
    <row r="209" ht="18.75" hidden="1" customHeight="1">
      <c r="A209" s="336" t="s">
        <v>958</v>
      </c>
      <c r="B209" s="162"/>
      <c r="C209" s="61"/>
      <c r="D209" s="63" t="str">
        <f t="shared" si="108"/>
        <v>#REF!</v>
      </c>
      <c r="E209" s="83">
        <f>HOOKA!E26+HOOKA!E27</f>
        <v>560</v>
      </c>
      <c r="F209" s="85" t="str">
        <f t="shared" si="109"/>
        <v/>
      </c>
      <c r="G209" s="88">
        <f t="shared" si="110"/>
        <v>-560</v>
      </c>
    </row>
    <row r="210" ht="18.75" hidden="1" customHeight="1">
      <c r="A210" s="336" t="s">
        <v>923</v>
      </c>
      <c r="B210" s="162"/>
      <c r="C210" s="61"/>
      <c r="D210" s="63" t="str">
        <f t="shared" si="108"/>
        <v>#REF!</v>
      </c>
      <c r="E210" s="83">
        <f>HOOKA!E27+HOOKA!E28</f>
        <v>924</v>
      </c>
      <c r="F210" s="85" t="str">
        <f t="shared" si="109"/>
        <v/>
      </c>
      <c r="G210" s="88">
        <f t="shared" si="110"/>
        <v>-924</v>
      </c>
    </row>
    <row r="211" ht="18.75" hidden="1" customHeight="1">
      <c r="A211" s="336" t="s">
        <v>959</v>
      </c>
      <c r="B211" s="162"/>
      <c r="C211" s="61"/>
      <c r="D211" s="63" t="str">
        <f t="shared" si="108"/>
        <v>#REF!</v>
      </c>
      <c r="E211" s="83">
        <f>HOOKA!E28+HOOKA!E29</f>
        <v>364</v>
      </c>
      <c r="F211" s="85" t="str">
        <f t="shared" si="109"/>
        <v/>
      </c>
      <c r="G211" s="88">
        <f t="shared" si="110"/>
        <v>-364</v>
      </c>
    </row>
    <row r="212" ht="18.75" hidden="1" customHeight="1">
      <c r="A212" s="336" t="s">
        <v>910</v>
      </c>
      <c r="B212" s="162"/>
      <c r="C212" s="61"/>
      <c r="D212" s="63" t="str">
        <f t="shared" si="108"/>
        <v>#REF!</v>
      </c>
      <c r="E212" s="83">
        <f>HOOKA!E29+HOOKA!E30</f>
        <v>0</v>
      </c>
      <c r="F212" s="85" t="str">
        <f t="shared" si="109"/>
        <v/>
      </c>
      <c r="G212" s="88">
        <f t="shared" si="110"/>
        <v>0</v>
      </c>
    </row>
    <row r="213" ht="18.75" hidden="1" customHeight="1">
      <c r="A213" s="336" t="s">
        <v>919</v>
      </c>
      <c r="B213" s="162"/>
      <c r="C213" s="61"/>
      <c r="D213" s="63" t="str">
        <f t="shared" si="108"/>
        <v>#REF!</v>
      </c>
      <c r="E213" s="83">
        <f>HOOKA!E30+HOOKA!E31</f>
        <v>0</v>
      </c>
      <c r="F213" s="85" t="str">
        <f t="shared" si="109"/>
        <v/>
      </c>
      <c r="G213" s="88">
        <f t="shared" si="110"/>
        <v>0</v>
      </c>
    </row>
    <row r="214" ht="18.75" hidden="1" customHeight="1">
      <c r="A214" s="336" t="s">
        <v>960</v>
      </c>
      <c r="B214" s="162"/>
      <c r="C214" s="61"/>
      <c r="D214" s="63" t="str">
        <f t="shared" si="108"/>
        <v>#REF!</v>
      </c>
      <c r="E214" s="83">
        <f>HOOKA!E31+HOOKA!E32</f>
        <v>0</v>
      </c>
      <c r="F214" s="85" t="str">
        <f t="shared" si="109"/>
        <v/>
      </c>
      <c r="G214" s="88">
        <f t="shared" si="110"/>
        <v>0</v>
      </c>
    </row>
    <row r="215" ht="18.75" hidden="1" customHeight="1">
      <c r="A215" s="336" t="s">
        <v>961</v>
      </c>
      <c r="B215" s="162"/>
      <c r="C215" s="61"/>
      <c r="D215" s="63" t="str">
        <f t="shared" si="108"/>
        <v>#REF!</v>
      </c>
      <c r="E215" s="83">
        <f>HOOKA!E32+HOOKA!E33</f>
        <v>0</v>
      </c>
      <c r="F215" s="85" t="str">
        <f t="shared" si="109"/>
        <v/>
      </c>
      <c r="G215" s="88">
        <f t="shared" si="110"/>
        <v>0</v>
      </c>
    </row>
    <row r="216" ht="18.75" hidden="1" customHeight="1">
      <c r="A216" s="336" t="s">
        <v>962</v>
      </c>
      <c r="B216" s="162"/>
      <c r="C216" s="61"/>
      <c r="D216" s="63" t="str">
        <f t="shared" si="108"/>
        <v>#REF!</v>
      </c>
      <c r="E216" s="83">
        <f>HOOKA!E33+HOOKA!E34</f>
        <v>0</v>
      </c>
      <c r="F216" s="85" t="str">
        <f t="shared" si="109"/>
        <v/>
      </c>
      <c r="G216" s="88">
        <f t="shared" si="110"/>
        <v>0</v>
      </c>
    </row>
    <row r="217" ht="18.75" hidden="1" customHeight="1">
      <c r="A217" s="336" t="s">
        <v>866</v>
      </c>
      <c r="B217" s="162"/>
      <c r="C217" s="61"/>
      <c r="D217" s="63" t="str">
        <f t="shared" si="108"/>
        <v>#REF!</v>
      </c>
      <c r="E217" s="83">
        <f>HOOKA!E34+HOOKA!E35</f>
        <v>0</v>
      </c>
      <c r="F217" s="85" t="str">
        <f t="shared" si="109"/>
        <v/>
      </c>
      <c r="G217" s="88">
        <f t="shared" si="110"/>
        <v>0</v>
      </c>
    </row>
    <row r="218" ht="18.75" hidden="1" customHeight="1">
      <c r="A218" s="336" t="s">
        <v>963</v>
      </c>
      <c r="B218" s="162"/>
      <c r="C218" s="61"/>
      <c r="D218" s="63" t="str">
        <f t="shared" si="108"/>
        <v>#REF!</v>
      </c>
      <c r="E218" s="83">
        <f>HOOKA!E35+HOOKA!E36</f>
        <v>0</v>
      </c>
      <c r="F218" s="85" t="str">
        <f t="shared" si="109"/>
        <v/>
      </c>
      <c r="G218" s="88">
        <f t="shared" si="110"/>
        <v>0</v>
      </c>
    </row>
    <row r="219" ht="18.75" hidden="1" customHeight="1">
      <c r="A219" s="336" t="s">
        <v>964</v>
      </c>
      <c r="B219" s="162"/>
      <c r="C219" s="61"/>
      <c r="D219" s="63" t="str">
        <f t="shared" si="108"/>
        <v>#REF!</v>
      </c>
      <c r="E219" s="83">
        <f>HOOKA!E36+HOOKA!E37</f>
        <v>924</v>
      </c>
      <c r="F219" s="85" t="str">
        <f t="shared" si="109"/>
        <v/>
      </c>
      <c r="G219" s="88">
        <f t="shared" si="110"/>
        <v>-924</v>
      </c>
    </row>
    <row r="220" ht="18.75" hidden="1" customHeight="1">
      <c r="A220" s="336" t="s">
        <v>908</v>
      </c>
      <c r="B220" s="162"/>
      <c r="C220" s="61"/>
      <c r="D220" s="63" t="str">
        <f t="shared" si="108"/>
        <v>#REF!</v>
      </c>
      <c r="E220" s="83">
        <f>HOOKA!E37+HOOKA!E38</f>
        <v>924</v>
      </c>
      <c r="F220" s="85" t="str">
        <f t="shared" si="109"/>
        <v/>
      </c>
      <c r="G220" s="88">
        <f t="shared" si="110"/>
        <v>-924</v>
      </c>
    </row>
    <row r="221" ht="18.75" hidden="1" customHeight="1">
      <c r="A221" s="336" t="s">
        <v>965</v>
      </c>
      <c r="B221" s="162"/>
      <c r="C221" s="61"/>
      <c r="D221" s="63" t="str">
        <f t="shared" si="108"/>
        <v>#REF!</v>
      </c>
      <c r="E221" s="83">
        <f>HOOKA!E38+HOOKA!E39</f>
        <v>0</v>
      </c>
      <c r="F221" s="85" t="str">
        <f t="shared" si="109"/>
        <v/>
      </c>
      <c r="G221" s="88">
        <f t="shared" si="110"/>
        <v>0</v>
      </c>
    </row>
    <row r="222" ht="18.75" hidden="1" customHeight="1">
      <c r="A222" s="336" t="s">
        <v>966</v>
      </c>
      <c r="B222" s="162"/>
      <c r="C222" s="61"/>
      <c r="D222" s="63" t="str">
        <f t="shared" si="108"/>
        <v>#VALUE!</v>
      </c>
      <c r="E222" s="83" t="str">
        <f>HOOKA!E39+HOOKA!E40</f>
        <v>#VALUE!</v>
      </c>
      <c r="F222" s="85" t="str">
        <f t="shared" si="109"/>
        <v>#VALUE!</v>
      </c>
      <c r="G222" s="88" t="str">
        <f t="shared" si="110"/>
        <v>#VALUE!</v>
      </c>
    </row>
    <row r="223" ht="18.75" hidden="1" customHeight="1">
      <c r="A223" s="336" t="s">
        <v>967</v>
      </c>
      <c r="B223" s="162"/>
      <c r="C223" s="61"/>
      <c r="D223" s="63" t="str">
        <f t="shared" si="108"/>
        <v>#VALUE!</v>
      </c>
      <c r="E223" s="83" t="str">
        <f>HOOKA!E40+HOOKA!E41</f>
        <v>#VALUE!</v>
      </c>
      <c r="F223" s="85" t="str">
        <f t="shared" si="109"/>
        <v>#VALUE!</v>
      </c>
      <c r="G223" s="88" t="str">
        <f t="shared" si="110"/>
        <v>#VALUE!</v>
      </c>
    </row>
    <row r="224" ht="18.75" hidden="1" customHeight="1">
      <c r="A224" s="336" t="s">
        <v>968</v>
      </c>
      <c r="B224" s="162"/>
      <c r="C224" s="61"/>
      <c r="D224" s="63" t="str">
        <f t="shared" si="108"/>
        <v>#REF!</v>
      </c>
      <c r="E224" s="83">
        <f>HOOKA!E41+HOOKA!E42</f>
        <v>0</v>
      </c>
      <c r="F224" s="85" t="str">
        <f t="shared" si="109"/>
        <v/>
      </c>
      <c r="G224" s="88">
        <f t="shared" si="110"/>
        <v>0</v>
      </c>
    </row>
    <row r="225" ht="18.75" hidden="1" customHeight="1">
      <c r="A225" s="336" t="s">
        <v>969</v>
      </c>
      <c r="B225" s="162"/>
      <c r="C225" s="61"/>
      <c r="D225" s="63" t="str">
        <f t="shared" si="108"/>
        <v>#REF!</v>
      </c>
      <c r="E225" s="83" t="str">
        <f>HOOKA!E42+HOOKA!E43</f>
        <v>#REF!</v>
      </c>
      <c r="F225" s="85" t="str">
        <f t="shared" si="109"/>
        <v>#REF!</v>
      </c>
      <c r="G225" s="88" t="str">
        <f t="shared" si="110"/>
        <v>#REF!</v>
      </c>
    </row>
    <row r="226" ht="18.75" hidden="1" customHeight="1">
      <c r="A226" s="336" t="s">
        <v>970</v>
      </c>
      <c r="B226" s="162"/>
      <c r="C226" s="61"/>
      <c r="D226" s="63" t="str">
        <f t="shared" si="108"/>
        <v>#REF!</v>
      </c>
      <c r="E226" s="83" t="str">
        <f>HOOKA!E43+HOOKA!E44</f>
        <v>#REF!</v>
      </c>
      <c r="F226" s="85" t="str">
        <f t="shared" si="109"/>
        <v>#REF!</v>
      </c>
      <c r="G226" s="88" t="str">
        <f t="shared" si="110"/>
        <v>#REF!</v>
      </c>
    </row>
    <row r="227" ht="18.75" hidden="1" customHeight="1">
      <c r="A227" s="336" t="s">
        <v>971</v>
      </c>
      <c r="B227" s="162"/>
      <c r="C227" s="61"/>
      <c r="D227" s="63" t="str">
        <f t="shared" si="108"/>
        <v>#REF!</v>
      </c>
      <c r="E227" s="83" t="str">
        <f>HOOKA!E44+HOOKA!E45</f>
        <v>#REF!</v>
      </c>
      <c r="F227" s="85" t="str">
        <f t="shared" si="109"/>
        <v>#REF!</v>
      </c>
      <c r="G227" s="88" t="str">
        <f t="shared" si="110"/>
        <v>#REF!</v>
      </c>
    </row>
    <row r="228" ht="18.75" customHeight="1">
      <c r="A228" s="249" t="s">
        <v>973</v>
      </c>
      <c r="C228" s="61"/>
      <c r="D228" s="63"/>
    </row>
    <row r="229" ht="18.75" customHeight="1">
      <c r="A229" s="364" t="s">
        <v>974</v>
      </c>
      <c r="B229" s="55"/>
      <c r="C229" s="61">
        <f t="shared" ref="C229:C237" si="111">B229/90000</f>
        <v>0</v>
      </c>
      <c r="D229" s="63" t="str">
        <f t="shared" ref="D229:D237" si="112">E229/$A$2</f>
        <v>#REF!</v>
      </c>
      <c r="E229" s="83" t="str">
        <f>'KIDS MENU'!C9</f>
        <v>#REF!</v>
      </c>
      <c r="F229" s="85" t="str">
        <f t="shared" ref="F229:F237" si="113">IF(E229="","",IF(ISBLANK(C229),"",E229/C229))</f>
        <v>#REF!</v>
      </c>
      <c r="G229" s="88" t="str">
        <f t="shared" ref="G229:G237" si="114">C229-E229</f>
        <v>#REF!</v>
      </c>
      <c r="H229" s="61">
        <f t="shared" ref="H229:H237" si="115">(C229*$H$4)+C229</f>
        <v>0</v>
      </c>
      <c r="I229" s="61" t="str">
        <f t="shared" ref="I229:I237" si="116">E229</f>
        <v>#REF!</v>
      </c>
      <c r="J229" s="61" t="str">
        <f t="shared" ref="J229:J237" si="117">H229-I229</f>
        <v>#REF!</v>
      </c>
      <c r="K229" s="71" t="str">
        <f t="shared" ref="K229:K237" si="118">I229/H229</f>
        <v>#REF!</v>
      </c>
    </row>
    <row r="230" ht="18.75" customHeight="1">
      <c r="A230" s="369" t="s">
        <v>120</v>
      </c>
      <c r="B230" s="55"/>
      <c r="C230" s="61">
        <f t="shared" si="111"/>
        <v>0</v>
      </c>
      <c r="D230" s="63" t="str">
        <f t="shared" si="112"/>
        <v>#REF!</v>
      </c>
      <c r="E230" s="83" t="str">
        <f>E17/2</f>
        <v>#REF!</v>
      </c>
      <c r="F230" s="85" t="str">
        <f t="shared" si="113"/>
        <v>#REF!</v>
      </c>
      <c r="G230" s="88" t="str">
        <f t="shared" si="114"/>
        <v>#REF!</v>
      </c>
      <c r="H230" s="61">
        <f t="shared" si="115"/>
        <v>0</v>
      </c>
      <c r="I230" s="61" t="str">
        <f t="shared" si="116"/>
        <v>#REF!</v>
      </c>
      <c r="J230" s="61" t="str">
        <f t="shared" si="117"/>
        <v>#REF!</v>
      </c>
      <c r="K230" s="71" t="str">
        <f t="shared" si="118"/>
        <v>#REF!</v>
      </c>
    </row>
    <row r="231" ht="18.75" customHeight="1">
      <c r="A231" s="369" t="s">
        <v>976</v>
      </c>
      <c r="B231" s="55"/>
      <c r="C231" s="61">
        <f t="shared" si="111"/>
        <v>0</v>
      </c>
      <c r="D231" s="63" t="str">
        <f t="shared" si="112"/>
        <v>#REF!</v>
      </c>
      <c r="E231" s="83" t="str">
        <f>'KIDS MENU'!C54</f>
        <v>#REF!</v>
      </c>
      <c r="F231" s="85" t="str">
        <f t="shared" si="113"/>
        <v>#REF!</v>
      </c>
      <c r="G231" s="88" t="str">
        <f t="shared" si="114"/>
        <v>#REF!</v>
      </c>
      <c r="H231" s="61">
        <f t="shared" si="115"/>
        <v>0</v>
      </c>
      <c r="I231" s="61" t="str">
        <f t="shared" si="116"/>
        <v>#REF!</v>
      </c>
      <c r="J231" s="61" t="str">
        <f t="shared" si="117"/>
        <v>#REF!</v>
      </c>
      <c r="K231" s="71" t="str">
        <f t="shared" si="118"/>
        <v>#REF!</v>
      </c>
    </row>
    <row r="232" ht="18.75" customHeight="1">
      <c r="A232" s="369" t="s">
        <v>977</v>
      </c>
      <c r="B232" s="55"/>
      <c r="C232" s="61">
        <f t="shared" si="111"/>
        <v>0</v>
      </c>
      <c r="D232" s="63" t="str">
        <f t="shared" si="112"/>
        <v>#REF!</v>
      </c>
      <c r="E232" s="83" t="str">
        <f>'KIDS MENU'!J54</f>
        <v>#REF!</v>
      </c>
      <c r="F232" s="85" t="str">
        <f t="shared" si="113"/>
        <v>#REF!</v>
      </c>
      <c r="G232" s="88" t="str">
        <f t="shared" si="114"/>
        <v>#REF!</v>
      </c>
      <c r="H232" s="61">
        <f t="shared" si="115"/>
        <v>0</v>
      </c>
      <c r="I232" s="61" t="str">
        <f t="shared" si="116"/>
        <v>#REF!</v>
      </c>
      <c r="J232" s="61" t="str">
        <f t="shared" si="117"/>
        <v>#REF!</v>
      </c>
      <c r="K232" s="71" t="str">
        <f t="shared" si="118"/>
        <v>#REF!</v>
      </c>
    </row>
    <row r="233" ht="18.75" customHeight="1">
      <c r="A233" s="369" t="s">
        <v>978</v>
      </c>
      <c r="B233" s="55"/>
      <c r="C233" s="61">
        <f t="shared" si="111"/>
        <v>0</v>
      </c>
      <c r="D233" s="63" t="str">
        <f t="shared" si="112"/>
        <v>#REF!</v>
      </c>
      <c r="E233" s="83" t="str">
        <f>'KIDS MENU'!C99</f>
        <v>#REF!</v>
      </c>
      <c r="F233" s="85" t="str">
        <f t="shared" si="113"/>
        <v>#REF!</v>
      </c>
      <c r="G233" s="88" t="str">
        <f t="shared" si="114"/>
        <v>#REF!</v>
      </c>
      <c r="H233" s="61">
        <f t="shared" si="115"/>
        <v>0</v>
      </c>
      <c r="I233" s="61" t="str">
        <f t="shared" si="116"/>
        <v>#REF!</v>
      </c>
      <c r="J233" s="61" t="str">
        <f t="shared" si="117"/>
        <v>#REF!</v>
      </c>
      <c r="K233" s="71" t="str">
        <f t="shared" si="118"/>
        <v>#REF!</v>
      </c>
    </row>
    <row r="234" ht="18.75" customHeight="1">
      <c r="A234" s="369" t="s">
        <v>979</v>
      </c>
      <c r="B234" s="55"/>
      <c r="C234" s="61">
        <f t="shared" si="111"/>
        <v>0</v>
      </c>
      <c r="D234" s="63" t="str">
        <f t="shared" si="112"/>
        <v>#REF!</v>
      </c>
      <c r="E234" s="209" t="str">
        <f>'KIDS MENU'!C188</f>
        <v>#REF!</v>
      </c>
      <c r="F234" s="85" t="str">
        <f t="shared" si="113"/>
        <v>#REF!</v>
      </c>
      <c r="G234" s="88" t="str">
        <f t="shared" si="114"/>
        <v>#REF!</v>
      </c>
      <c r="H234" s="61">
        <f t="shared" si="115"/>
        <v>0</v>
      </c>
      <c r="I234" s="61" t="str">
        <f t="shared" si="116"/>
        <v>#REF!</v>
      </c>
      <c r="J234" s="61" t="str">
        <f t="shared" si="117"/>
        <v>#REF!</v>
      </c>
      <c r="K234" s="71" t="str">
        <f t="shared" si="118"/>
        <v>#REF!</v>
      </c>
    </row>
    <row r="235" ht="18.75" customHeight="1">
      <c r="A235" s="369" t="s">
        <v>980</v>
      </c>
      <c r="B235" s="55"/>
      <c r="C235" s="61">
        <f t="shared" si="111"/>
        <v>0</v>
      </c>
      <c r="D235" s="63" t="str">
        <f t="shared" si="112"/>
        <v>#REF!</v>
      </c>
      <c r="E235" s="209" t="str">
        <f>'KIDS MENU'!C144</f>
        <v>#REF!</v>
      </c>
      <c r="F235" s="85" t="str">
        <f t="shared" si="113"/>
        <v>#REF!</v>
      </c>
      <c r="G235" s="88" t="str">
        <f t="shared" si="114"/>
        <v>#REF!</v>
      </c>
      <c r="H235" s="61">
        <f t="shared" si="115"/>
        <v>0</v>
      </c>
      <c r="I235" s="61" t="str">
        <f t="shared" si="116"/>
        <v>#REF!</v>
      </c>
      <c r="J235" s="61" t="str">
        <f t="shared" si="117"/>
        <v>#REF!</v>
      </c>
      <c r="K235" s="71" t="str">
        <f t="shared" si="118"/>
        <v>#REF!</v>
      </c>
    </row>
    <row r="236" ht="18.75" customHeight="1">
      <c r="A236" s="369" t="s">
        <v>982</v>
      </c>
      <c r="B236" s="55"/>
      <c r="C236" s="61">
        <f t="shared" si="111"/>
        <v>0</v>
      </c>
      <c r="D236" s="63" t="str">
        <f t="shared" si="112"/>
        <v>#REF!</v>
      </c>
      <c r="E236" s="209" t="str">
        <f>'KIDS MENU'!J99</f>
        <v>#REF!</v>
      </c>
      <c r="F236" s="85" t="str">
        <f t="shared" si="113"/>
        <v>#REF!</v>
      </c>
      <c r="G236" s="88" t="str">
        <f t="shared" si="114"/>
        <v>#REF!</v>
      </c>
      <c r="H236" s="61">
        <f t="shared" si="115"/>
        <v>0</v>
      </c>
      <c r="I236" s="61" t="str">
        <f t="shared" si="116"/>
        <v>#REF!</v>
      </c>
      <c r="J236" s="61" t="str">
        <f t="shared" si="117"/>
        <v>#REF!</v>
      </c>
      <c r="K236" s="71" t="str">
        <f t="shared" si="118"/>
        <v>#REF!</v>
      </c>
    </row>
    <row r="237" ht="18.75" customHeight="1">
      <c r="A237" s="369" t="s">
        <v>986</v>
      </c>
      <c r="B237" s="55"/>
      <c r="C237" s="61">
        <f t="shared" si="111"/>
        <v>0</v>
      </c>
      <c r="D237" s="63" t="str">
        <f t="shared" si="112"/>
        <v>#REF!</v>
      </c>
      <c r="E237" s="209" t="str">
        <f>'KIDS MENU'!J144</f>
        <v>#REF!</v>
      </c>
      <c r="F237" s="85" t="str">
        <f t="shared" si="113"/>
        <v>#REF!</v>
      </c>
      <c r="G237" s="88" t="str">
        <f t="shared" si="114"/>
        <v>#REF!</v>
      </c>
      <c r="H237" s="61">
        <f t="shared" si="115"/>
        <v>0</v>
      </c>
      <c r="I237" s="61" t="str">
        <f t="shared" si="116"/>
        <v>#REF!</v>
      </c>
      <c r="J237" s="61" t="str">
        <f t="shared" si="117"/>
        <v>#REF!</v>
      </c>
      <c r="K237" s="71" t="str">
        <f t="shared" si="118"/>
        <v>#REF!</v>
      </c>
    </row>
    <row r="238" ht="15.75" customHeight="1"/>
    <row r="239" ht="15.75" customHeight="1"/>
    <row r="240" ht="15.75" customHeight="1">
      <c r="H240" s="380"/>
      <c r="I240" s="381"/>
    </row>
    <row r="241" ht="15.75" customHeight="1"/>
    <row r="242" ht="15.75" customHeight="1">
      <c r="A242" s="165" t="s">
        <v>988</v>
      </c>
      <c r="B242" s="165">
        <v>6.5</v>
      </c>
      <c r="C242" s="61">
        <f t="shared" ref="C242:C245" si="119">B242*90000</f>
        <v>585000</v>
      </c>
    </row>
    <row r="243" ht="15.75" customHeight="1">
      <c r="A243" s="165" t="s">
        <v>990</v>
      </c>
      <c r="B243" s="165">
        <v>7.0</v>
      </c>
      <c r="C243" s="61">
        <f t="shared" si="119"/>
        <v>630000</v>
      </c>
    </row>
    <row r="244" ht="15.75" customHeight="1">
      <c r="A244" s="165" t="s">
        <v>991</v>
      </c>
      <c r="B244" s="165">
        <v>7.0</v>
      </c>
      <c r="C244" s="61">
        <f t="shared" si="119"/>
        <v>630000</v>
      </c>
    </row>
    <row r="245" ht="15.75" customHeight="1">
      <c r="A245" s="165" t="s">
        <v>992</v>
      </c>
      <c r="B245" s="165">
        <v>8.0</v>
      </c>
      <c r="C245" s="61">
        <f t="shared" si="119"/>
        <v>720000</v>
      </c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</sheetData>
  <mergeCells count="1">
    <mergeCell ref="H4:K4"/>
  </mergeCells>
  <conditionalFormatting sqref="F5:F27">
    <cfRule type="cellIs" dxfId="2" priority="1" operator="greaterThan">
      <formula>0.4</formula>
    </cfRule>
  </conditionalFormatting>
  <conditionalFormatting sqref="F30:F45 F72:F80 F83:F101 F105:F117 F121:F133">
    <cfRule type="cellIs" dxfId="0" priority="2" operator="greaterThan">
      <formula>0.4</formula>
    </cfRule>
  </conditionalFormatting>
  <conditionalFormatting sqref="F48:F57">
    <cfRule type="cellIs" dxfId="0" priority="3" operator="greaterThan">
      <formula>0.4</formula>
    </cfRule>
  </conditionalFormatting>
  <conditionalFormatting sqref="F60:F69">
    <cfRule type="cellIs" dxfId="0" priority="4" operator="greaterThan">
      <formula>0.4</formula>
    </cfRule>
  </conditionalFormatting>
  <conditionalFormatting sqref="F83:F89 F91:F101">
    <cfRule type="cellIs" dxfId="0" priority="5" operator="greaterThan">
      <formula>40</formula>
    </cfRule>
  </conditionalFormatting>
  <conditionalFormatting sqref="F83:F89 F91:F101">
    <cfRule type="cellIs" dxfId="0" priority="6" operator="greaterThan">
      <formula>50</formula>
    </cfRule>
  </conditionalFormatting>
  <conditionalFormatting sqref="F137:F154">
    <cfRule type="cellIs" dxfId="0" priority="7" operator="greaterThan">
      <formula>0.4</formula>
    </cfRule>
  </conditionalFormatting>
  <conditionalFormatting sqref="F157:F173">
    <cfRule type="cellIs" dxfId="0" priority="8" operator="greaterThan">
      <formula>0.4</formula>
    </cfRule>
  </conditionalFormatting>
  <conditionalFormatting sqref="F177:F196">
    <cfRule type="cellIs" dxfId="0" priority="9" operator="greaterThan">
      <formula>0.4</formula>
    </cfRule>
  </conditionalFormatting>
  <conditionalFormatting sqref="F199:F202 F205:F227 F229:F237">
    <cfRule type="cellIs" dxfId="0" priority="10" operator="greaterThan">
      <formula>0.4</formula>
    </cfRule>
  </conditionalFormatting>
  <conditionalFormatting sqref="K5:K27 K30:K45 K48:K57 K60:K69 K72:K80 K83:K101 K105:K117 K121:K133 K137:K154 K157:K174 K177:K196 K199:K202 K229:K237">
    <cfRule type="cellIs" dxfId="2" priority="11" operator="greaterThan">
      <formula>0.25</formula>
    </cfRule>
  </conditionalFormatting>
  <conditionalFormatting sqref="K177:K196">
    <cfRule type="cellIs" dxfId="2" priority="12" operator="greaterThan">
      <formula>0.25</formula>
    </cfRule>
  </conditionalFormatting>
  <conditionalFormatting sqref="K199:K202 K229:K237">
    <cfRule type="cellIs" dxfId="2" priority="13" operator="greaterThan">
      <formula>0.25</formula>
    </cfRule>
  </conditionalFormatting>
  <printOptions/>
  <pageMargins bottom="0.75" footer="0.0" header="0.0" left="0.25" right="0.25" top="0.7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75"/>
    <col customWidth="1" min="2" max="2" width="35.63"/>
    <col customWidth="1" min="3" max="3" width="10.38"/>
    <col customWidth="1" min="4" max="4" width="20.38"/>
    <col customWidth="1" min="5" max="5" width="14.13"/>
    <col customWidth="1" min="6" max="6" width="14.63"/>
    <col customWidth="1" min="7" max="7" width="16.88"/>
    <col customWidth="1" min="8" max="8" width="18.0"/>
    <col customWidth="1" min="9" max="9" width="19.25"/>
    <col customWidth="1" hidden="1" min="10" max="10" width="22.25"/>
    <col customWidth="1" hidden="1" min="11" max="11" width="11.63"/>
    <col customWidth="1" hidden="1" min="12" max="12" width="15.38"/>
    <col customWidth="1" hidden="1" min="13" max="13" width="13.38"/>
    <col customWidth="1" hidden="1" min="14" max="14" width="15.38"/>
    <col customWidth="1" hidden="1" min="15" max="15" width="22.25"/>
    <col customWidth="1" min="16" max="24" width="14.38"/>
  </cols>
  <sheetData>
    <row r="1">
      <c r="A1" s="1"/>
      <c r="B1" s="2" t="s">
        <v>1</v>
      </c>
      <c r="C1" s="2" t="s">
        <v>2</v>
      </c>
      <c r="D1" s="2" t="s">
        <v>3</v>
      </c>
      <c r="E1" s="5" t="s">
        <v>4</v>
      </c>
      <c r="F1" s="5" t="s">
        <v>5</v>
      </c>
      <c r="G1" s="2" t="s">
        <v>6</v>
      </c>
      <c r="H1" s="7" t="s">
        <v>7</v>
      </c>
      <c r="I1" s="2" t="s">
        <v>8</v>
      </c>
      <c r="J1" s="8"/>
      <c r="K1" s="9"/>
      <c r="L1" s="8"/>
      <c r="M1" s="8"/>
      <c r="N1" s="10"/>
      <c r="O1" s="11"/>
    </row>
    <row r="2">
      <c r="A2" s="1"/>
      <c r="B2" s="12" t="s">
        <v>9</v>
      </c>
      <c r="C2" s="13"/>
      <c r="D2" s="14"/>
      <c r="E2" s="16"/>
      <c r="F2" s="17"/>
      <c r="G2" s="16"/>
      <c r="H2" s="19" t="s">
        <v>12</v>
      </c>
      <c r="I2" s="21"/>
      <c r="J2" s="8"/>
      <c r="K2" s="9"/>
      <c r="L2" s="8"/>
      <c r="M2" s="8"/>
      <c r="N2" s="10"/>
      <c r="O2" s="11"/>
    </row>
    <row r="3">
      <c r="A3" s="1"/>
      <c r="B3" s="23" t="s">
        <v>13</v>
      </c>
      <c r="C3" s="13"/>
      <c r="D3" s="16"/>
      <c r="E3" s="24"/>
      <c r="F3" s="25"/>
      <c r="G3" s="19"/>
      <c r="H3" s="19"/>
      <c r="I3" s="21"/>
      <c r="J3" s="8"/>
      <c r="K3" s="9"/>
      <c r="L3" s="8"/>
      <c r="M3" s="8"/>
      <c r="N3" s="10"/>
      <c r="O3" s="11"/>
    </row>
    <row r="4">
      <c r="A4" s="1"/>
      <c r="B4" s="28" t="s">
        <v>15</v>
      </c>
      <c r="C4" s="30" t="s">
        <v>16</v>
      </c>
      <c r="D4" s="31"/>
      <c r="E4" s="33">
        <v>0.97</v>
      </c>
      <c r="F4" s="37">
        <f t="shared" ref="F4:F318" si="1">E4*9000</f>
        <v>8730</v>
      </c>
      <c r="G4" s="41">
        <f t="shared" ref="G4:G30" si="2">D4*F4</f>
        <v>0</v>
      </c>
      <c r="H4" s="43" t="s">
        <v>23</v>
      </c>
      <c r="I4" s="45" t="s">
        <v>23</v>
      </c>
      <c r="J4" s="8"/>
      <c r="K4" s="9"/>
      <c r="L4" s="8"/>
      <c r="M4" s="8"/>
      <c r="N4" s="10"/>
      <c r="O4" s="11"/>
    </row>
    <row r="5">
      <c r="A5" s="1"/>
      <c r="B5" s="47" t="s">
        <v>28</v>
      </c>
      <c r="C5" s="30" t="s">
        <v>30</v>
      </c>
      <c r="D5" s="50"/>
      <c r="E5" s="33">
        <v>25.22</v>
      </c>
      <c r="F5" s="37">
        <f t="shared" si="1"/>
        <v>226980</v>
      </c>
      <c r="G5" s="41">
        <f t="shared" si="2"/>
        <v>0</v>
      </c>
      <c r="H5" s="43" t="s">
        <v>32</v>
      </c>
      <c r="I5" s="45" t="s">
        <v>32</v>
      </c>
      <c r="J5" s="8"/>
      <c r="K5" s="9"/>
      <c r="L5" s="8"/>
      <c r="M5" s="8"/>
      <c r="N5" s="10"/>
      <c r="O5" s="11"/>
    </row>
    <row r="6">
      <c r="A6" s="1"/>
      <c r="B6" s="47" t="s">
        <v>34</v>
      </c>
      <c r="C6" s="30" t="s">
        <v>30</v>
      </c>
      <c r="D6" s="57"/>
      <c r="E6" s="62">
        <f>27.93*1.1</f>
        <v>30.723</v>
      </c>
      <c r="F6" s="37">
        <f t="shared" si="1"/>
        <v>276507</v>
      </c>
      <c r="G6" s="41">
        <f t="shared" si="2"/>
        <v>0</v>
      </c>
      <c r="H6" s="43" t="s">
        <v>32</v>
      </c>
      <c r="I6" s="45" t="s">
        <v>32</v>
      </c>
      <c r="J6" s="8"/>
      <c r="K6" s="9"/>
      <c r="L6" s="8"/>
      <c r="M6" s="8"/>
      <c r="N6" s="10"/>
      <c r="O6" s="11"/>
    </row>
    <row r="7" ht="15.75" customHeight="1">
      <c r="A7" s="1"/>
      <c r="B7" s="64" t="s">
        <v>41</v>
      </c>
      <c r="C7" s="30" t="s">
        <v>16</v>
      </c>
      <c r="D7" s="57"/>
      <c r="E7" s="62">
        <v>2.0</v>
      </c>
      <c r="F7" s="37">
        <f t="shared" si="1"/>
        <v>18000</v>
      </c>
      <c r="G7" s="41">
        <f t="shared" si="2"/>
        <v>0</v>
      </c>
      <c r="H7" s="43" t="s">
        <v>43</v>
      </c>
      <c r="I7" s="66"/>
      <c r="J7" s="8"/>
      <c r="K7" s="9"/>
      <c r="L7" s="8"/>
      <c r="M7" s="8"/>
      <c r="N7" s="10"/>
      <c r="O7" s="11"/>
    </row>
    <row r="8" ht="15.75" customHeight="1">
      <c r="A8" s="1"/>
      <c r="B8" s="69" t="s">
        <v>46</v>
      </c>
      <c r="C8" s="30" t="s">
        <v>47</v>
      </c>
      <c r="D8" s="57"/>
      <c r="E8" s="62">
        <f>4.5*1.1</f>
        <v>4.95</v>
      </c>
      <c r="F8" s="37">
        <f t="shared" si="1"/>
        <v>44550</v>
      </c>
      <c r="G8" s="41">
        <f t="shared" si="2"/>
        <v>0</v>
      </c>
      <c r="H8" s="43" t="s">
        <v>48</v>
      </c>
      <c r="I8" s="66"/>
      <c r="J8" s="8"/>
      <c r="K8" s="9"/>
      <c r="L8" s="8"/>
      <c r="M8" s="8"/>
      <c r="N8" s="10"/>
      <c r="O8" s="11"/>
    </row>
    <row r="9" ht="15.75" customHeight="1">
      <c r="A9" s="1"/>
      <c r="B9" s="64" t="s">
        <v>49</v>
      </c>
      <c r="C9" s="30" t="s">
        <v>14</v>
      </c>
      <c r="D9" s="31"/>
      <c r="E9" s="33">
        <v>2.22</v>
      </c>
      <c r="F9" s="37">
        <f t="shared" si="1"/>
        <v>19980</v>
      </c>
      <c r="G9" s="41">
        <f t="shared" si="2"/>
        <v>0</v>
      </c>
      <c r="H9" s="43" t="s">
        <v>23</v>
      </c>
      <c r="I9" s="66" t="s">
        <v>23</v>
      </c>
      <c r="J9" s="8"/>
      <c r="K9" s="9"/>
      <c r="L9" s="8"/>
      <c r="M9" s="8"/>
      <c r="N9" s="10"/>
      <c r="O9" s="11"/>
    </row>
    <row r="10" ht="15.75" customHeight="1">
      <c r="A10" s="1"/>
      <c r="B10" s="28" t="s">
        <v>52</v>
      </c>
      <c r="C10" s="30" t="s">
        <v>47</v>
      </c>
      <c r="D10" s="31"/>
      <c r="E10" s="62">
        <f>(31.18*1.1)/(54/6)</f>
        <v>3.810888889</v>
      </c>
      <c r="F10" s="37">
        <f t="shared" si="1"/>
        <v>34298</v>
      </c>
      <c r="G10" s="41">
        <f t="shared" si="2"/>
        <v>0</v>
      </c>
      <c r="H10" s="43" t="s">
        <v>32</v>
      </c>
      <c r="I10" s="45" t="s">
        <v>32</v>
      </c>
      <c r="J10" s="8"/>
      <c r="K10" s="9"/>
      <c r="L10" s="8"/>
      <c r="M10" s="8"/>
      <c r="N10" s="10"/>
      <c r="O10" s="11"/>
    </row>
    <row r="11" ht="15.75" customHeight="1">
      <c r="A11" s="1"/>
      <c r="B11" s="47" t="s">
        <v>55</v>
      </c>
      <c r="C11" s="80" t="s">
        <v>30</v>
      </c>
      <c r="D11" s="31"/>
      <c r="E11" s="33">
        <f>27.45*1.1</f>
        <v>30.195</v>
      </c>
      <c r="F11" s="37">
        <f t="shared" si="1"/>
        <v>271755</v>
      </c>
      <c r="G11" s="41">
        <f t="shared" si="2"/>
        <v>0</v>
      </c>
      <c r="H11" s="43" t="s">
        <v>32</v>
      </c>
      <c r="I11" s="45" t="s">
        <v>32</v>
      </c>
      <c r="J11" s="8"/>
      <c r="K11" s="9"/>
      <c r="L11" s="8"/>
      <c r="M11" s="8"/>
      <c r="N11" s="10"/>
      <c r="O11" s="11"/>
    </row>
    <row r="12" ht="15.75" customHeight="1">
      <c r="A12" s="1"/>
      <c r="B12" s="47" t="s">
        <v>61</v>
      </c>
      <c r="C12" s="80" t="s">
        <v>30</v>
      </c>
      <c r="D12" s="31"/>
      <c r="E12" s="33">
        <f>31.67*1.1</f>
        <v>34.837</v>
      </c>
      <c r="F12" s="37">
        <f t="shared" si="1"/>
        <v>313533</v>
      </c>
      <c r="G12" s="41">
        <f t="shared" si="2"/>
        <v>0</v>
      </c>
      <c r="H12" s="43" t="s">
        <v>32</v>
      </c>
      <c r="I12" s="45" t="s">
        <v>32</v>
      </c>
      <c r="J12" s="8"/>
      <c r="K12" s="9"/>
      <c r="L12" s="8"/>
      <c r="M12" s="8"/>
      <c r="N12" s="10"/>
      <c r="O12" s="11"/>
    </row>
    <row r="13" ht="15.75" customHeight="1">
      <c r="A13" s="1"/>
      <c r="B13" s="86" t="s">
        <v>63</v>
      </c>
      <c r="C13" s="30" t="s">
        <v>47</v>
      </c>
      <c r="D13" s="31"/>
      <c r="E13" s="33">
        <v>3.7</v>
      </c>
      <c r="F13" s="37">
        <f t="shared" si="1"/>
        <v>33300</v>
      </c>
      <c r="G13" s="41">
        <f t="shared" si="2"/>
        <v>0</v>
      </c>
      <c r="H13" s="43" t="s">
        <v>32</v>
      </c>
      <c r="I13" s="45" t="s">
        <v>32</v>
      </c>
      <c r="J13" s="8"/>
      <c r="K13" s="9"/>
      <c r="L13" s="8"/>
      <c r="M13" s="8"/>
      <c r="N13" s="10"/>
      <c r="O13" s="11"/>
    </row>
    <row r="14" ht="15.75" customHeight="1">
      <c r="A14" s="1"/>
      <c r="B14" s="86" t="s">
        <v>65</v>
      </c>
      <c r="C14" s="30" t="s">
        <v>47</v>
      </c>
      <c r="D14" s="31"/>
      <c r="E14" s="62">
        <f>2.11*1.1</f>
        <v>2.321</v>
      </c>
      <c r="F14" s="37">
        <f t="shared" si="1"/>
        <v>20889</v>
      </c>
      <c r="G14" s="41">
        <f t="shared" si="2"/>
        <v>0</v>
      </c>
      <c r="H14" s="43" t="s">
        <v>32</v>
      </c>
      <c r="I14" s="45" t="s">
        <v>32</v>
      </c>
      <c r="J14" s="8"/>
      <c r="K14" s="9"/>
      <c r="L14" s="8"/>
      <c r="M14" s="8"/>
      <c r="N14" s="10"/>
      <c r="O14" s="11"/>
    </row>
    <row r="15" ht="15.75" customHeight="1">
      <c r="A15" s="1"/>
      <c r="B15" s="28" t="s">
        <v>68</v>
      </c>
      <c r="C15" s="30" t="s">
        <v>69</v>
      </c>
      <c r="D15" s="31"/>
      <c r="E15" s="62">
        <f>1.1*21.4</f>
        <v>23.54</v>
      </c>
      <c r="F15" s="37">
        <f t="shared" si="1"/>
        <v>211860</v>
      </c>
      <c r="G15" s="92">
        <f t="shared" si="2"/>
        <v>0</v>
      </c>
      <c r="H15" s="43" t="s">
        <v>32</v>
      </c>
      <c r="I15" s="45" t="s">
        <v>32</v>
      </c>
      <c r="J15" s="8"/>
      <c r="K15" s="9"/>
      <c r="L15" s="8"/>
      <c r="M15" s="8"/>
      <c r="N15" s="10"/>
      <c r="O15" s="11"/>
    </row>
    <row r="16" ht="15.75" customHeight="1">
      <c r="A16" s="1"/>
      <c r="B16" s="28" t="s">
        <v>71</v>
      </c>
      <c r="C16" s="30" t="s">
        <v>69</v>
      </c>
      <c r="D16" s="31"/>
      <c r="E16" s="33">
        <v>53.0</v>
      </c>
      <c r="F16" s="37">
        <f t="shared" si="1"/>
        <v>477000</v>
      </c>
      <c r="G16" s="92">
        <f t="shared" si="2"/>
        <v>0</v>
      </c>
      <c r="H16" s="43" t="s">
        <v>32</v>
      </c>
      <c r="I16" s="45" t="s">
        <v>32</v>
      </c>
      <c r="J16" s="8"/>
      <c r="K16" s="9"/>
      <c r="L16" s="8"/>
      <c r="M16" s="8"/>
      <c r="N16" s="10"/>
      <c r="O16" s="11"/>
    </row>
    <row r="17" ht="15.75" customHeight="1">
      <c r="A17" s="1"/>
      <c r="B17" s="28" t="s">
        <v>74</v>
      </c>
      <c r="C17" s="30" t="s">
        <v>47</v>
      </c>
      <c r="D17" s="57"/>
      <c r="E17" s="33">
        <v>29.42</v>
      </c>
      <c r="F17" s="37">
        <f t="shared" si="1"/>
        <v>264780</v>
      </c>
      <c r="G17" s="92">
        <f t="shared" si="2"/>
        <v>0</v>
      </c>
      <c r="H17" s="97" t="s">
        <v>75</v>
      </c>
      <c r="I17" s="45" t="s">
        <v>76</v>
      </c>
      <c r="J17" s="8"/>
      <c r="K17" s="9"/>
      <c r="L17" s="8"/>
      <c r="M17" s="8"/>
      <c r="N17" s="10"/>
      <c r="O17" s="11"/>
    </row>
    <row r="18" ht="15.75" customHeight="1">
      <c r="A18" s="1"/>
      <c r="B18" s="28" t="s">
        <v>77</v>
      </c>
      <c r="C18" s="30" t="s">
        <v>47</v>
      </c>
      <c r="D18" s="31"/>
      <c r="E18" s="33">
        <v>19.0</v>
      </c>
      <c r="F18" s="37">
        <f t="shared" si="1"/>
        <v>171000</v>
      </c>
      <c r="G18" s="92">
        <f t="shared" si="2"/>
        <v>0</v>
      </c>
      <c r="H18" s="100" t="s">
        <v>79</v>
      </c>
      <c r="I18" s="101" t="s">
        <v>81</v>
      </c>
      <c r="J18" s="8"/>
      <c r="K18" s="9"/>
      <c r="L18" s="8"/>
      <c r="M18" s="8"/>
      <c r="N18" s="10"/>
      <c r="O18" s="11"/>
    </row>
    <row r="19" ht="15.75" customHeight="1">
      <c r="A19" s="1"/>
      <c r="B19" s="86" t="s">
        <v>83</v>
      </c>
      <c r="C19" s="30" t="s">
        <v>47</v>
      </c>
      <c r="D19" s="31"/>
      <c r="E19" s="62">
        <v>22.0</v>
      </c>
      <c r="F19" s="37">
        <f t="shared" si="1"/>
        <v>198000</v>
      </c>
      <c r="G19" s="92">
        <f t="shared" si="2"/>
        <v>0</v>
      </c>
      <c r="H19" s="43" t="s">
        <v>87</v>
      </c>
      <c r="I19" s="45" t="s">
        <v>88</v>
      </c>
      <c r="J19" s="8"/>
      <c r="K19" s="9"/>
      <c r="L19" s="8"/>
      <c r="M19" s="8"/>
      <c r="N19" s="10"/>
      <c r="O19" s="11"/>
    </row>
    <row r="20" ht="15.75" customHeight="1">
      <c r="A20" s="1"/>
      <c r="B20" s="103" t="s">
        <v>89</v>
      </c>
      <c r="C20" s="80" t="s">
        <v>90</v>
      </c>
      <c r="D20" s="57"/>
      <c r="E20" s="33">
        <f>2.25*1.1</f>
        <v>2.475</v>
      </c>
      <c r="F20" s="37">
        <f t="shared" si="1"/>
        <v>22275</v>
      </c>
      <c r="G20" s="92">
        <f t="shared" si="2"/>
        <v>0</v>
      </c>
      <c r="H20" s="100" t="s">
        <v>93</v>
      </c>
      <c r="I20" s="45"/>
      <c r="J20" s="8"/>
      <c r="K20" s="9"/>
      <c r="L20" s="8"/>
      <c r="M20" s="8"/>
      <c r="N20" s="10"/>
      <c r="O20" s="11"/>
    </row>
    <row r="21" ht="15.75" customHeight="1">
      <c r="A21" s="1"/>
      <c r="B21" s="86" t="s">
        <v>94</v>
      </c>
      <c r="C21" s="30" t="s">
        <v>95</v>
      </c>
      <c r="D21" s="31"/>
      <c r="E21" s="62">
        <v>1.5</v>
      </c>
      <c r="F21" s="37">
        <f t="shared" si="1"/>
        <v>13500</v>
      </c>
      <c r="G21" s="92">
        <f t="shared" si="2"/>
        <v>0</v>
      </c>
      <c r="H21" s="43" t="s">
        <v>97</v>
      </c>
      <c r="I21" s="43" t="s">
        <v>97</v>
      </c>
      <c r="J21" s="8"/>
      <c r="K21" s="9"/>
      <c r="L21" s="8"/>
      <c r="M21" s="8"/>
      <c r="N21" s="10"/>
      <c r="O21" s="11"/>
    </row>
    <row r="22" ht="15.75" customHeight="1">
      <c r="A22" s="1"/>
      <c r="B22" s="28" t="s">
        <v>98</v>
      </c>
      <c r="C22" s="30" t="s">
        <v>99</v>
      </c>
      <c r="D22" s="31"/>
      <c r="E22" s="33">
        <f>(14.49/2)*1.1</f>
        <v>7.9695</v>
      </c>
      <c r="F22" s="37">
        <f t="shared" si="1"/>
        <v>71725.5</v>
      </c>
      <c r="G22" s="92">
        <f t="shared" si="2"/>
        <v>0</v>
      </c>
      <c r="H22" s="43" t="s">
        <v>32</v>
      </c>
      <c r="I22" s="45" t="s">
        <v>32</v>
      </c>
      <c r="J22" s="8"/>
      <c r="K22" s="9"/>
      <c r="L22" s="8"/>
      <c r="M22" s="8"/>
      <c r="N22" s="10"/>
      <c r="O22" s="11"/>
    </row>
    <row r="23" ht="15.75" customHeight="1">
      <c r="A23" s="1"/>
      <c r="B23" s="28" t="s">
        <v>100</v>
      </c>
      <c r="C23" s="30" t="s">
        <v>99</v>
      </c>
      <c r="D23" s="31"/>
      <c r="E23" s="33">
        <f>1.1*7.59</f>
        <v>8.349</v>
      </c>
      <c r="F23" s="37">
        <f t="shared" si="1"/>
        <v>75141</v>
      </c>
      <c r="G23" s="92">
        <f t="shared" si="2"/>
        <v>0</v>
      </c>
      <c r="H23" s="43" t="s">
        <v>32</v>
      </c>
      <c r="I23" s="45"/>
      <c r="J23" s="8"/>
      <c r="K23" s="9"/>
      <c r="L23" s="8"/>
      <c r="M23" s="8"/>
      <c r="N23" s="10"/>
      <c r="O23" s="11"/>
    </row>
    <row r="24" ht="15.75" customHeight="1">
      <c r="A24" s="1"/>
      <c r="B24" s="86" t="s">
        <v>104</v>
      </c>
      <c r="C24" s="30" t="s">
        <v>99</v>
      </c>
      <c r="D24" s="31"/>
      <c r="E24" s="62">
        <f>13.8*1.1</f>
        <v>15.18</v>
      </c>
      <c r="F24" s="37">
        <f t="shared" si="1"/>
        <v>136620</v>
      </c>
      <c r="G24" s="92">
        <f t="shared" si="2"/>
        <v>0</v>
      </c>
      <c r="H24" s="43" t="s">
        <v>32</v>
      </c>
      <c r="I24" s="45"/>
      <c r="J24" s="8"/>
      <c r="K24" s="9"/>
      <c r="L24" s="8"/>
      <c r="M24" s="8"/>
      <c r="N24" s="10"/>
      <c r="O24" s="11"/>
    </row>
    <row r="25" ht="15.75" customHeight="1">
      <c r="A25" s="1"/>
      <c r="B25" s="86" t="s">
        <v>106</v>
      </c>
      <c r="C25" s="30" t="s">
        <v>99</v>
      </c>
      <c r="D25" s="31"/>
      <c r="E25" s="62">
        <f>2.1*1.1</f>
        <v>2.31</v>
      </c>
      <c r="F25" s="37">
        <f t="shared" si="1"/>
        <v>20790</v>
      </c>
      <c r="G25" s="92">
        <f t="shared" si="2"/>
        <v>0</v>
      </c>
      <c r="H25" s="43" t="s">
        <v>32</v>
      </c>
      <c r="I25" s="45"/>
      <c r="J25" s="8"/>
      <c r="K25" s="9"/>
      <c r="L25" s="8"/>
      <c r="M25" s="8"/>
      <c r="N25" s="10"/>
      <c r="O25" s="11"/>
    </row>
    <row r="26" ht="15.75" customHeight="1">
      <c r="A26" s="1"/>
      <c r="B26" s="115" t="s">
        <v>109</v>
      </c>
      <c r="C26" s="80" t="s">
        <v>30</v>
      </c>
      <c r="D26" s="31"/>
      <c r="E26" s="33">
        <f>25*1.1</f>
        <v>27.5</v>
      </c>
      <c r="F26" s="37">
        <f t="shared" si="1"/>
        <v>247500</v>
      </c>
      <c r="G26" s="92">
        <f t="shared" si="2"/>
        <v>0</v>
      </c>
      <c r="H26" s="116" t="s">
        <v>110</v>
      </c>
      <c r="I26" s="101" t="s">
        <v>110</v>
      </c>
      <c r="J26" s="8"/>
      <c r="K26" s="9"/>
      <c r="L26" s="8"/>
      <c r="M26" s="8"/>
      <c r="N26" s="10"/>
      <c r="O26" s="11"/>
    </row>
    <row r="27" ht="15.75" customHeight="1">
      <c r="A27" s="1"/>
      <c r="B27" s="28" t="s">
        <v>111</v>
      </c>
      <c r="C27" s="30" t="s">
        <v>16</v>
      </c>
      <c r="D27" s="31"/>
      <c r="E27" s="33">
        <v>3.3</v>
      </c>
      <c r="F27" s="37">
        <f t="shared" si="1"/>
        <v>29700</v>
      </c>
      <c r="G27" s="92">
        <f t="shared" si="2"/>
        <v>0</v>
      </c>
      <c r="H27" s="43" t="s">
        <v>32</v>
      </c>
      <c r="I27" s="45" t="s">
        <v>32</v>
      </c>
      <c r="J27" s="8"/>
      <c r="K27" s="9"/>
      <c r="L27" s="8"/>
      <c r="M27" s="8"/>
      <c r="N27" s="10"/>
      <c r="O27" s="11"/>
    </row>
    <row r="28" ht="15.75" customHeight="1">
      <c r="A28" s="1"/>
      <c r="B28" s="118" t="s">
        <v>113</v>
      </c>
      <c r="C28" s="30" t="s">
        <v>69</v>
      </c>
      <c r="D28" s="57"/>
      <c r="E28" s="33">
        <v>65.0</v>
      </c>
      <c r="F28" s="37">
        <f t="shared" si="1"/>
        <v>585000</v>
      </c>
      <c r="G28" s="92">
        <f t="shared" si="2"/>
        <v>0</v>
      </c>
      <c r="H28" s="120" t="s">
        <v>115</v>
      </c>
      <c r="I28" s="120" t="s">
        <v>115</v>
      </c>
      <c r="J28" s="8"/>
      <c r="K28" s="9"/>
      <c r="L28" s="8"/>
      <c r="M28" s="8"/>
      <c r="N28" s="10"/>
      <c r="O28" s="11"/>
    </row>
    <row r="29" ht="15.75" customHeight="1">
      <c r="A29" s="1"/>
      <c r="B29" s="118" t="s">
        <v>118</v>
      </c>
      <c r="C29" s="30" t="s">
        <v>69</v>
      </c>
      <c r="D29" s="31"/>
      <c r="E29" s="33">
        <v>65.0</v>
      </c>
      <c r="F29" s="37">
        <f t="shared" si="1"/>
        <v>585000</v>
      </c>
      <c r="G29" s="92">
        <f t="shared" si="2"/>
        <v>0</v>
      </c>
      <c r="H29" s="120" t="s">
        <v>115</v>
      </c>
      <c r="I29" s="120" t="s">
        <v>115</v>
      </c>
      <c r="J29" s="8"/>
      <c r="K29" s="9"/>
      <c r="L29" s="8"/>
      <c r="M29" s="8"/>
      <c r="N29" s="10"/>
      <c r="O29" s="11"/>
    </row>
    <row r="30" ht="15.75" customHeight="1">
      <c r="A30" s="1"/>
      <c r="B30" s="28" t="s">
        <v>119</v>
      </c>
      <c r="C30" s="30" t="s">
        <v>69</v>
      </c>
      <c r="D30" s="31"/>
      <c r="E30" s="33">
        <v>60.0</v>
      </c>
      <c r="F30" s="37">
        <f t="shared" si="1"/>
        <v>540000</v>
      </c>
      <c r="G30" s="92">
        <f t="shared" si="2"/>
        <v>0</v>
      </c>
      <c r="H30" s="120" t="s">
        <v>115</v>
      </c>
      <c r="I30" s="66" t="s">
        <v>115</v>
      </c>
      <c r="J30" s="8"/>
      <c r="K30" s="9"/>
      <c r="L30" s="8"/>
      <c r="M30" s="8"/>
      <c r="N30" s="10"/>
      <c r="O30" s="11"/>
    </row>
    <row r="31" ht="15.75" customHeight="1">
      <c r="A31" s="1"/>
      <c r="B31" s="23" t="s">
        <v>121</v>
      </c>
      <c r="C31" s="121"/>
      <c r="D31" s="122"/>
      <c r="E31" s="123"/>
      <c r="F31" s="37">
        <f t="shared" si="1"/>
        <v>0</v>
      </c>
      <c r="G31" s="124"/>
      <c r="H31" s="127"/>
      <c r="I31" s="128"/>
      <c r="J31" s="8"/>
      <c r="K31" s="9"/>
      <c r="L31" s="8"/>
      <c r="M31" s="8"/>
      <c r="N31" s="10"/>
      <c r="O31" s="11"/>
    </row>
    <row r="32" ht="15.75" customHeight="1">
      <c r="A32" s="1"/>
      <c r="B32" s="28" t="s">
        <v>126</v>
      </c>
      <c r="C32" s="129" t="s">
        <v>90</v>
      </c>
      <c r="D32" s="31"/>
      <c r="E32" s="62">
        <f>3.75*1.1</f>
        <v>4.125</v>
      </c>
      <c r="F32" s="37">
        <f t="shared" si="1"/>
        <v>37125</v>
      </c>
      <c r="G32" s="41">
        <f t="shared" ref="G32:G66" si="3">F32*D32</f>
        <v>0</v>
      </c>
      <c r="H32" s="43" t="s">
        <v>129</v>
      </c>
      <c r="I32" s="66" t="s">
        <v>130</v>
      </c>
      <c r="J32" s="8"/>
      <c r="K32" s="9"/>
      <c r="L32" s="8"/>
      <c r="M32" s="8"/>
      <c r="N32" s="10"/>
      <c r="O32" s="11"/>
    </row>
    <row r="33" ht="15.75" customHeight="1">
      <c r="A33" s="1"/>
      <c r="B33" s="86" t="s">
        <v>131</v>
      </c>
      <c r="C33" s="30" t="s">
        <v>90</v>
      </c>
      <c r="D33" s="31"/>
      <c r="E33" s="62">
        <v>2.5</v>
      </c>
      <c r="F33" s="37">
        <f t="shared" si="1"/>
        <v>22500</v>
      </c>
      <c r="G33" s="41">
        <f t="shared" si="3"/>
        <v>0</v>
      </c>
      <c r="H33" s="43" t="s">
        <v>133</v>
      </c>
      <c r="I33" s="66" t="s">
        <v>134</v>
      </c>
      <c r="J33" s="8"/>
      <c r="K33" s="9"/>
      <c r="L33" s="8"/>
      <c r="M33" s="8"/>
      <c r="N33" s="10"/>
      <c r="O33" s="11"/>
    </row>
    <row r="34" ht="15.75" customHeight="1">
      <c r="A34" s="1"/>
      <c r="B34" s="47" t="s">
        <v>135</v>
      </c>
      <c r="C34" s="80" t="s">
        <v>90</v>
      </c>
      <c r="D34" s="31"/>
      <c r="E34" s="33">
        <v>4.2</v>
      </c>
      <c r="F34" s="37">
        <f t="shared" si="1"/>
        <v>37800</v>
      </c>
      <c r="G34" s="41">
        <f t="shared" si="3"/>
        <v>0</v>
      </c>
      <c r="H34" s="43"/>
      <c r="I34" s="66"/>
      <c r="J34" s="8"/>
      <c r="K34" s="9"/>
      <c r="L34" s="8"/>
      <c r="M34" s="8"/>
      <c r="N34" s="10"/>
      <c r="O34" s="11"/>
    </row>
    <row r="35" ht="15.75" customHeight="1">
      <c r="A35" s="132"/>
      <c r="B35" s="28" t="s">
        <v>138</v>
      </c>
      <c r="C35" s="129" t="s">
        <v>90</v>
      </c>
      <c r="D35" s="57"/>
      <c r="E35" s="62">
        <f>11*1.1</f>
        <v>12.1</v>
      </c>
      <c r="F35" s="37">
        <f t="shared" si="1"/>
        <v>108900</v>
      </c>
      <c r="G35" s="41">
        <f t="shared" si="3"/>
        <v>0</v>
      </c>
      <c r="H35" s="43" t="s">
        <v>93</v>
      </c>
      <c r="I35" s="133"/>
      <c r="J35" s="8"/>
      <c r="K35" s="9"/>
      <c r="L35" s="8"/>
      <c r="M35" s="8"/>
      <c r="N35" s="10"/>
      <c r="O35" s="11"/>
    </row>
    <row r="36" ht="15.75" customHeight="1">
      <c r="A36" s="1"/>
      <c r="B36" s="64" t="s">
        <v>140</v>
      </c>
      <c r="C36" s="129" t="s">
        <v>141</v>
      </c>
      <c r="D36" s="31"/>
      <c r="E36" s="62">
        <f>9.5*1.1</f>
        <v>10.45</v>
      </c>
      <c r="F36" s="37">
        <f t="shared" si="1"/>
        <v>94050</v>
      </c>
      <c r="G36" s="41">
        <f t="shared" si="3"/>
        <v>0</v>
      </c>
      <c r="H36" s="43" t="s">
        <v>129</v>
      </c>
      <c r="I36" s="66" t="s">
        <v>143</v>
      </c>
      <c r="J36" s="8"/>
      <c r="K36" s="9"/>
      <c r="L36" s="8"/>
      <c r="M36" s="8"/>
      <c r="N36" s="10"/>
      <c r="O36" s="11"/>
    </row>
    <row r="37" ht="15.75" customHeight="1">
      <c r="A37" s="1"/>
      <c r="B37" s="134" t="s">
        <v>144</v>
      </c>
      <c r="C37" s="129" t="s">
        <v>90</v>
      </c>
      <c r="D37" s="57"/>
      <c r="E37" s="33">
        <f>26*1.1</f>
        <v>28.6</v>
      </c>
      <c r="F37" s="37">
        <f t="shared" si="1"/>
        <v>257400</v>
      </c>
      <c r="G37" s="41">
        <f t="shared" si="3"/>
        <v>0</v>
      </c>
      <c r="H37" s="97" t="s">
        <v>93</v>
      </c>
      <c r="I37" s="66" t="s">
        <v>145</v>
      </c>
      <c r="J37" s="8"/>
      <c r="K37" s="9"/>
      <c r="L37" s="8"/>
      <c r="M37" s="8"/>
      <c r="N37" s="10"/>
      <c r="O37" s="11"/>
    </row>
    <row r="38" ht="15.75" customHeight="1">
      <c r="A38" s="1"/>
      <c r="B38" s="86" t="s">
        <v>147</v>
      </c>
      <c r="C38" s="129" t="s">
        <v>90</v>
      </c>
      <c r="D38" s="31"/>
      <c r="E38" s="62">
        <v>0.98</v>
      </c>
      <c r="F38" s="37">
        <f t="shared" si="1"/>
        <v>8820</v>
      </c>
      <c r="G38" s="41">
        <f t="shared" si="3"/>
        <v>0</v>
      </c>
      <c r="H38" s="97" t="s">
        <v>133</v>
      </c>
      <c r="I38" s="135" t="s">
        <v>148</v>
      </c>
      <c r="J38" s="8"/>
      <c r="K38" s="9"/>
      <c r="L38" s="8"/>
      <c r="M38" s="8"/>
      <c r="N38" s="10"/>
      <c r="O38" s="11"/>
    </row>
    <row r="39" ht="15.75" customHeight="1">
      <c r="A39" s="132"/>
      <c r="B39" s="86" t="s">
        <v>150</v>
      </c>
      <c r="C39" s="129" t="s">
        <v>90</v>
      </c>
      <c r="D39" s="31"/>
      <c r="E39" s="62">
        <f>1.3*1.1</f>
        <v>1.43</v>
      </c>
      <c r="F39" s="37">
        <f t="shared" si="1"/>
        <v>12870</v>
      </c>
      <c r="G39" s="41">
        <f t="shared" si="3"/>
        <v>0</v>
      </c>
      <c r="H39" s="43" t="s">
        <v>129</v>
      </c>
      <c r="I39" s="133" t="s">
        <v>152</v>
      </c>
      <c r="J39" s="8"/>
      <c r="K39" s="9"/>
      <c r="L39" s="8"/>
      <c r="M39" s="8"/>
      <c r="N39" s="10"/>
      <c r="O39" s="11"/>
    </row>
    <row r="40" ht="15.75" customHeight="1">
      <c r="A40" s="132"/>
      <c r="B40" s="28" t="s">
        <v>154</v>
      </c>
      <c r="C40" s="129" t="s">
        <v>90</v>
      </c>
      <c r="D40" s="31"/>
      <c r="E40" s="62">
        <f>6.5*1.1</f>
        <v>7.15</v>
      </c>
      <c r="F40" s="37">
        <f t="shared" si="1"/>
        <v>64350</v>
      </c>
      <c r="G40" s="41">
        <f t="shared" si="3"/>
        <v>0</v>
      </c>
      <c r="H40" s="120" t="s">
        <v>93</v>
      </c>
      <c r="I40" s="133"/>
      <c r="J40" s="8"/>
      <c r="K40" s="9"/>
      <c r="L40" s="8"/>
      <c r="M40" s="8"/>
      <c r="N40" s="10"/>
      <c r="O40" s="11"/>
    </row>
    <row r="41" ht="15.75" customHeight="1">
      <c r="A41" s="132"/>
      <c r="B41" s="118" t="s">
        <v>156</v>
      </c>
      <c r="C41" s="129" t="s">
        <v>69</v>
      </c>
      <c r="D41" s="57"/>
      <c r="E41" s="62">
        <f>1.5*1.1</f>
        <v>1.65</v>
      </c>
      <c r="F41" s="37">
        <f t="shared" si="1"/>
        <v>14850</v>
      </c>
      <c r="G41" s="41">
        <f t="shared" si="3"/>
        <v>0</v>
      </c>
      <c r="H41" s="43" t="s">
        <v>158</v>
      </c>
      <c r="I41" s="133" t="s">
        <v>132</v>
      </c>
      <c r="J41" s="8"/>
      <c r="K41" s="9"/>
      <c r="L41" s="8"/>
      <c r="M41" s="8"/>
      <c r="N41" s="10"/>
      <c r="O41" s="11"/>
    </row>
    <row r="42" ht="15.75" customHeight="1">
      <c r="A42" s="132"/>
      <c r="B42" s="28" t="s">
        <v>159</v>
      </c>
      <c r="C42" s="129" t="s">
        <v>160</v>
      </c>
      <c r="D42" s="57"/>
      <c r="E42" s="62">
        <f>2.5*1.1</f>
        <v>2.75</v>
      </c>
      <c r="F42" s="37">
        <f t="shared" si="1"/>
        <v>24750</v>
      </c>
      <c r="G42" s="41">
        <f t="shared" si="3"/>
        <v>0</v>
      </c>
      <c r="H42" s="43" t="s">
        <v>93</v>
      </c>
      <c r="I42" s="136" t="s">
        <v>163</v>
      </c>
      <c r="J42" s="8"/>
      <c r="K42" s="9"/>
      <c r="L42" s="8"/>
      <c r="M42" s="8"/>
      <c r="N42" s="10"/>
      <c r="O42" s="11"/>
    </row>
    <row r="43" ht="15.75" customHeight="1">
      <c r="A43" s="132"/>
      <c r="B43" s="28" t="s">
        <v>164</v>
      </c>
      <c r="C43" s="129" t="s">
        <v>165</v>
      </c>
      <c r="D43" s="31"/>
      <c r="E43" s="33">
        <v>55.0</v>
      </c>
      <c r="F43" s="37">
        <f t="shared" si="1"/>
        <v>495000</v>
      </c>
      <c r="G43" s="41">
        <f t="shared" si="3"/>
        <v>0</v>
      </c>
      <c r="H43" s="138" t="s">
        <v>166</v>
      </c>
      <c r="I43" s="133" t="s">
        <v>166</v>
      </c>
      <c r="J43" s="8"/>
      <c r="K43" s="9"/>
      <c r="L43" s="8"/>
      <c r="M43" s="8"/>
      <c r="N43" s="10"/>
      <c r="O43" s="11"/>
    </row>
    <row r="44" ht="15.75" customHeight="1">
      <c r="A44" s="132"/>
      <c r="B44" s="28" t="s">
        <v>167</v>
      </c>
      <c r="C44" s="129" t="s">
        <v>14</v>
      </c>
      <c r="D44" s="31"/>
      <c r="E44" s="62">
        <v>26.0</v>
      </c>
      <c r="F44" s="37">
        <f t="shared" si="1"/>
        <v>234000</v>
      </c>
      <c r="G44" s="41">
        <f t="shared" si="3"/>
        <v>0</v>
      </c>
      <c r="H44" s="138" t="s">
        <v>168</v>
      </c>
      <c r="I44" s="138" t="s">
        <v>168</v>
      </c>
      <c r="J44" s="8"/>
      <c r="K44" s="9"/>
      <c r="L44" s="8"/>
      <c r="M44" s="8"/>
      <c r="N44" s="10"/>
      <c r="O44" s="11"/>
    </row>
    <row r="45" ht="15.75" customHeight="1">
      <c r="A45" s="132"/>
      <c r="B45" s="47" t="s">
        <v>170</v>
      </c>
      <c r="C45" s="129" t="s">
        <v>14</v>
      </c>
      <c r="D45" s="31"/>
      <c r="E45" s="33">
        <v>4.0</v>
      </c>
      <c r="F45" s="37">
        <f t="shared" si="1"/>
        <v>36000</v>
      </c>
      <c r="G45" s="41">
        <f t="shared" si="3"/>
        <v>0</v>
      </c>
      <c r="H45" s="141" t="s">
        <v>166</v>
      </c>
      <c r="I45" s="136" t="s">
        <v>166</v>
      </c>
      <c r="J45" s="8"/>
      <c r="K45" s="9"/>
      <c r="L45" s="8"/>
      <c r="M45" s="8"/>
      <c r="N45" s="10"/>
      <c r="O45" s="11"/>
    </row>
    <row r="46" ht="15.75" customHeight="1">
      <c r="A46" s="132"/>
      <c r="B46" s="28" t="s">
        <v>171</v>
      </c>
      <c r="C46" s="129" t="s">
        <v>90</v>
      </c>
      <c r="D46" s="31"/>
      <c r="E46" s="62">
        <f>9*1.1</f>
        <v>9.9</v>
      </c>
      <c r="F46" s="37">
        <f t="shared" si="1"/>
        <v>89100</v>
      </c>
      <c r="G46" s="41">
        <f t="shared" si="3"/>
        <v>0</v>
      </c>
      <c r="H46" s="143" t="s">
        <v>93</v>
      </c>
      <c r="I46" s="136"/>
      <c r="J46" s="8"/>
      <c r="K46" s="9"/>
      <c r="L46" s="8"/>
      <c r="M46" s="8"/>
      <c r="N46" s="10"/>
      <c r="O46" s="11"/>
    </row>
    <row r="47" ht="15.75" customHeight="1">
      <c r="A47" s="132"/>
      <c r="B47" s="28" t="s">
        <v>174</v>
      </c>
      <c r="C47" s="129" t="s">
        <v>90</v>
      </c>
      <c r="D47" s="144"/>
      <c r="E47" s="62">
        <f>5*1.1</f>
        <v>5.5</v>
      </c>
      <c r="F47" s="37">
        <f t="shared" si="1"/>
        <v>49500</v>
      </c>
      <c r="G47" s="41">
        <f t="shared" si="3"/>
        <v>0</v>
      </c>
      <c r="H47" s="143" t="s">
        <v>93</v>
      </c>
      <c r="I47" s="136"/>
      <c r="J47" s="8"/>
      <c r="K47" s="9"/>
      <c r="L47" s="8"/>
      <c r="M47" s="8"/>
      <c r="N47" s="10"/>
      <c r="O47" s="11"/>
    </row>
    <row r="48" ht="15.75" customHeight="1">
      <c r="A48" s="132"/>
      <c r="B48" s="86" t="s">
        <v>178</v>
      </c>
      <c r="C48" s="129" t="s">
        <v>90</v>
      </c>
      <c r="D48" s="31"/>
      <c r="E48" s="62"/>
      <c r="F48" s="37">
        <f t="shared" si="1"/>
        <v>0</v>
      </c>
      <c r="G48" s="41">
        <f t="shared" si="3"/>
        <v>0</v>
      </c>
      <c r="H48" s="145" t="s">
        <v>180</v>
      </c>
      <c r="I48" s="136" t="s">
        <v>181</v>
      </c>
      <c r="J48" s="8"/>
      <c r="K48" s="9"/>
      <c r="L48" s="8"/>
      <c r="M48" s="8"/>
      <c r="N48" s="10"/>
      <c r="O48" s="11"/>
    </row>
    <row r="49" ht="15.75" customHeight="1">
      <c r="A49" s="132"/>
      <c r="B49" s="118" t="s">
        <v>182</v>
      </c>
      <c r="C49" s="129" t="s">
        <v>165</v>
      </c>
      <c r="D49" s="31"/>
      <c r="E49" s="33">
        <v>15.0</v>
      </c>
      <c r="F49" s="37">
        <f t="shared" si="1"/>
        <v>135000</v>
      </c>
      <c r="G49" s="41">
        <f t="shared" si="3"/>
        <v>0</v>
      </c>
      <c r="H49" s="138" t="s">
        <v>168</v>
      </c>
      <c r="I49" s="138" t="s">
        <v>168</v>
      </c>
      <c r="J49" s="8"/>
      <c r="K49" s="9"/>
      <c r="L49" s="8"/>
      <c r="M49" s="8"/>
      <c r="N49" s="10"/>
      <c r="O49" s="11"/>
    </row>
    <row r="50" ht="15.75" customHeight="1">
      <c r="A50" s="132"/>
      <c r="B50" s="86" t="s">
        <v>184</v>
      </c>
      <c r="C50" s="129" t="s">
        <v>14</v>
      </c>
      <c r="D50" s="31"/>
      <c r="E50" s="62">
        <v>3.0</v>
      </c>
      <c r="F50" s="37">
        <f t="shared" si="1"/>
        <v>27000</v>
      </c>
      <c r="G50" s="41">
        <f t="shared" si="3"/>
        <v>0</v>
      </c>
      <c r="H50" s="138" t="s">
        <v>168</v>
      </c>
      <c r="I50" s="138" t="s">
        <v>168</v>
      </c>
      <c r="J50" s="8"/>
      <c r="K50" s="9"/>
      <c r="L50" s="8"/>
      <c r="M50" s="8"/>
      <c r="N50" s="10"/>
      <c r="O50" s="11"/>
    </row>
    <row r="51" ht="15.75" customHeight="1">
      <c r="A51" s="132"/>
      <c r="B51" s="28" t="s">
        <v>186</v>
      </c>
      <c r="C51" s="129" t="s">
        <v>187</v>
      </c>
      <c r="D51" s="57"/>
      <c r="E51" s="62">
        <f>2.5*1.1</f>
        <v>2.75</v>
      </c>
      <c r="F51" s="37">
        <f t="shared" si="1"/>
        <v>24750</v>
      </c>
      <c r="G51" s="41">
        <f t="shared" si="3"/>
        <v>0</v>
      </c>
      <c r="H51" s="138" t="s">
        <v>93</v>
      </c>
      <c r="I51" s="138" t="s">
        <v>188</v>
      </c>
      <c r="J51" s="8"/>
      <c r="K51" s="9"/>
      <c r="L51" s="8"/>
      <c r="M51" s="8"/>
      <c r="N51" s="10"/>
      <c r="O51" s="11"/>
    </row>
    <row r="52" ht="15.75" customHeight="1">
      <c r="A52" s="132"/>
      <c r="B52" s="86" t="s">
        <v>189</v>
      </c>
      <c r="C52" s="149" t="s">
        <v>90</v>
      </c>
      <c r="D52" s="151"/>
      <c r="E52" s="62">
        <f>1.1*14.5</f>
        <v>15.95</v>
      </c>
      <c r="F52" s="37">
        <f t="shared" si="1"/>
        <v>143550</v>
      </c>
      <c r="G52" s="41">
        <f t="shared" si="3"/>
        <v>0</v>
      </c>
      <c r="H52" s="138" t="s">
        <v>129</v>
      </c>
      <c r="I52" s="138" t="s">
        <v>190</v>
      </c>
      <c r="J52" s="8"/>
      <c r="K52" s="9"/>
      <c r="L52" s="8"/>
      <c r="M52" s="8"/>
      <c r="N52" s="10"/>
      <c r="O52" s="11"/>
    </row>
    <row r="53" ht="15.75" customHeight="1">
      <c r="A53" s="132"/>
      <c r="B53" s="118" t="s">
        <v>192</v>
      </c>
      <c r="C53" s="129" t="s">
        <v>90</v>
      </c>
      <c r="D53" s="31"/>
      <c r="E53" s="33">
        <f>3.9*1.1</f>
        <v>4.29</v>
      </c>
      <c r="F53" s="37">
        <f t="shared" si="1"/>
        <v>38610</v>
      </c>
      <c r="G53" s="41">
        <f t="shared" si="3"/>
        <v>0</v>
      </c>
      <c r="H53" s="138" t="s">
        <v>129</v>
      </c>
      <c r="I53" s="138" t="s">
        <v>193</v>
      </c>
      <c r="J53" s="8"/>
      <c r="K53" s="9"/>
      <c r="L53" s="8"/>
      <c r="M53" s="8"/>
      <c r="N53" s="10"/>
      <c r="O53" s="11"/>
    </row>
    <row r="54" ht="15.75" customHeight="1">
      <c r="A54" s="132"/>
      <c r="B54" s="28" t="s">
        <v>195</v>
      </c>
      <c r="C54" s="129" t="s">
        <v>165</v>
      </c>
      <c r="D54" s="31"/>
      <c r="E54" s="33">
        <v>41.0</v>
      </c>
      <c r="F54" s="37">
        <f t="shared" si="1"/>
        <v>369000</v>
      </c>
      <c r="G54" s="41">
        <f t="shared" si="3"/>
        <v>0</v>
      </c>
      <c r="H54" s="43" t="s">
        <v>196</v>
      </c>
      <c r="I54" s="133" t="s">
        <v>197</v>
      </c>
      <c r="J54" s="8"/>
      <c r="K54" s="9"/>
      <c r="L54" s="8"/>
      <c r="M54" s="8"/>
      <c r="N54" s="10"/>
      <c r="O54" s="11"/>
    </row>
    <row r="55" ht="15.75" customHeight="1">
      <c r="A55" s="132"/>
      <c r="B55" s="86" t="s">
        <v>198</v>
      </c>
      <c r="C55" s="129" t="s">
        <v>165</v>
      </c>
      <c r="D55" s="31"/>
      <c r="E55" s="62">
        <v>54.0</v>
      </c>
      <c r="F55" s="37">
        <f t="shared" si="1"/>
        <v>486000</v>
      </c>
      <c r="G55" s="41">
        <f t="shared" si="3"/>
        <v>0</v>
      </c>
      <c r="H55" s="43" t="s">
        <v>129</v>
      </c>
      <c r="I55" s="133" t="s">
        <v>199</v>
      </c>
      <c r="J55" s="8"/>
      <c r="K55" s="9"/>
      <c r="L55" s="8"/>
      <c r="M55" s="8"/>
      <c r="N55" s="10"/>
      <c r="O55" s="11"/>
    </row>
    <row r="56" ht="15.75" customHeight="1">
      <c r="A56" s="132"/>
      <c r="B56" s="47" t="s">
        <v>201</v>
      </c>
      <c r="C56" s="129" t="s">
        <v>90</v>
      </c>
      <c r="D56" s="31"/>
      <c r="E56" s="62">
        <f>2.25*1.1</f>
        <v>2.475</v>
      </c>
      <c r="F56" s="37">
        <f t="shared" si="1"/>
        <v>22275</v>
      </c>
      <c r="G56" s="41">
        <f t="shared" si="3"/>
        <v>0</v>
      </c>
      <c r="H56" s="138" t="s">
        <v>93</v>
      </c>
      <c r="I56" s="133" t="s">
        <v>203</v>
      </c>
      <c r="J56" s="8"/>
      <c r="K56" s="9"/>
      <c r="L56" s="8"/>
      <c r="M56" s="8"/>
      <c r="N56" s="10"/>
      <c r="O56" s="11"/>
    </row>
    <row r="57" ht="15.75" customHeight="1">
      <c r="A57" s="132"/>
      <c r="B57" s="118" t="s">
        <v>204</v>
      </c>
      <c r="C57" s="129" t="s">
        <v>165</v>
      </c>
      <c r="D57" s="31"/>
      <c r="E57" s="33">
        <f>(7.5*1.1)*2</f>
        <v>16.5</v>
      </c>
      <c r="F57" s="37">
        <f t="shared" si="1"/>
        <v>148500</v>
      </c>
      <c r="G57" s="41">
        <f t="shared" si="3"/>
        <v>0</v>
      </c>
      <c r="H57" s="138" t="s">
        <v>206</v>
      </c>
      <c r="I57" s="133" t="s">
        <v>207</v>
      </c>
      <c r="J57" s="8"/>
      <c r="K57" s="9"/>
      <c r="L57" s="8"/>
      <c r="M57" s="8"/>
      <c r="N57" s="10"/>
      <c r="O57" s="11"/>
    </row>
    <row r="58" ht="15.75" customHeight="1">
      <c r="A58" s="132"/>
      <c r="B58" s="86" t="s">
        <v>209</v>
      </c>
      <c r="C58" s="129" t="s">
        <v>165</v>
      </c>
      <c r="D58" s="31"/>
      <c r="E58" s="62">
        <v>12.0</v>
      </c>
      <c r="F58" s="37">
        <f t="shared" si="1"/>
        <v>108000</v>
      </c>
      <c r="G58" s="41">
        <f t="shared" si="3"/>
        <v>0</v>
      </c>
      <c r="H58" s="138" t="s">
        <v>210</v>
      </c>
      <c r="I58" s="133" t="s">
        <v>211</v>
      </c>
      <c r="J58" s="8"/>
      <c r="K58" s="9"/>
      <c r="L58" s="8"/>
      <c r="M58" s="8"/>
      <c r="N58" s="10"/>
      <c r="O58" s="11"/>
    </row>
    <row r="59" ht="15.75" customHeight="1">
      <c r="A59" s="132"/>
      <c r="B59" s="86" t="s">
        <v>212</v>
      </c>
      <c r="C59" s="129" t="s">
        <v>213</v>
      </c>
      <c r="D59" s="31"/>
      <c r="E59" s="62">
        <f>2.5*1.1</f>
        <v>2.75</v>
      </c>
      <c r="F59" s="37">
        <f t="shared" si="1"/>
        <v>24750</v>
      </c>
      <c r="G59" s="41">
        <f t="shared" si="3"/>
        <v>0</v>
      </c>
      <c r="H59" s="145" t="s">
        <v>93</v>
      </c>
      <c r="I59" s="133"/>
      <c r="J59" s="8"/>
      <c r="K59" s="9"/>
      <c r="L59" s="8"/>
      <c r="M59" s="8"/>
      <c r="N59" s="10"/>
      <c r="O59" s="11"/>
    </row>
    <row r="60" ht="15.75" customHeight="1">
      <c r="A60" s="132"/>
      <c r="B60" s="28" t="s">
        <v>215</v>
      </c>
      <c r="C60" s="129" t="s">
        <v>90</v>
      </c>
      <c r="D60" s="57"/>
      <c r="E60" s="62">
        <f>1*1.1</f>
        <v>1.1</v>
      </c>
      <c r="F60" s="37">
        <f t="shared" si="1"/>
        <v>9900</v>
      </c>
      <c r="G60" s="41">
        <f t="shared" si="3"/>
        <v>0</v>
      </c>
      <c r="H60" s="138" t="s">
        <v>206</v>
      </c>
      <c r="I60" s="133" t="s">
        <v>207</v>
      </c>
      <c r="J60" s="8"/>
      <c r="K60" s="9"/>
      <c r="L60" s="8"/>
      <c r="M60" s="8"/>
      <c r="N60" s="10"/>
      <c r="O60" s="11"/>
    </row>
    <row r="61" ht="15.75" customHeight="1">
      <c r="A61" s="132"/>
      <c r="B61" s="86" t="s">
        <v>219</v>
      </c>
      <c r="C61" s="129" t="s">
        <v>220</v>
      </c>
      <c r="D61" s="31"/>
      <c r="E61" s="33">
        <v>25.0</v>
      </c>
      <c r="F61" s="37">
        <f t="shared" si="1"/>
        <v>225000</v>
      </c>
      <c r="G61" s="41">
        <f t="shared" si="3"/>
        <v>0</v>
      </c>
      <c r="H61" s="138" t="s">
        <v>221</v>
      </c>
      <c r="I61" s="133" t="s">
        <v>221</v>
      </c>
      <c r="J61" s="8"/>
      <c r="K61" s="9"/>
      <c r="L61" s="8"/>
      <c r="M61" s="8"/>
      <c r="N61" s="10"/>
      <c r="O61" s="11"/>
    </row>
    <row r="62" ht="15.75" customHeight="1">
      <c r="A62" s="132"/>
      <c r="B62" s="167" t="s">
        <v>222</v>
      </c>
      <c r="C62" s="129" t="s">
        <v>30</v>
      </c>
      <c r="D62" s="31"/>
      <c r="E62" s="62">
        <f>4.25*1.1</f>
        <v>4.675</v>
      </c>
      <c r="F62" s="37">
        <f t="shared" si="1"/>
        <v>42075</v>
      </c>
      <c r="G62" s="41">
        <f t="shared" si="3"/>
        <v>0</v>
      </c>
      <c r="H62" s="116" t="s">
        <v>226</v>
      </c>
      <c r="I62" s="133" t="s">
        <v>227</v>
      </c>
      <c r="J62" s="8"/>
      <c r="K62" s="9"/>
      <c r="L62" s="8"/>
      <c r="M62" s="8"/>
      <c r="N62" s="10"/>
      <c r="O62" s="11"/>
    </row>
    <row r="63" ht="15.75" customHeight="1">
      <c r="A63" s="132"/>
      <c r="B63" s="47" t="s">
        <v>228</v>
      </c>
      <c r="C63" s="168" t="s">
        <v>213</v>
      </c>
      <c r="D63" s="31"/>
      <c r="E63" s="33">
        <v>0.99</v>
      </c>
      <c r="F63" s="37">
        <f t="shared" si="1"/>
        <v>8910</v>
      </c>
      <c r="G63" s="41">
        <f t="shared" si="3"/>
        <v>0</v>
      </c>
      <c r="H63" s="116" t="s">
        <v>231</v>
      </c>
      <c r="I63" s="169" t="s">
        <v>232</v>
      </c>
      <c r="J63" s="8"/>
      <c r="K63" s="9"/>
      <c r="L63" s="8"/>
      <c r="M63" s="8"/>
      <c r="N63" s="10"/>
      <c r="O63" s="11"/>
    </row>
    <row r="64" ht="15.75" customHeight="1">
      <c r="A64" s="132"/>
      <c r="B64" s="47" t="s">
        <v>233</v>
      </c>
      <c r="C64" s="168" t="s">
        <v>213</v>
      </c>
      <c r="D64" s="31"/>
      <c r="E64" s="33">
        <v>1.08</v>
      </c>
      <c r="F64" s="37">
        <f t="shared" si="1"/>
        <v>9720</v>
      </c>
      <c r="G64" s="41">
        <f t="shared" si="3"/>
        <v>0</v>
      </c>
      <c r="H64" s="116" t="s">
        <v>231</v>
      </c>
      <c r="I64" s="169" t="s">
        <v>232</v>
      </c>
      <c r="J64" s="8"/>
      <c r="K64" s="9"/>
      <c r="L64" s="8"/>
      <c r="M64" s="8"/>
      <c r="N64" s="10"/>
      <c r="O64" s="11"/>
    </row>
    <row r="65" ht="15.75" customHeight="1">
      <c r="A65" s="132"/>
      <c r="B65" s="28" t="s">
        <v>235</v>
      </c>
      <c r="C65" s="129" t="s">
        <v>69</v>
      </c>
      <c r="D65" s="57"/>
      <c r="E65" s="62">
        <f>1*1.1</f>
        <v>1.1</v>
      </c>
      <c r="F65" s="37">
        <f t="shared" si="1"/>
        <v>9900</v>
      </c>
      <c r="G65" s="41">
        <f t="shared" si="3"/>
        <v>0</v>
      </c>
      <c r="H65" s="43" t="s">
        <v>206</v>
      </c>
      <c r="I65" s="133" t="s">
        <v>237</v>
      </c>
      <c r="J65" s="8"/>
      <c r="K65" s="9"/>
      <c r="L65" s="8"/>
      <c r="M65" s="8"/>
      <c r="N65" s="10"/>
      <c r="O65" s="11"/>
    </row>
    <row r="66" ht="15.75" customHeight="1">
      <c r="A66" s="132"/>
      <c r="B66" s="47" t="s">
        <v>238</v>
      </c>
      <c r="C66" s="129" t="s">
        <v>14</v>
      </c>
      <c r="D66" s="31"/>
      <c r="E66" s="62">
        <f>42*1.1</f>
        <v>46.2</v>
      </c>
      <c r="F66" s="37">
        <f t="shared" si="1"/>
        <v>415800</v>
      </c>
      <c r="G66" s="41">
        <f t="shared" si="3"/>
        <v>0</v>
      </c>
      <c r="H66" s="170" t="s">
        <v>93</v>
      </c>
      <c r="I66" s="138"/>
      <c r="J66" s="8"/>
      <c r="K66" s="9"/>
      <c r="L66" s="8"/>
      <c r="M66" s="8"/>
      <c r="N66" s="10"/>
      <c r="O66" s="11"/>
    </row>
    <row r="67" ht="15.75" customHeight="1">
      <c r="A67" s="132"/>
      <c r="B67" s="23" t="s">
        <v>242</v>
      </c>
      <c r="C67" s="121"/>
      <c r="D67" s="122"/>
      <c r="E67" s="123"/>
      <c r="F67" s="37">
        <f t="shared" si="1"/>
        <v>0</v>
      </c>
      <c r="G67" s="124"/>
      <c r="H67" s="171"/>
      <c r="I67" s="172"/>
      <c r="J67" s="8"/>
      <c r="K67" s="9"/>
      <c r="L67" s="8"/>
      <c r="M67" s="8"/>
      <c r="N67" s="10"/>
      <c r="O67" s="11"/>
    </row>
    <row r="68" ht="15.75" customHeight="1">
      <c r="A68" s="132"/>
      <c r="B68" s="28" t="s">
        <v>244</v>
      </c>
      <c r="C68" s="129" t="s">
        <v>69</v>
      </c>
      <c r="D68" s="57"/>
      <c r="E68" s="33">
        <v>21.85</v>
      </c>
      <c r="F68" s="37">
        <f t="shared" si="1"/>
        <v>196650</v>
      </c>
      <c r="G68" s="41">
        <f t="shared" ref="G68:G75" si="4">F68*D68</f>
        <v>0</v>
      </c>
      <c r="H68" s="175" t="s">
        <v>246</v>
      </c>
      <c r="I68" s="136" t="s">
        <v>247</v>
      </c>
      <c r="J68" s="8"/>
      <c r="K68" s="9"/>
      <c r="L68" s="8"/>
      <c r="M68" s="8"/>
      <c r="N68" s="10"/>
      <c r="O68" s="11"/>
    </row>
    <row r="69" ht="15.75" customHeight="1">
      <c r="A69" s="132"/>
      <c r="B69" s="28" t="s">
        <v>248</v>
      </c>
      <c r="C69" s="129" t="s">
        <v>69</v>
      </c>
      <c r="D69" s="57"/>
      <c r="E69" s="33">
        <v>21.85</v>
      </c>
      <c r="F69" s="37">
        <f t="shared" si="1"/>
        <v>196650</v>
      </c>
      <c r="G69" s="41">
        <f t="shared" si="4"/>
        <v>0</v>
      </c>
      <c r="H69" s="175" t="s">
        <v>246</v>
      </c>
      <c r="I69" s="136" t="s">
        <v>247</v>
      </c>
      <c r="J69" s="8"/>
      <c r="K69" s="9"/>
      <c r="L69" s="8"/>
      <c r="M69" s="8"/>
      <c r="N69" s="10"/>
      <c r="O69" s="11"/>
    </row>
    <row r="70" ht="15.75" customHeight="1">
      <c r="A70" s="132"/>
      <c r="B70" s="28" t="s">
        <v>251</v>
      </c>
      <c r="C70" s="129" t="s">
        <v>69</v>
      </c>
      <c r="D70" s="57"/>
      <c r="E70" s="62">
        <f t="shared" ref="E70:E71" si="5">49.6*1.1</f>
        <v>54.56</v>
      </c>
      <c r="F70" s="37">
        <f t="shared" si="1"/>
        <v>491040</v>
      </c>
      <c r="G70" s="41">
        <f t="shared" si="4"/>
        <v>0</v>
      </c>
      <c r="H70" s="43" t="s">
        <v>93</v>
      </c>
      <c r="I70" s="133" t="s">
        <v>252</v>
      </c>
      <c r="J70" s="8"/>
      <c r="K70" s="9"/>
      <c r="L70" s="8"/>
      <c r="M70" s="8"/>
      <c r="N70" s="10"/>
      <c r="O70" s="11"/>
    </row>
    <row r="71" ht="15.75" customHeight="1">
      <c r="A71" s="132"/>
      <c r="B71" s="28" t="s">
        <v>253</v>
      </c>
      <c r="C71" s="129" t="s">
        <v>69</v>
      </c>
      <c r="D71" s="57"/>
      <c r="E71" s="62">
        <f t="shared" si="5"/>
        <v>54.56</v>
      </c>
      <c r="F71" s="37">
        <f t="shared" si="1"/>
        <v>491040</v>
      </c>
      <c r="G71" s="41">
        <f t="shared" si="4"/>
        <v>0</v>
      </c>
      <c r="H71" s="43" t="s">
        <v>93</v>
      </c>
      <c r="I71" s="133" t="s">
        <v>252</v>
      </c>
      <c r="J71" s="8"/>
      <c r="K71" s="9"/>
      <c r="L71" s="8"/>
      <c r="M71" s="8"/>
      <c r="N71" s="10"/>
      <c r="O71" s="11"/>
    </row>
    <row r="72" ht="15.75" customHeight="1">
      <c r="A72" s="132"/>
      <c r="B72" s="103" t="s">
        <v>258</v>
      </c>
      <c r="C72" s="129" t="s">
        <v>69</v>
      </c>
      <c r="D72" s="31"/>
      <c r="E72" s="33">
        <f>133/15.6</f>
        <v>8.525641026</v>
      </c>
      <c r="F72" s="37">
        <f t="shared" si="1"/>
        <v>76730.76923</v>
      </c>
      <c r="G72" s="41">
        <f t="shared" si="4"/>
        <v>0</v>
      </c>
      <c r="H72" s="43" t="s">
        <v>260</v>
      </c>
      <c r="I72" s="133"/>
      <c r="J72" s="8"/>
      <c r="K72" s="9"/>
      <c r="L72" s="8"/>
      <c r="M72" s="8"/>
      <c r="N72" s="10"/>
      <c r="O72" s="11"/>
    </row>
    <row r="73" ht="15.75" customHeight="1">
      <c r="A73" s="132"/>
      <c r="B73" s="103" t="s">
        <v>261</v>
      </c>
      <c r="C73" s="129" t="s">
        <v>90</v>
      </c>
      <c r="D73" s="31"/>
      <c r="E73" s="33">
        <v>10.0</v>
      </c>
      <c r="F73" s="37">
        <f t="shared" si="1"/>
        <v>90000</v>
      </c>
      <c r="G73" s="41">
        <f t="shared" si="4"/>
        <v>0</v>
      </c>
      <c r="H73" s="43" t="s">
        <v>260</v>
      </c>
      <c r="I73" s="133"/>
      <c r="J73" s="8"/>
      <c r="K73" s="9"/>
      <c r="L73" s="8"/>
      <c r="M73" s="8"/>
      <c r="N73" s="10"/>
      <c r="O73" s="11"/>
    </row>
    <row r="74" ht="15.75" customHeight="1">
      <c r="A74" s="132"/>
      <c r="B74" s="178" t="s">
        <v>263</v>
      </c>
      <c r="C74" s="168" t="s">
        <v>90</v>
      </c>
      <c r="D74" s="31"/>
      <c r="E74" s="33">
        <v>3.01</v>
      </c>
      <c r="F74" s="37">
        <f t="shared" si="1"/>
        <v>27090</v>
      </c>
      <c r="G74" s="41">
        <f t="shared" si="4"/>
        <v>0</v>
      </c>
      <c r="H74" s="43"/>
      <c r="I74" s="45"/>
      <c r="J74" s="8"/>
      <c r="K74" s="9"/>
      <c r="L74" s="8"/>
      <c r="M74" s="8"/>
      <c r="N74" s="10"/>
      <c r="O74" s="11"/>
    </row>
    <row r="75" ht="15.75" customHeight="1">
      <c r="A75" s="132"/>
      <c r="B75" s="86" t="s">
        <v>265</v>
      </c>
      <c r="C75" s="129" t="s">
        <v>69</v>
      </c>
      <c r="D75" s="31"/>
      <c r="E75" s="62">
        <v>20.0</v>
      </c>
      <c r="F75" s="37">
        <f t="shared" si="1"/>
        <v>180000</v>
      </c>
      <c r="G75" s="41">
        <f t="shared" si="4"/>
        <v>0</v>
      </c>
      <c r="H75" s="43" t="s">
        <v>48</v>
      </c>
      <c r="I75" s="45"/>
      <c r="J75" s="8"/>
      <c r="K75" s="9"/>
      <c r="L75" s="8"/>
      <c r="M75" s="8"/>
      <c r="N75" s="10"/>
      <c r="O75" s="11"/>
    </row>
    <row r="76" ht="15.75" customHeight="1">
      <c r="A76" s="132" t="s">
        <v>12</v>
      </c>
      <c r="B76" s="23" t="s">
        <v>268</v>
      </c>
      <c r="C76" s="121"/>
      <c r="D76" s="122"/>
      <c r="E76" s="181"/>
      <c r="F76" s="37">
        <f t="shared" si="1"/>
        <v>0</v>
      </c>
      <c r="G76" s="124"/>
      <c r="H76" s="43" t="s">
        <v>48</v>
      </c>
      <c r="I76" s="172"/>
      <c r="J76" s="8"/>
      <c r="K76" s="9"/>
      <c r="L76" s="8"/>
      <c r="M76" s="8"/>
      <c r="N76" s="10"/>
      <c r="O76" s="11"/>
    </row>
    <row r="77" ht="15.75" customHeight="1">
      <c r="A77" s="132"/>
      <c r="B77" s="86" t="s">
        <v>269</v>
      </c>
      <c r="C77" s="129" t="s">
        <v>270</v>
      </c>
      <c r="D77" s="31"/>
      <c r="E77" s="62">
        <v>15.7</v>
      </c>
      <c r="F77" s="37">
        <f t="shared" si="1"/>
        <v>141300</v>
      </c>
      <c r="G77" s="41">
        <f t="shared" ref="G77:G103" si="6">F77*D77</f>
        <v>0</v>
      </c>
      <c r="H77" s="138" t="s">
        <v>93</v>
      </c>
      <c r="I77" s="133"/>
      <c r="J77" s="8"/>
      <c r="K77" s="9"/>
      <c r="L77" s="8"/>
      <c r="M77" s="8"/>
      <c r="N77" s="10"/>
      <c r="O77" s="11"/>
    </row>
    <row r="78" ht="15.75" customHeight="1">
      <c r="A78" s="132"/>
      <c r="B78" s="86" t="s">
        <v>274</v>
      </c>
      <c r="C78" s="129" t="s">
        <v>270</v>
      </c>
      <c r="D78" s="31"/>
      <c r="E78" s="33">
        <v>13.0</v>
      </c>
      <c r="F78" s="37">
        <f t="shared" si="1"/>
        <v>117000</v>
      </c>
      <c r="G78" s="41">
        <f t="shared" si="6"/>
        <v>0</v>
      </c>
      <c r="H78" s="170" t="s">
        <v>93</v>
      </c>
      <c r="I78" s="133" t="s">
        <v>277</v>
      </c>
      <c r="J78" s="8"/>
      <c r="K78" s="9"/>
      <c r="L78" s="8"/>
      <c r="M78" s="8"/>
      <c r="N78" s="10"/>
      <c r="O78" s="11"/>
    </row>
    <row r="79" ht="15.75" customHeight="1">
      <c r="A79" s="132"/>
      <c r="B79" s="28" t="s">
        <v>279</v>
      </c>
      <c r="C79" s="129" t="s">
        <v>280</v>
      </c>
      <c r="D79" s="31"/>
      <c r="E79" s="33">
        <v>39.0</v>
      </c>
      <c r="F79" s="37">
        <f t="shared" si="1"/>
        <v>351000</v>
      </c>
      <c r="G79" s="41">
        <f t="shared" si="6"/>
        <v>0</v>
      </c>
      <c r="H79" s="182" t="s">
        <v>281</v>
      </c>
      <c r="I79" s="169" t="s">
        <v>283</v>
      </c>
      <c r="J79" s="8"/>
      <c r="K79" s="9"/>
      <c r="L79" s="8"/>
      <c r="M79" s="8"/>
      <c r="N79" s="10"/>
      <c r="O79" s="11"/>
    </row>
    <row r="80" ht="15.75" customHeight="1">
      <c r="A80" s="132"/>
      <c r="B80" s="28" t="s">
        <v>284</v>
      </c>
      <c r="C80" s="129" t="s">
        <v>14</v>
      </c>
      <c r="D80" s="57"/>
      <c r="E80" s="33">
        <v>11.5</v>
      </c>
      <c r="F80" s="37">
        <f t="shared" si="1"/>
        <v>103500</v>
      </c>
      <c r="G80" s="41">
        <f t="shared" si="6"/>
        <v>0</v>
      </c>
      <c r="H80" s="43" t="s">
        <v>281</v>
      </c>
      <c r="I80" s="169" t="s">
        <v>283</v>
      </c>
      <c r="J80" s="8"/>
      <c r="K80" s="9"/>
      <c r="L80" s="8"/>
      <c r="M80" s="8"/>
      <c r="N80" s="10"/>
      <c r="O80" s="11"/>
    </row>
    <row r="81" ht="15.75" customHeight="1">
      <c r="A81" s="132"/>
      <c r="B81" s="86" t="s">
        <v>288</v>
      </c>
      <c r="C81" s="129" t="s">
        <v>90</v>
      </c>
      <c r="D81" s="31"/>
      <c r="E81" s="33">
        <v>1.9</v>
      </c>
      <c r="F81" s="37">
        <f t="shared" si="1"/>
        <v>17100</v>
      </c>
      <c r="G81" s="41">
        <f t="shared" si="6"/>
        <v>0</v>
      </c>
      <c r="H81" s="138" t="s">
        <v>93</v>
      </c>
      <c r="I81" s="133" t="s">
        <v>289</v>
      </c>
      <c r="J81" s="8"/>
      <c r="K81" s="9"/>
      <c r="L81" s="8"/>
      <c r="M81" s="8"/>
      <c r="N81" s="10"/>
      <c r="O81" s="11"/>
    </row>
    <row r="82" ht="15.75" customHeight="1">
      <c r="A82" s="132"/>
      <c r="B82" s="183" t="s">
        <v>290</v>
      </c>
      <c r="C82" s="129" t="s">
        <v>14</v>
      </c>
      <c r="D82" s="31"/>
      <c r="E82" s="33">
        <v>7.0</v>
      </c>
      <c r="F82" s="37">
        <f t="shared" si="1"/>
        <v>63000</v>
      </c>
      <c r="G82" s="41">
        <f t="shared" si="6"/>
        <v>0</v>
      </c>
      <c r="H82" s="116" t="s">
        <v>292</v>
      </c>
      <c r="I82" s="133"/>
      <c r="J82" s="8"/>
      <c r="K82" s="9"/>
      <c r="L82" s="8"/>
      <c r="M82" s="8"/>
      <c r="N82" s="10"/>
      <c r="O82" s="11"/>
    </row>
    <row r="83" ht="15.75" customHeight="1">
      <c r="A83" s="132"/>
      <c r="B83" s="184" t="s">
        <v>294</v>
      </c>
      <c r="C83" s="129" t="s">
        <v>90</v>
      </c>
      <c r="D83" s="31"/>
      <c r="E83" s="62">
        <f>3*1.1</f>
        <v>3.3</v>
      </c>
      <c r="F83" s="37">
        <f t="shared" si="1"/>
        <v>29700</v>
      </c>
      <c r="G83" s="41">
        <f t="shared" si="6"/>
        <v>0</v>
      </c>
      <c r="H83" s="43" t="s">
        <v>93</v>
      </c>
      <c r="I83" s="133" t="s">
        <v>296</v>
      </c>
      <c r="J83" s="8"/>
      <c r="K83" s="9"/>
      <c r="L83" s="8"/>
      <c r="M83" s="8"/>
      <c r="N83" s="10"/>
      <c r="O83" s="11"/>
    </row>
    <row r="84" ht="15.75" customHeight="1">
      <c r="A84" s="132"/>
      <c r="B84" s="28" t="s">
        <v>297</v>
      </c>
      <c r="C84" s="129" t="s">
        <v>90</v>
      </c>
      <c r="D84" s="57"/>
      <c r="E84" s="33">
        <v>4.33</v>
      </c>
      <c r="F84" s="37">
        <f t="shared" si="1"/>
        <v>38970</v>
      </c>
      <c r="G84" s="41">
        <f t="shared" si="6"/>
        <v>0</v>
      </c>
      <c r="H84" s="138" t="s">
        <v>298</v>
      </c>
      <c r="I84" s="133" t="s">
        <v>117</v>
      </c>
      <c r="J84" s="8"/>
      <c r="K84" s="9"/>
      <c r="L84" s="8"/>
      <c r="M84" s="8"/>
      <c r="N84" s="10"/>
      <c r="O84" s="11"/>
    </row>
    <row r="85" ht="15.75" customHeight="1">
      <c r="A85" s="132"/>
      <c r="B85" s="28" t="s">
        <v>299</v>
      </c>
      <c r="C85" s="129" t="s">
        <v>14</v>
      </c>
      <c r="D85" s="31"/>
      <c r="E85" s="33">
        <v>14.35</v>
      </c>
      <c r="F85" s="37">
        <f t="shared" si="1"/>
        <v>129150</v>
      </c>
      <c r="G85" s="41">
        <f t="shared" si="6"/>
        <v>0</v>
      </c>
      <c r="H85" s="43" t="s">
        <v>281</v>
      </c>
      <c r="I85" s="169" t="s">
        <v>300</v>
      </c>
      <c r="J85" s="8"/>
      <c r="K85" s="9"/>
      <c r="L85" s="8"/>
      <c r="M85" s="8"/>
      <c r="N85" s="10"/>
      <c r="O85" s="11"/>
    </row>
    <row r="86" ht="15.75" customHeight="1">
      <c r="A86" s="132"/>
      <c r="B86" s="186" t="s">
        <v>301</v>
      </c>
      <c r="C86" s="168" t="s">
        <v>14</v>
      </c>
      <c r="D86" s="31"/>
      <c r="E86" s="33">
        <v>4.95</v>
      </c>
      <c r="F86" s="37">
        <f t="shared" si="1"/>
        <v>44550</v>
      </c>
      <c r="G86" s="41">
        <f t="shared" si="6"/>
        <v>0</v>
      </c>
      <c r="H86" s="138" t="s">
        <v>302</v>
      </c>
      <c r="I86" s="135" t="s">
        <v>303</v>
      </c>
      <c r="J86" s="8"/>
      <c r="K86" s="9"/>
      <c r="L86" s="8"/>
      <c r="M86" s="8"/>
      <c r="N86" s="10"/>
      <c r="O86" s="11"/>
    </row>
    <row r="87" ht="15.75" customHeight="1">
      <c r="A87" s="132"/>
      <c r="B87" s="118" t="s">
        <v>304</v>
      </c>
      <c r="C87" s="129" t="s">
        <v>90</v>
      </c>
      <c r="D87" s="57"/>
      <c r="E87" s="62">
        <f>6.5</f>
        <v>6.5</v>
      </c>
      <c r="F87" s="37">
        <f t="shared" si="1"/>
        <v>58500</v>
      </c>
      <c r="G87" s="41">
        <f t="shared" si="6"/>
        <v>0</v>
      </c>
      <c r="H87" s="138" t="s">
        <v>305</v>
      </c>
      <c r="I87" s="135" t="s">
        <v>306</v>
      </c>
      <c r="J87" s="8"/>
      <c r="K87" s="9"/>
      <c r="L87" s="8"/>
      <c r="M87" s="8"/>
      <c r="N87" s="10"/>
      <c r="O87" s="11"/>
    </row>
    <row r="88" ht="15.75" customHeight="1">
      <c r="A88" s="132"/>
      <c r="B88" s="118" t="s">
        <v>307</v>
      </c>
      <c r="C88" s="129" t="s">
        <v>90</v>
      </c>
      <c r="D88" s="57"/>
      <c r="E88" s="33">
        <f>4.1*1.1</f>
        <v>4.51</v>
      </c>
      <c r="F88" s="37">
        <f t="shared" si="1"/>
        <v>40590</v>
      </c>
      <c r="G88" s="41">
        <f t="shared" si="6"/>
        <v>0</v>
      </c>
      <c r="H88" s="170" t="s">
        <v>281</v>
      </c>
      <c r="I88" s="187" t="s">
        <v>309</v>
      </c>
      <c r="J88" s="8"/>
      <c r="K88" s="9"/>
      <c r="L88" s="8"/>
      <c r="M88" s="8"/>
      <c r="N88" s="10"/>
      <c r="O88" s="11"/>
    </row>
    <row r="89" ht="15.75" customHeight="1">
      <c r="A89" s="132"/>
      <c r="B89" s="103" t="s">
        <v>311</v>
      </c>
      <c r="C89" s="168" t="s">
        <v>14</v>
      </c>
      <c r="D89" s="31"/>
      <c r="E89" s="33">
        <v>11.11</v>
      </c>
      <c r="F89" s="37">
        <f t="shared" si="1"/>
        <v>99990</v>
      </c>
      <c r="G89" s="41">
        <f t="shared" si="6"/>
        <v>0</v>
      </c>
      <c r="H89" s="100" t="s">
        <v>312</v>
      </c>
      <c r="I89" s="100" t="s">
        <v>312</v>
      </c>
      <c r="J89" s="8"/>
      <c r="K89" s="9"/>
      <c r="L89" s="8"/>
      <c r="M89" s="8"/>
      <c r="N89" s="10"/>
      <c r="O89" s="11"/>
    </row>
    <row r="90" ht="15.75" customHeight="1">
      <c r="A90" s="132"/>
      <c r="B90" s="28" t="s">
        <v>314</v>
      </c>
      <c r="C90" s="129" t="s">
        <v>14</v>
      </c>
      <c r="D90" s="31"/>
      <c r="E90" s="33">
        <v>12.0</v>
      </c>
      <c r="F90" s="37">
        <f t="shared" si="1"/>
        <v>108000</v>
      </c>
      <c r="G90" s="41">
        <f t="shared" si="6"/>
        <v>0</v>
      </c>
      <c r="H90" s="100" t="s">
        <v>312</v>
      </c>
      <c r="I90" s="100" t="s">
        <v>312</v>
      </c>
      <c r="J90" s="8"/>
      <c r="K90" s="9"/>
      <c r="L90" s="8"/>
      <c r="M90" s="8"/>
      <c r="N90" s="10"/>
      <c r="O90" s="11"/>
    </row>
    <row r="91" ht="15.75" customHeight="1">
      <c r="A91" s="132"/>
      <c r="B91" s="184" t="s">
        <v>316</v>
      </c>
      <c r="C91" s="168" t="s">
        <v>14</v>
      </c>
      <c r="D91" s="31"/>
      <c r="E91" s="62">
        <f>3.33*4</f>
        <v>13.32</v>
      </c>
      <c r="F91" s="37">
        <f t="shared" si="1"/>
        <v>119880</v>
      </c>
      <c r="G91" s="41">
        <f t="shared" si="6"/>
        <v>0</v>
      </c>
      <c r="H91" s="100" t="s">
        <v>317</v>
      </c>
      <c r="I91" s="100" t="s">
        <v>317</v>
      </c>
      <c r="J91" s="8"/>
      <c r="K91" s="9"/>
      <c r="L91" s="8"/>
      <c r="M91" s="8"/>
      <c r="N91" s="10"/>
      <c r="O91" s="11"/>
    </row>
    <row r="92" ht="15.75" customHeight="1">
      <c r="A92" s="132"/>
      <c r="B92" s="184" t="s">
        <v>318</v>
      </c>
      <c r="C92" s="168" t="s">
        <v>14</v>
      </c>
      <c r="D92" s="31"/>
      <c r="E92" s="62">
        <f>6.6*4</f>
        <v>26.4</v>
      </c>
      <c r="F92" s="37">
        <f t="shared" si="1"/>
        <v>237600</v>
      </c>
      <c r="G92" s="41">
        <f t="shared" si="6"/>
        <v>0</v>
      </c>
      <c r="H92" s="100" t="s">
        <v>158</v>
      </c>
      <c r="I92" s="100" t="s">
        <v>319</v>
      </c>
      <c r="J92" s="8"/>
      <c r="K92" s="9"/>
      <c r="L92" s="8"/>
      <c r="M92" s="8"/>
      <c r="N92" s="10"/>
      <c r="O92" s="11"/>
    </row>
    <row r="93" ht="15.75" customHeight="1">
      <c r="A93" s="132"/>
      <c r="B93" s="184" t="s">
        <v>321</v>
      </c>
      <c r="C93" s="168" t="s">
        <v>14</v>
      </c>
      <c r="D93" s="31"/>
      <c r="E93" s="33">
        <f>3.08*4</f>
        <v>12.32</v>
      </c>
      <c r="F93" s="37">
        <f t="shared" si="1"/>
        <v>110880</v>
      </c>
      <c r="G93" s="41">
        <f t="shared" si="6"/>
        <v>0</v>
      </c>
      <c r="H93" s="100" t="s">
        <v>317</v>
      </c>
      <c r="I93" s="100" t="s">
        <v>317</v>
      </c>
      <c r="J93" s="8"/>
      <c r="K93" s="9"/>
      <c r="L93" s="8"/>
      <c r="M93" s="8"/>
      <c r="N93" s="10"/>
      <c r="O93" s="11"/>
    </row>
    <row r="94" ht="15.75" customHeight="1">
      <c r="A94" s="132"/>
      <c r="B94" s="186" t="s">
        <v>322</v>
      </c>
      <c r="C94" s="129" t="s">
        <v>270</v>
      </c>
      <c r="D94" s="31"/>
      <c r="E94" s="62">
        <v>3.0</v>
      </c>
      <c r="F94" s="37">
        <f t="shared" si="1"/>
        <v>27000</v>
      </c>
      <c r="G94" s="41">
        <f t="shared" si="6"/>
        <v>0</v>
      </c>
      <c r="H94" s="100" t="s">
        <v>312</v>
      </c>
      <c r="I94" s="133" t="s">
        <v>312</v>
      </c>
      <c r="J94" s="8"/>
      <c r="K94" s="9"/>
      <c r="L94" s="8"/>
      <c r="M94" s="8"/>
      <c r="N94" s="10"/>
      <c r="O94" s="11"/>
    </row>
    <row r="95" ht="15.75" customHeight="1">
      <c r="A95" s="132"/>
      <c r="B95" s="183" t="s">
        <v>323</v>
      </c>
      <c r="C95" s="129" t="s">
        <v>324</v>
      </c>
      <c r="D95" s="31"/>
      <c r="E95" s="33">
        <v>15.0</v>
      </c>
      <c r="F95" s="37">
        <f t="shared" si="1"/>
        <v>135000</v>
      </c>
      <c r="G95" s="41">
        <f t="shared" si="6"/>
        <v>0</v>
      </c>
      <c r="H95" s="100" t="s">
        <v>312</v>
      </c>
      <c r="I95" s="133" t="s">
        <v>312</v>
      </c>
      <c r="J95" s="8"/>
      <c r="K95" s="9"/>
      <c r="L95" s="8"/>
      <c r="M95" s="8"/>
      <c r="N95" s="10"/>
      <c r="O95" s="11"/>
    </row>
    <row r="96" ht="15.75" customHeight="1">
      <c r="A96" s="132"/>
      <c r="B96" s="118" t="s">
        <v>325</v>
      </c>
      <c r="C96" s="129" t="s">
        <v>30</v>
      </c>
      <c r="D96" s="31"/>
      <c r="E96" s="33">
        <v>1.45</v>
      </c>
      <c r="F96" s="37">
        <f t="shared" si="1"/>
        <v>13050</v>
      </c>
      <c r="G96" s="41">
        <f t="shared" si="6"/>
        <v>0</v>
      </c>
      <c r="H96" s="116" t="s">
        <v>326</v>
      </c>
      <c r="I96" s="135" t="s">
        <v>326</v>
      </c>
      <c r="J96" s="8"/>
      <c r="K96" s="9"/>
      <c r="L96" s="8"/>
      <c r="M96" s="8"/>
      <c r="N96" s="10"/>
      <c r="O96" s="11"/>
    </row>
    <row r="97" ht="15.75" customHeight="1">
      <c r="A97" s="132"/>
      <c r="B97" s="28" t="s">
        <v>327</v>
      </c>
      <c r="C97" s="129" t="s">
        <v>14</v>
      </c>
      <c r="D97" s="31"/>
      <c r="E97" s="62">
        <v>11.25</v>
      </c>
      <c r="F97" s="37">
        <f t="shared" si="1"/>
        <v>101250</v>
      </c>
      <c r="G97" s="41">
        <f t="shared" si="6"/>
        <v>0</v>
      </c>
      <c r="H97" s="43" t="s">
        <v>158</v>
      </c>
      <c r="I97" s="135"/>
      <c r="J97" s="8"/>
      <c r="K97" s="9"/>
      <c r="L97" s="8"/>
      <c r="M97" s="8"/>
      <c r="N97" s="10"/>
      <c r="O97" s="11"/>
    </row>
    <row r="98" ht="15.75" customHeight="1">
      <c r="A98" s="132"/>
      <c r="B98" s="28" t="s">
        <v>329</v>
      </c>
      <c r="C98" s="129" t="s">
        <v>14</v>
      </c>
      <c r="D98" s="57"/>
      <c r="E98" s="62">
        <v>8.5</v>
      </c>
      <c r="F98" s="37">
        <f t="shared" si="1"/>
        <v>76500</v>
      </c>
      <c r="G98" s="41">
        <f t="shared" si="6"/>
        <v>0</v>
      </c>
      <c r="H98" s="43" t="s">
        <v>93</v>
      </c>
      <c r="I98" s="187" t="s">
        <v>330</v>
      </c>
      <c r="J98" s="8"/>
      <c r="K98" s="9"/>
      <c r="L98" s="8"/>
      <c r="M98" s="8"/>
      <c r="N98" s="10"/>
      <c r="O98" s="11"/>
    </row>
    <row r="99" ht="15.75" customHeight="1">
      <c r="A99" s="132"/>
      <c r="B99" s="28" t="s">
        <v>331</v>
      </c>
      <c r="C99" s="129" t="s">
        <v>30</v>
      </c>
      <c r="D99" s="57"/>
      <c r="E99" s="33">
        <f>7*12</f>
        <v>84</v>
      </c>
      <c r="F99" s="37">
        <f t="shared" si="1"/>
        <v>756000</v>
      </c>
      <c r="G99" s="41">
        <f t="shared" si="6"/>
        <v>0</v>
      </c>
      <c r="H99" s="116" t="s">
        <v>93</v>
      </c>
      <c r="I99" s="135" t="s">
        <v>335</v>
      </c>
      <c r="J99" s="8"/>
      <c r="K99" s="9"/>
      <c r="L99" s="8"/>
      <c r="M99" s="8"/>
      <c r="N99" s="10"/>
      <c r="O99" s="11"/>
    </row>
    <row r="100" ht="15.75" customHeight="1">
      <c r="A100" s="132"/>
      <c r="B100" s="28" t="s">
        <v>331</v>
      </c>
      <c r="C100" s="129" t="s">
        <v>30</v>
      </c>
      <c r="D100" s="31"/>
      <c r="E100" s="62">
        <v>67.0</v>
      </c>
      <c r="F100" s="37">
        <f t="shared" si="1"/>
        <v>603000</v>
      </c>
      <c r="G100" s="41">
        <f t="shared" si="6"/>
        <v>0</v>
      </c>
      <c r="H100" s="43" t="s">
        <v>336</v>
      </c>
      <c r="I100" s="135" t="s">
        <v>337</v>
      </c>
      <c r="J100" s="8"/>
      <c r="K100" s="9"/>
      <c r="L100" s="8"/>
      <c r="M100" s="8"/>
      <c r="N100" s="10"/>
      <c r="O100" s="11"/>
    </row>
    <row r="101" ht="15.75" customHeight="1">
      <c r="A101" s="132"/>
      <c r="B101" s="28" t="s">
        <v>339</v>
      </c>
      <c r="C101" s="129" t="s">
        <v>30</v>
      </c>
      <c r="D101" s="31"/>
      <c r="E101" s="62">
        <f>104.4</f>
        <v>104.4</v>
      </c>
      <c r="F101" s="37">
        <f t="shared" si="1"/>
        <v>939600</v>
      </c>
      <c r="G101" s="41">
        <f t="shared" si="6"/>
        <v>0</v>
      </c>
      <c r="H101" s="43" t="s">
        <v>342</v>
      </c>
      <c r="I101" s="135" t="s">
        <v>343</v>
      </c>
      <c r="J101" s="8"/>
      <c r="K101" s="9"/>
      <c r="L101" s="8"/>
      <c r="M101" s="8"/>
      <c r="N101" s="10"/>
      <c r="O101" s="11"/>
    </row>
    <row r="102" ht="15.75" customHeight="1">
      <c r="A102" s="132"/>
      <c r="B102" s="183" t="s">
        <v>344</v>
      </c>
      <c r="C102" s="168" t="s">
        <v>14</v>
      </c>
      <c r="D102" s="57"/>
      <c r="E102" s="33">
        <v>7.0</v>
      </c>
      <c r="F102" s="37">
        <f t="shared" si="1"/>
        <v>63000</v>
      </c>
      <c r="G102" s="41">
        <f t="shared" si="6"/>
        <v>0</v>
      </c>
      <c r="H102" s="116" t="s">
        <v>346</v>
      </c>
      <c r="I102" s="187" t="s">
        <v>347</v>
      </c>
      <c r="J102" s="8"/>
      <c r="K102" s="9"/>
      <c r="L102" s="8"/>
      <c r="M102" s="8"/>
      <c r="N102" s="10"/>
      <c r="O102" s="11"/>
    </row>
    <row r="103" ht="15.75" customHeight="1">
      <c r="A103" s="132"/>
      <c r="B103" s="118" t="s">
        <v>348</v>
      </c>
      <c r="C103" s="129" t="s">
        <v>280</v>
      </c>
      <c r="D103" s="57"/>
      <c r="E103" s="33">
        <v>16.5</v>
      </c>
      <c r="F103" s="37">
        <f t="shared" si="1"/>
        <v>148500</v>
      </c>
      <c r="G103" s="41">
        <f t="shared" si="6"/>
        <v>0</v>
      </c>
      <c r="H103" s="116" t="s">
        <v>93</v>
      </c>
      <c r="I103" s="135"/>
      <c r="J103" s="8"/>
      <c r="K103" s="9"/>
      <c r="L103" s="8"/>
      <c r="M103" s="8"/>
      <c r="N103" s="10"/>
      <c r="O103" s="11"/>
    </row>
    <row r="104" ht="15.75" customHeight="1">
      <c r="A104" s="132"/>
      <c r="B104" s="23" t="s">
        <v>352</v>
      </c>
      <c r="C104" s="121"/>
      <c r="D104" s="122"/>
      <c r="E104" s="123"/>
      <c r="F104" s="37">
        <f t="shared" si="1"/>
        <v>0</v>
      </c>
      <c r="G104" s="124"/>
      <c r="H104" s="189"/>
      <c r="I104" s="190"/>
      <c r="J104" s="8"/>
      <c r="K104" s="9"/>
      <c r="L104" s="8"/>
      <c r="M104" s="8"/>
      <c r="N104" s="10"/>
      <c r="O104" s="11"/>
    </row>
    <row r="105" ht="15.75" customHeight="1">
      <c r="A105" s="132"/>
      <c r="B105" s="28" t="s">
        <v>354</v>
      </c>
      <c r="C105" s="129" t="s">
        <v>355</v>
      </c>
      <c r="D105" s="31"/>
      <c r="E105" s="33">
        <v>20.535</v>
      </c>
      <c r="F105" s="37">
        <f t="shared" si="1"/>
        <v>184815</v>
      </c>
      <c r="G105" s="41">
        <f t="shared" ref="G105:G124" si="7">F105*D105</f>
        <v>0</v>
      </c>
      <c r="H105" s="97" t="s">
        <v>356</v>
      </c>
      <c r="I105" s="135" t="s">
        <v>357</v>
      </c>
      <c r="J105" s="8"/>
      <c r="K105" s="9"/>
      <c r="L105" s="8"/>
      <c r="M105" s="8"/>
      <c r="N105" s="10"/>
      <c r="O105" s="11"/>
    </row>
    <row r="106" ht="15.75" customHeight="1">
      <c r="A106" s="132"/>
      <c r="B106" s="28" t="s">
        <v>358</v>
      </c>
      <c r="C106" s="129" t="s">
        <v>355</v>
      </c>
      <c r="D106" s="31"/>
      <c r="E106" s="33">
        <v>20.54</v>
      </c>
      <c r="F106" s="37">
        <f t="shared" si="1"/>
        <v>184860</v>
      </c>
      <c r="G106" s="41">
        <f t="shared" si="7"/>
        <v>0</v>
      </c>
      <c r="H106" s="97" t="s">
        <v>356</v>
      </c>
      <c r="I106" s="135" t="s">
        <v>357</v>
      </c>
      <c r="J106" s="8"/>
      <c r="K106" s="9"/>
      <c r="L106" s="8"/>
      <c r="M106" s="8"/>
      <c r="N106" s="10"/>
      <c r="O106" s="11"/>
    </row>
    <row r="107" ht="15.75" customHeight="1">
      <c r="A107" s="132"/>
      <c r="B107" s="103" t="s">
        <v>359</v>
      </c>
      <c r="C107" s="168" t="s">
        <v>14</v>
      </c>
      <c r="D107" s="31"/>
      <c r="E107" s="33">
        <v>18.5</v>
      </c>
      <c r="F107" s="37">
        <f t="shared" si="1"/>
        <v>166500</v>
      </c>
      <c r="G107" s="41">
        <f t="shared" si="7"/>
        <v>0</v>
      </c>
      <c r="H107" s="97"/>
      <c r="I107" s="135"/>
      <c r="J107" s="8"/>
      <c r="K107" s="9"/>
      <c r="L107" s="8"/>
      <c r="M107" s="8"/>
      <c r="N107" s="10"/>
      <c r="O107" s="11"/>
    </row>
    <row r="108" ht="15.75" customHeight="1">
      <c r="A108" s="132"/>
      <c r="B108" s="103" t="s">
        <v>360</v>
      </c>
      <c r="C108" s="168" t="s">
        <v>165</v>
      </c>
      <c r="D108" s="31"/>
      <c r="E108" s="33">
        <v>16.32</v>
      </c>
      <c r="F108" s="37">
        <f t="shared" si="1"/>
        <v>146880</v>
      </c>
      <c r="G108" s="41">
        <f t="shared" si="7"/>
        <v>0</v>
      </c>
      <c r="H108" s="97" t="s">
        <v>356</v>
      </c>
      <c r="I108" s="135" t="s">
        <v>357</v>
      </c>
      <c r="J108" s="8"/>
      <c r="K108" s="9"/>
      <c r="L108" s="8"/>
      <c r="M108" s="8"/>
      <c r="N108" s="10"/>
      <c r="O108" s="11"/>
    </row>
    <row r="109" ht="15.75" customHeight="1">
      <c r="A109" s="132"/>
      <c r="B109" s="103" t="s">
        <v>361</v>
      </c>
      <c r="C109" s="168" t="s">
        <v>362</v>
      </c>
      <c r="D109" s="31"/>
      <c r="E109" s="33">
        <v>35.0</v>
      </c>
      <c r="F109" s="37">
        <f t="shared" si="1"/>
        <v>315000</v>
      </c>
      <c r="G109" s="41">
        <f t="shared" si="7"/>
        <v>0</v>
      </c>
      <c r="H109" s="97" t="s">
        <v>356</v>
      </c>
      <c r="I109" s="135" t="s">
        <v>357</v>
      </c>
      <c r="J109" s="8"/>
      <c r="K109" s="9"/>
      <c r="L109" s="8"/>
      <c r="M109" s="8"/>
      <c r="N109" s="10"/>
      <c r="O109" s="11"/>
    </row>
    <row r="110" ht="15.75" customHeight="1">
      <c r="A110" s="132"/>
      <c r="B110" s="28" t="s">
        <v>363</v>
      </c>
      <c r="C110" s="129" t="s">
        <v>90</v>
      </c>
      <c r="D110" s="31"/>
      <c r="E110" s="33">
        <v>0.88</v>
      </c>
      <c r="F110" s="37">
        <f t="shared" si="1"/>
        <v>7920</v>
      </c>
      <c r="G110" s="41">
        <f t="shared" si="7"/>
        <v>0</v>
      </c>
      <c r="H110" s="43" t="s">
        <v>365</v>
      </c>
      <c r="I110" s="135" t="s">
        <v>366</v>
      </c>
      <c r="J110" s="191"/>
      <c r="K110" s="191"/>
      <c r="L110" s="191"/>
      <c r="M110" s="191"/>
      <c r="N110" s="191"/>
      <c r="O110" s="192"/>
    </row>
    <row r="111" ht="15.75" customHeight="1">
      <c r="A111" s="132"/>
      <c r="B111" s="28" t="s">
        <v>367</v>
      </c>
      <c r="C111" s="129" t="s">
        <v>90</v>
      </c>
      <c r="D111" s="31"/>
      <c r="E111" s="62">
        <v>7.5</v>
      </c>
      <c r="F111" s="37">
        <f t="shared" si="1"/>
        <v>67500</v>
      </c>
      <c r="G111" s="41">
        <f t="shared" si="7"/>
        <v>0</v>
      </c>
      <c r="H111" s="43" t="s">
        <v>368</v>
      </c>
      <c r="I111" s="135"/>
      <c r="J111" s="191"/>
      <c r="K111" s="191"/>
      <c r="L111" s="191"/>
      <c r="M111" s="191"/>
      <c r="N111" s="191"/>
      <c r="O111" s="192"/>
    </row>
    <row r="112" ht="15.75" customHeight="1">
      <c r="A112" s="132"/>
      <c r="B112" s="28" t="s">
        <v>370</v>
      </c>
      <c r="C112" s="129" t="s">
        <v>90</v>
      </c>
      <c r="D112" s="31"/>
      <c r="E112" s="62">
        <v>7.5</v>
      </c>
      <c r="F112" s="37">
        <f t="shared" si="1"/>
        <v>67500</v>
      </c>
      <c r="G112" s="41">
        <f t="shared" si="7"/>
        <v>0</v>
      </c>
      <c r="H112" s="43" t="s">
        <v>368</v>
      </c>
      <c r="I112" s="135"/>
      <c r="J112" s="191"/>
      <c r="K112" s="191"/>
      <c r="L112" s="191"/>
      <c r="M112" s="191"/>
      <c r="N112" s="191"/>
      <c r="O112" s="192"/>
    </row>
    <row r="113" ht="15.75" customHeight="1">
      <c r="A113" s="132"/>
      <c r="B113" s="28" t="s">
        <v>371</v>
      </c>
      <c r="C113" s="129" t="s">
        <v>90</v>
      </c>
      <c r="D113" s="31"/>
      <c r="E113" s="62">
        <v>7.5</v>
      </c>
      <c r="F113" s="37">
        <f t="shared" si="1"/>
        <v>67500</v>
      </c>
      <c r="G113" s="41">
        <f t="shared" si="7"/>
        <v>0</v>
      </c>
      <c r="H113" s="43" t="s">
        <v>368</v>
      </c>
      <c r="I113" s="135"/>
      <c r="J113" s="191"/>
      <c r="K113" s="191"/>
      <c r="L113" s="191"/>
      <c r="M113" s="191"/>
      <c r="N113" s="191"/>
      <c r="O113" s="192"/>
    </row>
    <row r="114" ht="15.75" customHeight="1">
      <c r="A114" s="132"/>
      <c r="B114" s="47" t="s">
        <v>373</v>
      </c>
      <c r="C114" s="168" t="s">
        <v>90</v>
      </c>
      <c r="D114" s="31"/>
      <c r="E114" s="33">
        <v>2.75</v>
      </c>
      <c r="F114" s="37">
        <f t="shared" si="1"/>
        <v>24750</v>
      </c>
      <c r="G114" s="41">
        <f t="shared" si="7"/>
        <v>0</v>
      </c>
      <c r="H114" s="43"/>
      <c r="I114" s="187" t="s">
        <v>375</v>
      </c>
      <c r="J114" s="191"/>
      <c r="K114" s="191"/>
      <c r="L114" s="191"/>
      <c r="M114" s="191"/>
      <c r="N114" s="191"/>
      <c r="O114" s="192"/>
    </row>
    <row r="115" ht="15.75" customHeight="1">
      <c r="A115" s="132"/>
      <c r="B115" s="86" t="s">
        <v>376</v>
      </c>
      <c r="C115" s="129" t="s">
        <v>95</v>
      </c>
      <c r="D115" s="31"/>
      <c r="E115" s="33">
        <v>0.0</v>
      </c>
      <c r="F115" s="37">
        <f t="shared" si="1"/>
        <v>0</v>
      </c>
      <c r="G115" s="41">
        <f t="shared" si="7"/>
        <v>0</v>
      </c>
      <c r="H115" s="43" t="s">
        <v>377</v>
      </c>
      <c r="I115" s="135"/>
      <c r="J115" s="191"/>
      <c r="K115" s="191"/>
      <c r="L115" s="191"/>
      <c r="M115" s="191"/>
      <c r="N115" s="191"/>
      <c r="O115" s="192"/>
    </row>
    <row r="116" ht="15.75" customHeight="1">
      <c r="A116" s="132"/>
      <c r="B116" s="28" t="s">
        <v>378</v>
      </c>
      <c r="C116" s="129" t="s">
        <v>165</v>
      </c>
      <c r="D116" s="31"/>
      <c r="E116" s="33">
        <v>72.0</v>
      </c>
      <c r="F116" s="37">
        <f t="shared" si="1"/>
        <v>648000</v>
      </c>
      <c r="G116" s="41">
        <f t="shared" si="7"/>
        <v>0</v>
      </c>
      <c r="H116" s="43" t="s">
        <v>377</v>
      </c>
      <c r="I116" s="135"/>
      <c r="J116" s="191"/>
      <c r="K116" s="191"/>
      <c r="L116" s="191"/>
      <c r="M116" s="191"/>
      <c r="N116" s="191"/>
      <c r="O116" s="192"/>
    </row>
    <row r="117" ht="15.75" customHeight="1">
      <c r="A117" s="132"/>
      <c r="B117" s="103" t="s">
        <v>380</v>
      </c>
      <c r="C117" s="168" t="s">
        <v>90</v>
      </c>
      <c r="D117" s="57"/>
      <c r="E117" s="33">
        <v>2.0</v>
      </c>
      <c r="F117" s="37">
        <f t="shared" si="1"/>
        <v>18000</v>
      </c>
      <c r="G117" s="41">
        <f t="shared" si="7"/>
        <v>0</v>
      </c>
      <c r="H117" s="195" t="s">
        <v>382</v>
      </c>
      <c r="I117" s="187" t="s">
        <v>384</v>
      </c>
      <c r="J117" s="191"/>
      <c r="K117" s="191"/>
      <c r="L117" s="191"/>
      <c r="M117" s="191"/>
      <c r="N117" s="191"/>
      <c r="O117" s="192"/>
    </row>
    <row r="118" ht="15.75" customHeight="1">
      <c r="A118" s="132"/>
      <c r="B118" s="103" t="s">
        <v>387</v>
      </c>
      <c r="C118" s="168" t="s">
        <v>90</v>
      </c>
      <c r="D118" s="57"/>
      <c r="E118" s="33">
        <v>2.5</v>
      </c>
      <c r="F118" s="37">
        <f t="shared" si="1"/>
        <v>22500</v>
      </c>
      <c r="G118" s="41">
        <f t="shared" si="7"/>
        <v>0</v>
      </c>
      <c r="H118" s="195" t="s">
        <v>382</v>
      </c>
      <c r="I118" s="187" t="s">
        <v>384</v>
      </c>
      <c r="J118" s="191"/>
      <c r="K118" s="191"/>
      <c r="L118" s="191"/>
      <c r="M118" s="191"/>
      <c r="N118" s="191"/>
      <c r="O118" s="192"/>
    </row>
    <row r="119" ht="15.75" customHeight="1">
      <c r="A119" s="132"/>
      <c r="B119" s="103" t="s">
        <v>389</v>
      </c>
      <c r="C119" s="168" t="s">
        <v>90</v>
      </c>
      <c r="D119" s="57"/>
      <c r="E119" s="33">
        <v>3.0</v>
      </c>
      <c r="F119" s="37">
        <f t="shared" si="1"/>
        <v>27000</v>
      </c>
      <c r="G119" s="41">
        <f t="shared" si="7"/>
        <v>0</v>
      </c>
      <c r="H119" s="195" t="s">
        <v>382</v>
      </c>
      <c r="I119" s="187" t="s">
        <v>384</v>
      </c>
      <c r="J119" s="191"/>
      <c r="K119" s="191"/>
      <c r="L119" s="191"/>
      <c r="M119" s="191"/>
      <c r="N119" s="191"/>
      <c r="O119" s="192"/>
    </row>
    <row r="120" ht="15.75" customHeight="1">
      <c r="A120" s="132"/>
      <c r="B120" s="103" t="s">
        <v>391</v>
      </c>
      <c r="C120" s="168" t="s">
        <v>90</v>
      </c>
      <c r="D120" s="57"/>
      <c r="E120" s="33">
        <v>2.0</v>
      </c>
      <c r="F120" s="37">
        <f t="shared" si="1"/>
        <v>18000</v>
      </c>
      <c r="G120" s="41">
        <f t="shared" si="7"/>
        <v>0</v>
      </c>
      <c r="H120" s="195" t="s">
        <v>382</v>
      </c>
      <c r="I120" s="187" t="s">
        <v>384</v>
      </c>
      <c r="J120" s="191"/>
      <c r="K120" s="191"/>
      <c r="L120" s="191"/>
      <c r="M120" s="191"/>
      <c r="N120" s="191"/>
      <c r="O120" s="192"/>
    </row>
    <row r="121" ht="15.75" customHeight="1">
      <c r="A121" s="132"/>
      <c r="B121" s="28" t="s">
        <v>392</v>
      </c>
      <c r="C121" s="129" t="s">
        <v>14</v>
      </c>
      <c r="D121" s="31"/>
      <c r="E121" s="62">
        <f>28.25*1.1</f>
        <v>31.075</v>
      </c>
      <c r="F121" s="37">
        <f t="shared" si="1"/>
        <v>279675</v>
      </c>
      <c r="G121" s="41">
        <f t="shared" si="7"/>
        <v>0</v>
      </c>
      <c r="H121" s="145" t="s">
        <v>365</v>
      </c>
      <c r="I121" s="135" t="s">
        <v>393</v>
      </c>
      <c r="J121" s="191"/>
      <c r="K121" s="191"/>
      <c r="L121" s="191"/>
      <c r="M121" s="191"/>
      <c r="N121" s="191"/>
      <c r="O121" s="192"/>
    </row>
    <row r="122" ht="15.75" customHeight="1">
      <c r="A122" s="132"/>
      <c r="B122" s="47" t="s">
        <v>394</v>
      </c>
      <c r="C122" s="168" t="s">
        <v>187</v>
      </c>
      <c r="D122" s="31"/>
      <c r="E122" s="33">
        <v>7.4</v>
      </c>
      <c r="F122" s="37">
        <f t="shared" si="1"/>
        <v>66600</v>
      </c>
      <c r="G122" s="41">
        <f t="shared" si="7"/>
        <v>0</v>
      </c>
      <c r="H122" s="145" t="s">
        <v>396</v>
      </c>
      <c r="I122" s="135" t="s">
        <v>397</v>
      </c>
      <c r="J122" s="191"/>
      <c r="K122" s="191"/>
      <c r="L122" s="191"/>
      <c r="M122" s="191"/>
      <c r="N122" s="191"/>
      <c r="O122" s="192"/>
    </row>
    <row r="123" ht="15.75" customHeight="1">
      <c r="A123" s="132"/>
      <c r="B123" s="28" t="s">
        <v>398</v>
      </c>
      <c r="C123" s="129" t="s">
        <v>14</v>
      </c>
      <c r="D123" s="31"/>
      <c r="E123" s="62">
        <v>1.0</v>
      </c>
      <c r="F123" s="37">
        <f t="shared" si="1"/>
        <v>9000</v>
      </c>
      <c r="G123" s="41">
        <f t="shared" si="7"/>
        <v>0</v>
      </c>
      <c r="H123" s="145" t="s">
        <v>399</v>
      </c>
      <c r="I123" s="135"/>
      <c r="J123" s="191"/>
      <c r="K123" s="191"/>
      <c r="L123" s="191"/>
      <c r="M123" s="191"/>
      <c r="N123" s="191"/>
      <c r="O123" s="192"/>
    </row>
    <row r="124" ht="15.75" customHeight="1">
      <c r="A124" s="132"/>
      <c r="B124" s="28" t="s">
        <v>400</v>
      </c>
      <c r="C124" s="197" t="s">
        <v>14</v>
      </c>
      <c r="D124" s="31"/>
      <c r="E124" s="62">
        <v>13.6</v>
      </c>
      <c r="F124" s="37">
        <f t="shared" si="1"/>
        <v>122400</v>
      </c>
      <c r="G124" s="41">
        <f t="shared" si="7"/>
        <v>0</v>
      </c>
      <c r="H124" s="43" t="s">
        <v>402</v>
      </c>
      <c r="I124" s="45" t="s">
        <v>403</v>
      </c>
      <c r="J124" s="191"/>
      <c r="K124" s="191"/>
      <c r="L124" s="191"/>
      <c r="M124" s="191"/>
      <c r="N124" s="191"/>
      <c r="O124" s="192"/>
    </row>
    <row r="125" ht="15.75" customHeight="1">
      <c r="A125" s="132"/>
      <c r="B125" s="23" t="s">
        <v>404</v>
      </c>
      <c r="C125" s="192"/>
      <c r="D125" s="122"/>
      <c r="E125" s="123"/>
      <c r="F125" s="37">
        <f t="shared" si="1"/>
        <v>0</v>
      </c>
      <c r="G125" s="124"/>
      <c r="H125" s="189"/>
      <c r="I125" s="190"/>
      <c r="J125" s="191"/>
      <c r="K125" s="191"/>
      <c r="L125" s="191"/>
      <c r="M125" s="191"/>
      <c r="N125" s="191"/>
      <c r="O125" s="192"/>
    </row>
    <row r="126" ht="15.75" customHeight="1">
      <c r="A126" s="132"/>
      <c r="B126" s="86" t="s">
        <v>405</v>
      </c>
      <c r="C126" s="197" t="s">
        <v>14</v>
      </c>
      <c r="D126" s="31"/>
      <c r="E126" s="62">
        <v>1.3</v>
      </c>
      <c r="F126" s="37">
        <f t="shared" si="1"/>
        <v>11700</v>
      </c>
      <c r="G126" s="41">
        <f t="shared" ref="G126:G146" si="8">F126*D126</f>
        <v>0</v>
      </c>
      <c r="H126" s="100" t="s">
        <v>407</v>
      </c>
      <c r="I126" s="100" t="s">
        <v>407</v>
      </c>
      <c r="J126" s="191"/>
      <c r="K126" s="191"/>
      <c r="L126" s="191"/>
      <c r="M126" s="191"/>
      <c r="N126" s="191"/>
      <c r="O126" s="192"/>
    </row>
    <row r="127" ht="15.75" customHeight="1">
      <c r="A127" s="132"/>
      <c r="B127" s="86" t="s">
        <v>409</v>
      </c>
      <c r="C127" s="197" t="s">
        <v>14</v>
      </c>
      <c r="D127" s="31"/>
      <c r="E127" s="62">
        <v>1.2</v>
      </c>
      <c r="F127" s="37">
        <f t="shared" si="1"/>
        <v>10800</v>
      </c>
      <c r="G127" s="41">
        <f t="shared" si="8"/>
        <v>0</v>
      </c>
      <c r="H127" s="100" t="s">
        <v>407</v>
      </c>
      <c r="I127" s="100" t="s">
        <v>407</v>
      </c>
      <c r="J127" s="191"/>
      <c r="K127" s="191"/>
      <c r="L127" s="191"/>
      <c r="M127" s="191"/>
      <c r="N127" s="191"/>
      <c r="O127" s="192"/>
    </row>
    <row r="128" ht="15.75" customHeight="1">
      <c r="A128" s="132"/>
      <c r="B128" s="86" t="s">
        <v>410</v>
      </c>
      <c r="C128" s="197" t="s">
        <v>270</v>
      </c>
      <c r="D128" s="31"/>
      <c r="E128" s="62">
        <f>45.5/32</f>
        <v>1.421875</v>
      </c>
      <c r="F128" s="37">
        <f t="shared" si="1"/>
        <v>12796.875</v>
      </c>
      <c r="G128" s="41">
        <f t="shared" si="8"/>
        <v>0</v>
      </c>
      <c r="H128" s="100" t="s">
        <v>407</v>
      </c>
      <c r="I128" s="100" t="s">
        <v>407</v>
      </c>
      <c r="J128" s="191"/>
      <c r="K128" s="191"/>
      <c r="L128" s="191"/>
      <c r="M128" s="191"/>
      <c r="N128" s="191"/>
      <c r="O128" s="192"/>
    </row>
    <row r="129" ht="15.75" customHeight="1">
      <c r="A129" s="132"/>
      <c r="B129" s="86" t="s">
        <v>413</v>
      </c>
      <c r="C129" s="197" t="s">
        <v>270</v>
      </c>
      <c r="D129" s="31"/>
      <c r="E129" s="62">
        <v>7.5</v>
      </c>
      <c r="F129" s="37">
        <f t="shared" si="1"/>
        <v>67500</v>
      </c>
      <c r="G129" s="41">
        <f t="shared" si="8"/>
        <v>0</v>
      </c>
      <c r="H129" s="100" t="s">
        <v>407</v>
      </c>
      <c r="I129" s="100" t="s">
        <v>407</v>
      </c>
      <c r="J129" s="191"/>
      <c r="K129" s="191"/>
      <c r="L129" s="191"/>
      <c r="M129" s="191"/>
      <c r="N129" s="191"/>
      <c r="O129" s="192"/>
    </row>
    <row r="130" ht="15.75" customHeight="1">
      <c r="A130" s="132"/>
      <c r="B130" s="198" t="s">
        <v>415</v>
      </c>
      <c r="C130" s="199" t="s">
        <v>14</v>
      </c>
      <c r="D130" s="31"/>
      <c r="E130" s="33">
        <v>3.0</v>
      </c>
      <c r="F130" s="37">
        <f t="shared" si="1"/>
        <v>27000</v>
      </c>
      <c r="G130" s="41">
        <f t="shared" si="8"/>
        <v>0</v>
      </c>
      <c r="H130" s="100" t="s">
        <v>407</v>
      </c>
      <c r="I130" s="100" t="s">
        <v>407</v>
      </c>
      <c r="J130" s="191"/>
      <c r="K130" s="191"/>
      <c r="L130" s="191"/>
      <c r="M130" s="191"/>
      <c r="N130" s="191"/>
      <c r="O130" s="192"/>
    </row>
    <row r="131" ht="15.75" customHeight="1">
      <c r="A131" s="132"/>
      <c r="B131" s="28" t="s">
        <v>416</v>
      </c>
      <c r="C131" s="197" t="s">
        <v>30</v>
      </c>
      <c r="D131" s="31"/>
      <c r="E131" s="62">
        <f>1.5*1.1</f>
        <v>1.65</v>
      </c>
      <c r="F131" s="37">
        <f t="shared" si="1"/>
        <v>14850</v>
      </c>
      <c r="G131" s="41">
        <f t="shared" si="8"/>
        <v>0</v>
      </c>
      <c r="H131" s="100" t="s">
        <v>407</v>
      </c>
      <c r="I131" s="100" t="s">
        <v>407</v>
      </c>
      <c r="J131" s="191"/>
      <c r="K131" s="191"/>
      <c r="L131" s="191"/>
      <c r="M131" s="191"/>
      <c r="N131" s="191"/>
      <c r="O131" s="192"/>
    </row>
    <row r="132" ht="15.75" customHeight="1">
      <c r="A132" s="132"/>
      <c r="B132" s="28" t="s">
        <v>420</v>
      </c>
      <c r="C132" s="197" t="s">
        <v>14</v>
      </c>
      <c r="D132" s="31"/>
      <c r="E132" s="33">
        <v>2.9</v>
      </c>
      <c r="F132" s="37">
        <f t="shared" si="1"/>
        <v>26100</v>
      </c>
      <c r="G132" s="41">
        <f t="shared" si="8"/>
        <v>0</v>
      </c>
      <c r="H132" s="100" t="s">
        <v>407</v>
      </c>
      <c r="I132" s="100" t="s">
        <v>407</v>
      </c>
      <c r="J132" s="191"/>
      <c r="K132" s="191"/>
      <c r="L132" s="191"/>
      <c r="M132" s="191"/>
      <c r="N132" s="191"/>
      <c r="O132" s="192"/>
    </row>
    <row r="133" ht="15.75" customHeight="1">
      <c r="A133" s="132"/>
      <c r="B133" s="28" t="s">
        <v>421</v>
      </c>
      <c r="C133" s="197" t="s">
        <v>270</v>
      </c>
      <c r="D133" s="31"/>
      <c r="E133" s="62">
        <v>1.5</v>
      </c>
      <c r="F133" s="37">
        <f t="shared" si="1"/>
        <v>13500</v>
      </c>
      <c r="G133" s="41">
        <f t="shared" si="8"/>
        <v>0</v>
      </c>
      <c r="H133" s="100" t="s">
        <v>407</v>
      </c>
      <c r="I133" s="100" t="s">
        <v>407</v>
      </c>
      <c r="J133" s="191"/>
      <c r="K133" s="191"/>
      <c r="L133" s="191"/>
      <c r="M133" s="191"/>
      <c r="N133" s="191"/>
      <c r="O133" s="192"/>
    </row>
    <row r="134" ht="15.75" customHeight="1">
      <c r="A134" s="132"/>
      <c r="B134" s="28" t="s">
        <v>421</v>
      </c>
      <c r="C134" s="197" t="s">
        <v>14</v>
      </c>
      <c r="D134" s="31"/>
      <c r="E134" s="62">
        <v>1.6</v>
      </c>
      <c r="F134" s="37">
        <f t="shared" si="1"/>
        <v>14400</v>
      </c>
      <c r="G134" s="41">
        <f t="shared" si="8"/>
        <v>0</v>
      </c>
      <c r="H134" s="100" t="s">
        <v>407</v>
      </c>
      <c r="I134" s="100" t="s">
        <v>407</v>
      </c>
      <c r="J134" s="191"/>
      <c r="K134" s="191"/>
      <c r="L134" s="191"/>
      <c r="M134" s="191"/>
      <c r="N134" s="191"/>
      <c r="O134" s="192"/>
    </row>
    <row r="135" ht="15.75" customHeight="1">
      <c r="A135" s="132"/>
      <c r="B135" s="86" t="s">
        <v>424</v>
      </c>
      <c r="C135" s="197" t="s">
        <v>14</v>
      </c>
      <c r="D135" s="31"/>
      <c r="E135" s="62">
        <v>1.0</v>
      </c>
      <c r="F135" s="37">
        <f t="shared" si="1"/>
        <v>9000</v>
      </c>
      <c r="G135" s="41">
        <f t="shared" si="8"/>
        <v>0</v>
      </c>
      <c r="H135" s="100" t="s">
        <v>407</v>
      </c>
      <c r="I135" s="100" t="s">
        <v>407</v>
      </c>
      <c r="J135" s="191"/>
      <c r="K135" s="191"/>
      <c r="L135" s="191"/>
      <c r="M135" s="191"/>
      <c r="N135" s="191"/>
      <c r="O135" s="192"/>
    </row>
    <row r="136" ht="15.75" customHeight="1">
      <c r="A136" s="132"/>
      <c r="B136" s="28" t="s">
        <v>425</v>
      </c>
      <c r="C136" s="202" t="s">
        <v>14</v>
      </c>
      <c r="D136" s="31"/>
      <c r="E136" s="33">
        <v>10.0</v>
      </c>
      <c r="F136" s="37">
        <f t="shared" si="1"/>
        <v>90000</v>
      </c>
      <c r="G136" s="41">
        <f t="shared" si="8"/>
        <v>0</v>
      </c>
      <c r="H136" s="100" t="s">
        <v>407</v>
      </c>
      <c r="I136" s="100" t="s">
        <v>407</v>
      </c>
      <c r="J136" s="191"/>
      <c r="K136" s="191"/>
      <c r="L136" s="191"/>
      <c r="M136" s="191"/>
      <c r="N136" s="191"/>
      <c r="O136" s="192"/>
    </row>
    <row r="137" ht="15.75" customHeight="1">
      <c r="A137" s="132"/>
      <c r="B137" s="86" t="s">
        <v>427</v>
      </c>
      <c r="C137" s="197" t="s">
        <v>14</v>
      </c>
      <c r="D137" s="31"/>
      <c r="E137" s="62"/>
      <c r="F137" s="37">
        <f t="shared" si="1"/>
        <v>0</v>
      </c>
      <c r="G137" s="41">
        <f t="shared" si="8"/>
        <v>0</v>
      </c>
      <c r="H137" s="100" t="s">
        <v>407</v>
      </c>
      <c r="I137" s="100" t="s">
        <v>407</v>
      </c>
      <c r="J137" s="191"/>
      <c r="K137" s="191"/>
      <c r="L137" s="191"/>
      <c r="M137" s="191"/>
      <c r="N137" s="191"/>
      <c r="O137" s="192"/>
    </row>
    <row r="138" ht="15.75" customHeight="1">
      <c r="A138" s="132"/>
      <c r="B138" s="28" t="s">
        <v>428</v>
      </c>
      <c r="C138" s="197" t="s">
        <v>14</v>
      </c>
      <c r="D138" s="31"/>
      <c r="E138" s="33">
        <v>11.5</v>
      </c>
      <c r="F138" s="37">
        <f t="shared" si="1"/>
        <v>103500</v>
      </c>
      <c r="G138" s="41">
        <f t="shared" si="8"/>
        <v>0</v>
      </c>
      <c r="H138" s="100" t="s">
        <v>407</v>
      </c>
      <c r="I138" s="100" t="s">
        <v>407</v>
      </c>
      <c r="J138" s="191"/>
      <c r="K138" s="191"/>
      <c r="L138" s="191"/>
      <c r="M138" s="191"/>
      <c r="N138" s="191"/>
      <c r="O138" s="192"/>
    </row>
    <row r="139" ht="15.75" customHeight="1">
      <c r="A139" s="132"/>
      <c r="B139" s="64" t="s">
        <v>430</v>
      </c>
      <c r="C139" s="197" t="s">
        <v>14</v>
      </c>
      <c r="D139" s="31"/>
      <c r="E139" s="62">
        <v>1.58</v>
      </c>
      <c r="F139" s="37">
        <f t="shared" si="1"/>
        <v>14220</v>
      </c>
      <c r="G139" s="41">
        <f t="shared" si="8"/>
        <v>0</v>
      </c>
      <c r="H139" s="100" t="s">
        <v>407</v>
      </c>
      <c r="I139" s="100" t="s">
        <v>407</v>
      </c>
      <c r="J139" s="191"/>
      <c r="K139" s="191"/>
      <c r="L139" s="191"/>
      <c r="M139" s="191"/>
      <c r="N139" s="191"/>
      <c r="O139" s="192"/>
    </row>
    <row r="140" ht="15.75" customHeight="1">
      <c r="A140" s="132"/>
      <c r="B140" s="64" t="s">
        <v>431</v>
      </c>
      <c r="C140" s="197" t="s">
        <v>47</v>
      </c>
      <c r="D140" s="31"/>
      <c r="E140" s="62">
        <v>20.0</v>
      </c>
      <c r="F140" s="37">
        <f t="shared" si="1"/>
        <v>180000</v>
      </c>
      <c r="G140" s="41">
        <f t="shared" si="8"/>
        <v>0</v>
      </c>
      <c r="H140" s="100" t="s">
        <v>407</v>
      </c>
      <c r="I140" s="100" t="s">
        <v>407</v>
      </c>
      <c r="J140" s="191"/>
      <c r="K140" s="191"/>
      <c r="L140" s="191"/>
      <c r="M140" s="191"/>
      <c r="N140" s="191"/>
      <c r="O140" s="192"/>
    </row>
    <row r="141" ht="15.75" customHeight="1">
      <c r="A141" s="132"/>
      <c r="B141" s="204" t="s">
        <v>433</v>
      </c>
      <c r="C141" s="197" t="s">
        <v>47</v>
      </c>
      <c r="D141" s="31"/>
      <c r="E141" s="33">
        <v>27.0</v>
      </c>
      <c r="F141" s="37">
        <f t="shared" si="1"/>
        <v>243000</v>
      </c>
      <c r="G141" s="41">
        <f t="shared" si="8"/>
        <v>0</v>
      </c>
      <c r="H141" s="100" t="s">
        <v>407</v>
      </c>
      <c r="I141" s="100" t="s">
        <v>407</v>
      </c>
      <c r="J141" s="191"/>
      <c r="K141" s="191"/>
      <c r="L141" s="191"/>
      <c r="M141" s="191"/>
      <c r="N141" s="191"/>
      <c r="O141" s="192"/>
    </row>
    <row r="142" ht="15.75" customHeight="1">
      <c r="A142" s="132"/>
      <c r="B142" s="134" t="s">
        <v>436</v>
      </c>
      <c r="C142" s="197" t="s">
        <v>47</v>
      </c>
      <c r="D142" s="31"/>
      <c r="E142" s="33">
        <v>0.0</v>
      </c>
      <c r="F142" s="37">
        <f t="shared" si="1"/>
        <v>0</v>
      </c>
      <c r="G142" s="41">
        <f t="shared" si="8"/>
        <v>0</v>
      </c>
      <c r="H142" s="100" t="s">
        <v>437</v>
      </c>
      <c r="I142" s="100" t="s">
        <v>437</v>
      </c>
      <c r="J142" s="191"/>
      <c r="K142" s="191"/>
      <c r="L142" s="191"/>
      <c r="M142" s="191"/>
      <c r="N142" s="191"/>
      <c r="O142" s="192"/>
    </row>
    <row r="143" ht="15.75" customHeight="1">
      <c r="A143" s="132"/>
      <c r="B143" s="134" t="s">
        <v>439</v>
      </c>
      <c r="C143" s="197" t="s">
        <v>47</v>
      </c>
      <c r="D143" s="31"/>
      <c r="E143" s="33">
        <v>6.5</v>
      </c>
      <c r="F143" s="37">
        <f t="shared" si="1"/>
        <v>58500</v>
      </c>
      <c r="G143" s="41">
        <f t="shared" si="8"/>
        <v>0</v>
      </c>
      <c r="H143" s="100" t="s">
        <v>407</v>
      </c>
      <c r="I143" s="100" t="s">
        <v>407</v>
      </c>
      <c r="J143" s="191"/>
      <c r="K143" s="191"/>
      <c r="L143" s="191"/>
      <c r="M143" s="191"/>
      <c r="N143" s="191"/>
      <c r="O143" s="192"/>
    </row>
    <row r="144" ht="15.75" customHeight="1">
      <c r="A144" s="132"/>
      <c r="B144" s="64" t="s">
        <v>440</v>
      </c>
      <c r="C144" s="197" t="s">
        <v>14</v>
      </c>
      <c r="D144" s="31"/>
      <c r="E144" s="62">
        <v>3.68</v>
      </c>
      <c r="F144" s="37">
        <f t="shared" si="1"/>
        <v>33120</v>
      </c>
      <c r="G144" s="41">
        <f t="shared" si="8"/>
        <v>0</v>
      </c>
      <c r="H144" s="100" t="s">
        <v>407</v>
      </c>
      <c r="I144" s="100" t="s">
        <v>407</v>
      </c>
      <c r="J144" s="191"/>
      <c r="K144" s="191"/>
      <c r="L144" s="191"/>
      <c r="M144" s="191"/>
      <c r="N144" s="191"/>
      <c r="O144" s="192"/>
    </row>
    <row r="145" ht="15.75" customHeight="1">
      <c r="A145" s="132"/>
      <c r="B145" s="134" t="s">
        <v>441</v>
      </c>
      <c r="C145" s="197" t="s">
        <v>47</v>
      </c>
      <c r="D145" s="57"/>
      <c r="E145" s="62">
        <f>23/25</f>
        <v>0.92</v>
      </c>
      <c r="F145" s="37">
        <f t="shared" si="1"/>
        <v>8280</v>
      </c>
      <c r="G145" s="41">
        <f t="shared" si="8"/>
        <v>0</v>
      </c>
      <c r="H145" s="100" t="s">
        <v>407</v>
      </c>
      <c r="I145" s="100" t="s">
        <v>407</v>
      </c>
      <c r="J145" s="191"/>
      <c r="K145" s="191"/>
      <c r="L145" s="191"/>
      <c r="M145" s="191"/>
      <c r="N145" s="191"/>
      <c r="O145" s="192"/>
    </row>
    <row r="146" ht="15.75" customHeight="1">
      <c r="A146" s="132"/>
      <c r="B146" s="64" t="s">
        <v>445</v>
      </c>
      <c r="C146" s="197" t="s">
        <v>270</v>
      </c>
      <c r="D146" s="31"/>
      <c r="E146" s="62">
        <v>7.25</v>
      </c>
      <c r="F146" s="37">
        <f t="shared" si="1"/>
        <v>65250</v>
      </c>
      <c r="G146" s="41">
        <f t="shared" si="8"/>
        <v>0</v>
      </c>
      <c r="H146" s="100" t="s">
        <v>407</v>
      </c>
      <c r="I146" s="100" t="s">
        <v>407</v>
      </c>
      <c r="J146" s="191"/>
      <c r="K146" s="191"/>
      <c r="L146" s="191"/>
      <c r="M146" s="191"/>
      <c r="N146" s="191"/>
      <c r="O146" s="192"/>
    </row>
    <row r="147" ht="15.75" customHeight="1">
      <c r="A147" s="132"/>
      <c r="B147" s="206" t="s">
        <v>447</v>
      </c>
      <c r="C147" s="192"/>
      <c r="D147" s="122"/>
      <c r="E147" s="123"/>
      <c r="F147" s="37">
        <f t="shared" si="1"/>
        <v>0</v>
      </c>
      <c r="G147" s="124"/>
      <c r="H147" s="189"/>
      <c r="I147" s="190"/>
      <c r="J147" s="191"/>
      <c r="K147" s="191"/>
      <c r="L147" s="191"/>
      <c r="M147" s="191"/>
      <c r="N147" s="191"/>
      <c r="O147" s="192"/>
    </row>
    <row r="148" ht="15.75" customHeight="1">
      <c r="A148" s="132"/>
      <c r="B148" s="69" t="s">
        <v>448</v>
      </c>
      <c r="C148" s="197" t="s">
        <v>14</v>
      </c>
      <c r="D148" s="31"/>
      <c r="E148" s="33">
        <v>5.75</v>
      </c>
      <c r="F148" s="37">
        <f t="shared" si="1"/>
        <v>51750</v>
      </c>
      <c r="G148" s="41">
        <f t="shared" ref="G148:G193" si="9">F148*D148</f>
        <v>0</v>
      </c>
      <c r="H148" s="97" t="s">
        <v>451</v>
      </c>
      <c r="I148" s="97" t="s">
        <v>451</v>
      </c>
      <c r="J148" s="191"/>
      <c r="K148" s="191"/>
      <c r="L148" s="191"/>
      <c r="M148" s="191"/>
      <c r="N148" s="191"/>
      <c r="O148" s="192"/>
    </row>
    <row r="149" ht="15.75" customHeight="1">
      <c r="A149" s="132"/>
      <c r="B149" s="69" t="s">
        <v>448</v>
      </c>
      <c r="C149" s="197" t="s">
        <v>14</v>
      </c>
      <c r="D149" s="31"/>
      <c r="E149" s="33">
        <v>5.75</v>
      </c>
      <c r="F149" s="37">
        <f t="shared" si="1"/>
        <v>51750</v>
      </c>
      <c r="G149" s="41">
        <f t="shared" si="9"/>
        <v>0</v>
      </c>
      <c r="H149" s="97" t="s">
        <v>451</v>
      </c>
      <c r="I149" s="97" t="s">
        <v>451</v>
      </c>
      <c r="J149" s="191"/>
      <c r="K149" s="191"/>
      <c r="L149" s="191"/>
      <c r="M149" s="191"/>
      <c r="N149" s="191"/>
      <c r="O149" s="192"/>
    </row>
    <row r="150" ht="15.75" customHeight="1">
      <c r="A150" s="132"/>
      <c r="B150" s="64" t="s">
        <v>454</v>
      </c>
      <c r="C150" s="197" t="s">
        <v>14</v>
      </c>
      <c r="D150" s="31"/>
      <c r="E150" s="62">
        <v>8.93</v>
      </c>
      <c r="F150" s="37">
        <f t="shared" si="1"/>
        <v>80370</v>
      </c>
      <c r="G150" s="41">
        <f t="shared" si="9"/>
        <v>0</v>
      </c>
      <c r="H150" s="97" t="s">
        <v>451</v>
      </c>
      <c r="I150" s="97" t="s">
        <v>451</v>
      </c>
      <c r="J150" s="191"/>
      <c r="K150" s="191"/>
      <c r="L150" s="191"/>
      <c r="M150" s="191"/>
      <c r="N150" s="191"/>
      <c r="O150" s="192"/>
    </row>
    <row r="151" ht="15.75" customHeight="1">
      <c r="A151" s="132"/>
      <c r="B151" s="64" t="s">
        <v>456</v>
      </c>
      <c r="C151" s="197" t="s">
        <v>14</v>
      </c>
      <c r="D151" s="57"/>
      <c r="E151" s="33">
        <v>11.0</v>
      </c>
      <c r="F151" s="37">
        <f t="shared" si="1"/>
        <v>99000</v>
      </c>
      <c r="G151" s="41">
        <f t="shared" si="9"/>
        <v>0</v>
      </c>
      <c r="H151" s="97" t="s">
        <v>451</v>
      </c>
      <c r="I151" s="97" t="s">
        <v>451</v>
      </c>
      <c r="J151" s="191"/>
      <c r="K151" s="191"/>
      <c r="L151" s="191"/>
      <c r="M151" s="191"/>
      <c r="N151" s="191"/>
      <c r="O151" s="192"/>
    </row>
    <row r="152" ht="15.75" customHeight="1">
      <c r="A152" s="132"/>
      <c r="B152" s="64" t="s">
        <v>459</v>
      </c>
      <c r="C152" s="197" t="s">
        <v>14</v>
      </c>
      <c r="D152" s="31"/>
      <c r="E152" s="33">
        <v>4.6</v>
      </c>
      <c r="F152" s="37">
        <f t="shared" si="1"/>
        <v>41400</v>
      </c>
      <c r="G152" s="41">
        <f t="shared" si="9"/>
        <v>0</v>
      </c>
      <c r="H152" s="97" t="s">
        <v>451</v>
      </c>
      <c r="I152" s="97" t="s">
        <v>451</v>
      </c>
      <c r="J152" s="191"/>
      <c r="K152" s="191"/>
      <c r="L152" s="191"/>
      <c r="M152" s="191"/>
      <c r="N152" s="191"/>
      <c r="O152" s="192"/>
    </row>
    <row r="153" ht="15.75" customHeight="1">
      <c r="A153" s="132"/>
      <c r="B153" s="198" t="s">
        <v>461</v>
      </c>
      <c r="C153" s="197"/>
      <c r="D153" s="31"/>
      <c r="E153" s="33">
        <v>3.0</v>
      </c>
      <c r="F153" s="37">
        <f t="shared" si="1"/>
        <v>27000</v>
      </c>
      <c r="G153" s="41">
        <f t="shared" si="9"/>
        <v>0</v>
      </c>
      <c r="H153" s="97" t="s">
        <v>451</v>
      </c>
      <c r="I153" s="97" t="s">
        <v>451</v>
      </c>
      <c r="J153" s="191"/>
      <c r="K153" s="191"/>
      <c r="L153" s="191"/>
      <c r="M153" s="191"/>
      <c r="N153" s="191"/>
      <c r="O153" s="192"/>
    </row>
    <row r="154" ht="15.75" customHeight="1">
      <c r="A154" s="132"/>
      <c r="B154" s="64" t="s">
        <v>464</v>
      </c>
      <c r="C154" s="197" t="s">
        <v>14</v>
      </c>
      <c r="D154" s="31"/>
      <c r="E154" s="62">
        <v>6.3</v>
      </c>
      <c r="F154" s="37">
        <f t="shared" si="1"/>
        <v>56700</v>
      </c>
      <c r="G154" s="41">
        <f t="shared" si="9"/>
        <v>0</v>
      </c>
      <c r="H154" s="97" t="s">
        <v>451</v>
      </c>
      <c r="I154" s="97" t="s">
        <v>451</v>
      </c>
      <c r="J154" s="191"/>
      <c r="K154" s="191"/>
      <c r="L154" s="191"/>
      <c r="M154" s="191"/>
      <c r="N154" s="191"/>
      <c r="O154" s="192"/>
    </row>
    <row r="155" ht="15.75" customHeight="1">
      <c r="A155" s="132"/>
      <c r="B155" s="64" t="s">
        <v>465</v>
      </c>
      <c r="C155" s="197" t="s">
        <v>14</v>
      </c>
      <c r="D155" s="31"/>
      <c r="E155" s="62">
        <v>4.2</v>
      </c>
      <c r="F155" s="37">
        <f t="shared" si="1"/>
        <v>37800</v>
      </c>
      <c r="G155" s="41">
        <f t="shared" si="9"/>
        <v>0</v>
      </c>
      <c r="H155" s="97" t="s">
        <v>451</v>
      </c>
      <c r="I155" s="97" t="s">
        <v>451</v>
      </c>
      <c r="J155" s="191"/>
      <c r="K155" s="191"/>
      <c r="L155" s="191"/>
      <c r="M155" s="191"/>
      <c r="N155" s="191"/>
      <c r="O155" s="192"/>
    </row>
    <row r="156" ht="15.75" customHeight="1">
      <c r="A156" s="132"/>
      <c r="B156" s="64" t="s">
        <v>469</v>
      </c>
      <c r="C156" s="197" t="s">
        <v>14</v>
      </c>
      <c r="D156" s="31"/>
      <c r="E156" s="62">
        <v>4.2</v>
      </c>
      <c r="F156" s="37">
        <f t="shared" si="1"/>
        <v>37800</v>
      </c>
      <c r="G156" s="41">
        <f t="shared" si="9"/>
        <v>0</v>
      </c>
      <c r="H156" s="97" t="s">
        <v>451</v>
      </c>
      <c r="I156" s="97" t="s">
        <v>451</v>
      </c>
      <c r="J156" s="191"/>
      <c r="K156" s="191"/>
      <c r="L156" s="191"/>
      <c r="M156" s="191"/>
      <c r="N156" s="191"/>
      <c r="O156" s="192"/>
    </row>
    <row r="157" ht="15.75" customHeight="1">
      <c r="A157" s="132"/>
      <c r="B157" s="64" t="s">
        <v>470</v>
      </c>
      <c r="C157" s="197" t="s">
        <v>14</v>
      </c>
      <c r="D157" s="31"/>
      <c r="E157" s="62">
        <v>6.83</v>
      </c>
      <c r="F157" s="37">
        <f t="shared" si="1"/>
        <v>61470</v>
      </c>
      <c r="G157" s="41">
        <f t="shared" si="9"/>
        <v>0</v>
      </c>
      <c r="H157" s="97" t="s">
        <v>451</v>
      </c>
      <c r="I157" s="97" t="s">
        <v>451</v>
      </c>
      <c r="J157" s="191"/>
      <c r="K157" s="191"/>
      <c r="L157" s="191"/>
      <c r="M157" s="191"/>
      <c r="N157" s="191"/>
      <c r="O157" s="192"/>
    </row>
    <row r="158" ht="15.75" customHeight="1">
      <c r="A158" s="132"/>
      <c r="B158" s="64" t="s">
        <v>472</v>
      </c>
      <c r="C158" s="197" t="s">
        <v>14</v>
      </c>
      <c r="D158" s="31"/>
      <c r="E158" s="62">
        <v>9.0</v>
      </c>
      <c r="F158" s="37">
        <f t="shared" si="1"/>
        <v>81000</v>
      </c>
      <c r="G158" s="41">
        <f t="shared" si="9"/>
        <v>0</v>
      </c>
      <c r="H158" s="97" t="s">
        <v>451</v>
      </c>
      <c r="I158" s="97" t="s">
        <v>451</v>
      </c>
      <c r="J158" s="191"/>
      <c r="K158" s="191"/>
      <c r="L158" s="191"/>
      <c r="M158" s="191"/>
      <c r="N158" s="191"/>
      <c r="O158" s="192"/>
    </row>
    <row r="159" ht="15.75" customHeight="1">
      <c r="A159" s="132"/>
      <c r="B159" s="69" t="s">
        <v>473</v>
      </c>
      <c r="C159" s="207" t="s">
        <v>270</v>
      </c>
      <c r="D159" s="31"/>
      <c r="E159" s="62">
        <v>1.84</v>
      </c>
      <c r="F159" s="37">
        <f t="shared" si="1"/>
        <v>16560</v>
      </c>
      <c r="G159" s="41">
        <f t="shared" si="9"/>
        <v>0</v>
      </c>
      <c r="H159" s="97" t="s">
        <v>451</v>
      </c>
      <c r="I159" s="97" t="s">
        <v>451</v>
      </c>
      <c r="J159" s="191"/>
      <c r="K159" s="191"/>
      <c r="L159" s="191"/>
      <c r="M159" s="191"/>
      <c r="N159" s="191"/>
      <c r="O159" s="192"/>
    </row>
    <row r="160" ht="15.75" customHeight="1">
      <c r="A160" s="132"/>
      <c r="B160" s="69" t="s">
        <v>474</v>
      </c>
      <c r="C160" s="197" t="s">
        <v>14</v>
      </c>
      <c r="D160" s="31"/>
      <c r="E160" s="33">
        <f>2.63*2</f>
        <v>5.26</v>
      </c>
      <c r="F160" s="37">
        <f t="shared" si="1"/>
        <v>47340</v>
      </c>
      <c r="G160" s="41">
        <f t="shared" si="9"/>
        <v>0</v>
      </c>
      <c r="H160" s="97" t="s">
        <v>451</v>
      </c>
      <c r="I160" s="97" t="s">
        <v>451</v>
      </c>
      <c r="J160" s="191"/>
      <c r="K160" s="191"/>
      <c r="L160" s="191"/>
      <c r="M160" s="191"/>
      <c r="N160" s="191"/>
      <c r="O160" s="192"/>
    </row>
    <row r="161" ht="15.75" customHeight="1">
      <c r="A161" s="132"/>
      <c r="B161" s="86" t="s">
        <v>475</v>
      </c>
      <c r="C161" s="197" t="s">
        <v>14</v>
      </c>
      <c r="D161" s="31"/>
      <c r="E161" s="33">
        <v>0.87</v>
      </c>
      <c r="F161" s="37">
        <f t="shared" si="1"/>
        <v>7830</v>
      </c>
      <c r="G161" s="41">
        <f t="shared" si="9"/>
        <v>0</v>
      </c>
      <c r="H161" s="97" t="s">
        <v>451</v>
      </c>
      <c r="I161" s="97" t="s">
        <v>451</v>
      </c>
      <c r="J161" s="191"/>
      <c r="K161" s="191"/>
      <c r="L161" s="191"/>
      <c r="M161" s="191"/>
      <c r="N161" s="191"/>
      <c r="O161" s="192"/>
    </row>
    <row r="162" ht="15.75" customHeight="1">
      <c r="A162" s="132"/>
      <c r="B162" s="86" t="s">
        <v>476</v>
      </c>
      <c r="C162" s="197" t="s">
        <v>14</v>
      </c>
      <c r="D162" s="31"/>
      <c r="E162" s="33">
        <v>1.25</v>
      </c>
      <c r="F162" s="37">
        <f t="shared" si="1"/>
        <v>11250</v>
      </c>
      <c r="G162" s="41">
        <f t="shared" si="9"/>
        <v>0</v>
      </c>
      <c r="H162" s="97" t="s">
        <v>451</v>
      </c>
      <c r="I162" s="97" t="s">
        <v>451</v>
      </c>
      <c r="J162" s="191"/>
      <c r="K162" s="191"/>
      <c r="L162" s="191"/>
      <c r="M162" s="191"/>
      <c r="N162" s="191"/>
      <c r="O162" s="192"/>
    </row>
    <row r="163" ht="15.75" customHeight="1">
      <c r="A163" s="132"/>
      <c r="B163" s="86" t="s">
        <v>478</v>
      </c>
      <c r="C163" s="197" t="s">
        <v>14</v>
      </c>
      <c r="D163" s="31"/>
      <c r="E163" s="33">
        <v>4.5</v>
      </c>
      <c r="F163" s="37">
        <f t="shared" si="1"/>
        <v>40500</v>
      </c>
      <c r="G163" s="41">
        <f t="shared" si="9"/>
        <v>0</v>
      </c>
      <c r="H163" s="97" t="s">
        <v>451</v>
      </c>
      <c r="I163" s="97" t="s">
        <v>451</v>
      </c>
      <c r="J163" s="191"/>
      <c r="K163" s="191"/>
      <c r="L163" s="191"/>
      <c r="M163" s="191"/>
      <c r="N163" s="191"/>
      <c r="O163" s="192"/>
    </row>
    <row r="164" ht="15.75" customHeight="1">
      <c r="A164" s="132"/>
      <c r="B164" s="28" t="s">
        <v>479</v>
      </c>
      <c r="C164" s="197" t="s">
        <v>14</v>
      </c>
      <c r="D164" s="31"/>
      <c r="E164" s="62">
        <v>3.94</v>
      </c>
      <c r="F164" s="37">
        <f t="shared" si="1"/>
        <v>35460</v>
      </c>
      <c r="G164" s="41">
        <f t="shared" si="9"/>
        <v>0</v>
      </c>
      <c r="H164" s="97" t="s">
        <v>451</v>
      </c>
      <c r="I164" s="97" t="s">
        <v>451</v>
      </c>
      <c r="J164" s="191"/>
      <c r="K164" s="191"/>
      <c r="L164" s="191"/>
      <c r="M164" s="191"/>
      <c r="N164" s="191"/>
      <c r="O164" s="192"/>
    </row>
    <row r="165" ht="15.75" customHeight="1">
      <c r="A165" s="132"/>
      <c r="B165" s="86" t="s">
        <v>480</v>
      </c>
      <c r="C165" s="197" t="s">
        <v>14</v>
      </c>
      <c r="D165" s="31"/>
      <c r="E165" s="62">
        <v>5.25</v>
      </c>
      <c r="F165" s="37">
        <f t="shared" si="1"/>
        <v>47250</v>
      </c>
      <c r="G165" s="41">
        <f t="shared" si="9"/>
        <v>0</v>
      </c>
      <c r="H165" s="97" t="s">
        <v>451</v>
      </c>
      <c r="I165" s="97" t="s">
        <v>451</v>
      </c>
      <c r="J165" s="191"/>
      <c r="K165" s="191"/>
      <c r="L165" s="191"/>
      <c r="M165" s="191"/>
      <c r="N165" s="191"/>
      <c r="O165" s="192"/>
    </row>
    <row r="166" ht="15.75" customHeight="1">
      <c r="A166" s="132"/>
      <c r="B166" s="28" t="s">
        <v>481</v>
      </c>
      <c r="C166" s="197" t="s">
        <v>14</v>
      </c>
      <c r="D166" s="31"/>
      <c r="E166" s="33">
        <v>8.14</v>
      </c>
      <c r="F166" s="37">
        <f t="shared" si="1"/>
        <v>73260</v>
      </c>
      <c r="G166" s="41">
        <f t="shared" si="9"/>
        <v>0</v>
      </c>
      <c r="H166" s="97" t="s">
        <v>451</v>
      </c>
      <c r="I166" s="97" t="s">
        <v>451</v>
      </c>
      <c r="J166" s="191"/>
      <c r="K166" s="191"/>
      <c r="L166" s="191"/>
      <c r="M166" s="191"/>
      <c r="N166" s="191"/>
      <c r="O166" s="192"/>
    </row>
    <row r="167" ht="15.75" customHeight="1">
      <c r="A167" s="132"/>
      <c r="B167" s="86" t="s">
        <v>484</v>
      </c>
      <c r="C167" s="197" t="s">
        <v>14</v>
      </c>
      <c r="D167" s="31"/>
      <c r="E167" s="62">
        <v>4.2</v>
      </c>
      <c r="F167" s="37">
        <f t="shared" si="1"/>
        <v>37800</v>
      </c>
      <c r="G167" s="41">
        <f t="shared" si="9"/>
        <v>0</v>
      </c>
      <c r="H167" s="97" t="s">
        <v>451</v>
      </c>
      <c r="I167" s="97" t="s">
        <v>451</v>
      </c>
      <c r="J167" s="191"/>
      <c r="K167" s="191"/>
      <c r="L167" s="191"/>
      <c r="M167" s="191"/>
      <c r="N167" s="191"/>
      <c r="O167" s="192"/>
    </row>
    <row r="168" ht="15.75" customHeight="1">
      <c r="A168" s="132"/>
      <c r="B168" s="28" t="s">
        <v>486</v>
      </c>
      <c r="C168" s="197" t="s">
        <v>14</v>
      </c>
      <c r="D168" s="31"/>
      <c r="E168" s="33">
        <f>2.35*2</f>
        <v>4.7</v>
      </c>
      <c r="F168" s="37">
        <f t="shared" si="1"/>
        <v>42300</v>
      </c>
      <c r="G168" s="41">
        <f t="shared" si="9"/>
        <v>0</v>
      </c>
      <c r="H168" s="97" t="s">
        <v>451</v>
      </c>
      <c r="I168" s="97" t="s">
        <v>451</v>
      </c>
      <c r="J168" s="191"/>
      <c r="K168" s="191"/>
      <c r="L168" s="191"/>
      <c r="M168" s="191"/>
      <c r="N168" s="191"/>
      <c r="O168" s="192"/>
    </row>
    <row r="169" ht="15.75" customHeight="1">
      <c r="A169" s="132"/>
      <c r="B169" s="86" t="s">
        <v>487</v>
      </c>
      <c r="C169" s="197" t="s">
        <v>14</v>
      </c>
      <c r="D169" s="31"/>
      <c r="E169" s="62">
        <v>9.0</v>
      </c>
      <c r="F169" s="37">
        <f t="shared" si="1"/>
        <v>81000</v>
      </c>
      <c r="G169" s="41">
        <f t="shared" si="9"/>
        <v>0</v>
      </c>
      <c r="H169" s="97" t="s">
        <v>451</v>
      </c>
      <c r="I169" s="97" t="s">
        <v>451</v>
      </c>
      <c r="J169" s="191"/>
      <c r="K169" s="191"/>
      <c r="L169" s="191"/>
      <c r="M169" s="191"/>
      <c r="N169" s="191"/>
      <c r="O169" s="192"/>
    </row>
    <row r="170" ht="15.75" customHeight="1">
      <c r="A170" s="132"/>
      <c r="B170" s="28" t="s">
        <v>490</v>
      </c>
      <c r="C170" s="197" t="s">
        <v>14</v>
      </c>
      <c r="D170" s="31"/>
      <c r="E170" s="33">
        <v>14.0</v>
      </c>
      <c r="F170" s="37">
        <f t="shared" si="1"/>
        <v>126000</v>
      </c>
      <c r="G170" s="41">
        <f t="shared" si="9"/>
        <v>0</v>
      </c>
      <c r="H170" s="97" t="s">
        <v>451</v>
      </c>
      <c r="I170" s="97" t="s">
        <v>451</v>
      </c>
      <c r="J170" s="191"/>
      <c r="K170" s="191"/>
      <c r="L170" s="191"/>
      <c r="M170" s="191"/>
      <c r="N170" s="191"/>
      <c r="O170" s="192"/>
    </row>
    <row r="171" ht="15.75" customHeight="1">
      <c r="A171" s="132"/>
      <c r="B171" s="86" t="s">
        <v>491</v>
      </c>
      <c r="C171" s="197" t="s">
        <v>14</v>
      </c>
      <c r="D171" s="31"/>
      <c r="E171" s="62">
        <v>13.13</v>
      </c>
      <c r="F171" s="37">
        <f t="shared" si="1"/>
        <v>118170</v>
      </c>
      <c r="G171" s="41">
        <f t="shared" si="9"/>
        <v>0</v>
      </c>
      <c r="H171" s="97" t="s">
        <v>451</v>
      </c>
      <c r="I171" s="97" t="s">
        <v>451</v>
      </c>
      <c r="J171" s="191"/>
      <c r="K171" s="191"/>
      <c r="L171" s="191"/>
      <c r="M171" s="191"/>
      <c r="N171" s="191"/>
      <c r="O171" s="192"/>
    </row>
    <row r="172" ht="15.75" customHeight="1">
      <c r="A172" s="132"/>
      <c r="B172" s="86" t="s">
        <v>492</v>
      </c>
      <c r="C172" s="197" t="s">
        <v>14</v>
      </c>
      <c r="D172" s="31"/>
      <c r="E172" s="62">
        <v>9.98</v>
      </c>
      <c r="F172" s="37">
        <f t="shared" si="1"/>
        <v>89820</v>
      </c>
      <c r="G172" s="41">
        <f t="shared" si="9"/>
        <v>0</v>
      </c>
      <c r="H172" s="97" t="s">
        <v>451</v>
      </c>
      <c r="I172" s="97" t="s">
        <v>451</v>
      </c>
      <c r="J172" s="191"/>
      <c r="K172" s="191"/>
      <c r="L172" s="191"/>
      <c r="M172" s="191"/>
      <c r="N172" s="191"/>
      <c r="O172" s="192"/>
    </row>
    <row r="173" ht="15.75" customHeight="1">
      <c r="A173" s="132"/>
      <c r="B173" s="86" t="s">
        <v>493</v>
      </c>
      <c r="C173" s="197" t="s">
        <v>14</v>
      </c>
      <c r="D173" s="31"/>
      <c r="E173" s="62">
        <v>15.0</v>
      </c>
      <c r="F173" s="37">
        <f t="shared" si="1"/>
        <v>135000</v>
      </c>
      <c r="G173" s="41">
        <f t="shared" si="9"/>
        <v>0</v>
      </c>
      <c r="H173" s="97" t="s">
        <v>451</v>
      </c>
      <c r="I173" s="97" t="s">
        <v>451</v>
      </c>
      <c r="J173" s="191"/>
      <c r="K173" s="191"/>
      <c r="L173" s="191"/>
      <c r="M173" s="191"/>
      <c r="N173" s="191"/>
      <c r="O173" s="192"/>
    </row>
    <row r="174" ht="15.75" customHeight="1">
      <c r="A174" s="132"/>
      <c r="B174" s="86" t="s">
        <v>495</v>
      </c>
      <c r="C174" s="197" t="s">
        <v>14</v>
      </c>
      <c r="D174" s="31"/>
      <c r="E174" s="62">
        <v>3.0</v>
      </c>
      <c r="F174" s="37">
        <f t="shared" si="1"/>
        <v>27000</v>
      </c>
      <c r="G174" s="41">
        <f t="shared" si="9"/>
        <v>0</v>
      </c>
      <c r="H174" s="97" t="s">
        <v>451</v>
      </c>
      <c r="I174" s="97" t="s">
        <v>451</v>
      </c>
      <c r="J174" s="191"/>
      <c r="K174" s="191"/>
      <c r="L174" s="191"/>
      <c r="M174" s="191"/>
      <c r="N174" s="191"/>
      <c r="O174" s="192"/>
    </row>
    <row r="175" ht="15.75" customHeight="1">
      <c r="A175" s="132"/>
      <c r="B175" s="210" t="s">
        <v>497</v>
      </c>
      <c r="C175" s="197" t="s">
        <v>14</v>
      </c>
      <c r="D175" s="31"/>
      <c r="E175" s="62">
        <v>5.75</v>
      </c>
      <c r="F175" s="37">
        <f t="shared" si="1"/>
        <v>51750</v>
      </c>
      <c r="G175" s="41">
        <f t="shared" si="9"/>
        <v>0</v>
      </c>
      <c r="H175" s="97" t="s">
        <v>451</v>
      </c>
      <c r="I175" s="97" t="s">
        <v>451</v>
      </c>
      <c r="J175" s="191"/>
      <c r="K175" s="191"/>
      <c r="L175" s="191"/>
      <c r="M175" s="191"/>
      <c r="N175" s="191"/>
      <c r="O175" s="192"/>
    </row>
    <row r="176" ht="15.75" customHeight="1">
      <c r="A176" s="132"/>
      <c r="B176" s="211" t="s">
        <v>498</v>
      </c>
      <c r="C176" s="197" t="s">
        <v>14</v>
      </c>
      <c r="D176" s="31"/>
      <c r="E176" s="33">
        <v>8.5</v>
      </c>
      <c r="F176" s="37">
        <f t="shared" si="1"/>
        <v>76500</v>
      </c>
      <c r="G176" s="41">
        <f t="shared" si="9"/>
        <v>0</v>
      </c>
      <c r="H176" s="97" t="s">
        <v>451</v>
      </c>
      <c r="I176" s="97" t="s">
        <v>451</v>
      </c>
      <c r="J176" s="191"/>
      <c r="K176" s="191"/>
      <c r="L176" s="191"/>
      <c r="M176" s="191"/>
      <c r="N176" s="191"/>
      <c r="O176" s="192"/>
    </row>
    <row r="177" ht="15.75" customHeight="1">
      <c r="A177" s="132"/>
      <c r="B177" s="211" t="s">
        <v>501</v>
      </c>
      <c r="C177" s="197" t="s">
        <v>14</v>
      </c>
      <c r="D177" s="31"/>
      <c r="E177" s="62">
        <v>3.675</v>
      </c>
      <c r="F177" s="37">
        <f t="shared" si="1"/>
        <v>33075</v>
      </c>
      <c r="G177" s="41">
        <f t="shared" si="9"/>
        <v>0</v>
      </c>
      <c r="H177" s="97" t="s">
        <v>451</v>
      </c>
      <c r="I177" s="97" t="s">
        <v>451</v>
      </c>
      <c r="J177" s="191"/>
      <c r="K177" s="191"/>
      <c r="L177" s="191"/>
      <c r="M177" s="191"/>
      <c r="N177" s="191"/>
      <c r="O177" s="192"/>
    </row>
    <row r="178" ht="15.75" customHeight="1">
      <c r="A178" s="132"/>
      <c r="B178" s="213" t="s">
        <v>503</v>
      </c>
      <c r="C178" s="197" t="s">
        <v>14</v>
      </c>
      <c r="D178" s="31"/>
      <c r="E178" s="62">
        <v>36.75</v>
      </c>
      <c r="F178" s="37">
        <f t="shared" si="1"/>
        <v>330750</v>
      </c>
      <c r="G178" s="41">
        <f t="shared" si="9"/>
        <v>0</v>
      </c>
      <c r="H178" s="97" t="s">
        <v>451</v>
      </c>
      <c r="I178" s="97" t="s">
        <v>451</v>
      </c>
      <c r="J178" s="191"/>
      <c r="K178" s="191"/>
      <c r="L178" s="191"/>
      <c r="M178" s="191"/>
      <c r="N178" s="191"/>
      <c r="O178" s="192"/>
    </row>
    <row r="179" ht="15.75" customHeight="1">
      <c r="A179" s="132"/>
      <c r="B179" s="213" t="s">
        <v>504</v>
      </c>
      <c r="C179" s="197" t="s">
        <v>14</v>
      </c>
      <c r="D179" s="31"/>
      <c r="E179" s="33">
        <v>2.625</v>
      </c>
      <c r="F179" s="37">
        <f t="shared" si="1"/>
        <v>23625</v>
      </c>
      <c r="G179" s="41">
        <f t="shared" si="9"/>
        <v>0</v>
      </c>
      <c r="H179" s="97" t="s">
        <v>451</v>
      </c>
      <c r="I179" s="97" t="s">
        <v>451</v>
      </c>
      <c r="J179" s="191"/>
      <c r="K179" s="191"/>
      <c r="L179" s="191"/>
      <c r="M179" s="191"/>
      <c r="N179" s="191"/>
      <c r="O179" s="192"/>
    </row>
    <row r="180" ht="15.75" customHeight="1">
      <c r="A180" s="132"/>
      <c r="B180" s="213" t="s">
        <v>506</v>
      </c>
      <c r="C180" s="197" t="s">
        <v>14</v>
      </c>
      <c r="D180" s="31"/>
      <c r="E180" s="62">
        <v>4.2</v>
      </c>
      <c r="F180" s="37">
        <f t="shared" si="1"/>
        <v>37800</v>
      </c>
      <c r="G180" s="41">
        <f t="shared" si="9"/>
        <v>0</v>
      </c>
      <c r="H180" s="97" t="s">
        <v>451</v>
      </c>
      <c r="I180" s="97" t="s">
        <v>451</v>
      </c>
      <c r="J180" s="191"/>
      <c r="K180" s="191"/>
      <c r="L180" s="191"/>
      <c r="M180" s="191"/>
      <c r="N180" s="191"/>
      <c r="O180" s="192"/>
    </row>
    <row r="181" ht="15.75" customHeight="1">
      <c r="A181" s="132"/>
      <c r="B181" s="213" t="s">
        <v>507</v>
      </c>
      <c r="C181" s="197" t="s">
        <v>14</v>
      </c>
      <c r="D181" s="31"/>
      <c r="E181" s="62">
        <v>5.78</v>
      </c>
      <c r="F181" s="37">
        <f t="shared" si="1"/>
        <v>52020</v>
      </c>
      <c r="G181" s="41">
        <f t="shared" si="9"/>
        <v>0</v>
      </c>
      <c r="H181" s="97" t="s">
        <v>451</v>
      </c>
      <c r="I181" s="97" t="s">
        <v>451</v>
      </c>
      <c r="J181" s="191"/>
      <c r="K181" s="191"/>
      <c r="L181" s="191"/>
      <c r="M181" s="191"/>
      <c r="N181" s="191"/>
      <c r="O181" s="192"/>
    </row>
    <row r="182" ht="15.75" customHeight="1">
      <c r="A182" s="132"/>
      <c r="B182" s="213" t="s">
        <v>509</v>
      </c>
      <c r="C182" s="197" t="s">
        <v>14</v>
      </c>
      <c r="D182" s="31"/>
      <c r="E182" s="33">
        <v>5.78</v>
      </c>
      <c r="F182" s="37">
        <f t="shared" si="1"/>
        <v>52020</v>
      </c>
      <c r="G182" s="41">
        <f t="shared" si="9"/>
        <v>0</v>
      </c>
      <c r="H182" s="97" t="s">
        <v>451</v>
      </c>
      <c r="I182" s="97" t="s">
        <v>451</v>
      </c>
      <c r="J182" s="191"/>
      <c r="K182" s="191"/>
      <c r="L182" s="191"/>
      <c r="M182" s="191"/>
      <c r="N182" s="191"/>
      <c r="O182" s="192"/>
    </row>
    <row r="183" ht="15.75" customHeight="1">
      <c r="A183" s="132"/>
      <c r="B183" s="213" t="s">
        <v>510</v>
      </c>
      <c r="C183" s="197" t="s">
        <v>14</v>
      </c>
      <c r="D183" s="31"/>
      <c r="E183" s="33">
        <v>0.0</v>
      </c>
      <c r="F183" s="37">
        <f t="shared" si="1"/>
        <v>0</v>
      </c>
      <c r="G183" s="41">
        <f t="shared" si="9"/>
        <v>0</v>
      </c>
      <c r="H183" s="97" t="s">
        <v>451</v>
      </c>
      <c r="I183" s="97" t="s">
        <v>451</v>
      </c>
      <c r="J183" s="191"/>
      <c r="K183" s="191"/>
      <c r="L183" s="191"/>
      <c r="M183" s="191"/>
      <c r="N183" s="191"/>
      <c r="O183" s="192"/>
    </row>
    <row r="184" ht="15.75" customHeight="1">
      <c r="A184" s="132"/>
      <c r="B184" s="213" t="s">
        <v>511</v>
      </c>
      <c r="C184" s="197" t="s">
        <v>14</v>
      </c>
      <c r="D184" s="31"/>
      <c r="E184" s="33">
        <v>0.0</v>
      </c>
      <c r="F184" s="37">
        <f t="shared" si="1"/>
        <v>0</v>
      </c>
      <c r="G184" s="41">
        <f t="shared" si="9"/>
        <v>0</v>
      </c>
      <c r="H184" s="97" t="s">
        <v>451</v>
      </c>
      <c r="I184" s="97" t="s">
        <v>451</v>
      </c>
      <c r="J184" s="191"/>
      <c r="K184" s="191"/>
      <c r="L184" s="191"/>
      <c r="M184" s="191"/>
      <c r="N184" s="191"/>
      <c r="O184" s="192"/>
    </row>
    <row r="185" ht="15.75" customHeight="1">
      <c r="A185" s="132"/>
      <c r="B185" s="213" t="s">
        <v>512</v>
      </c>
      <c r="C185" s="197" t="s">
        <v>14</v>
      </c>
      <c r="D185" s="31"/>
      <c r="E185" s="62">
        <v>15.0</v>
      </c>
      <c r="F185" s="37">
        <f t="shared" si="1"/>
        <v>135000</v>
      </c>
      <c r="G185" s="41">
        <f t="shared" si="9"/>
        <v>0</v>
      </c>
      <c r="H185" s="97" t="s">
        <v>451</v>
      </c>
      <c r="I185" s="97" t="s">
        <v>451</v>
      </c>
      <c r="J185" s="191"/>
      <c r="K185" s="191"/>
      <c r="L185" s="191"/>
      <c r="M185" s="191"/>
      <c r="N185" s="191"/>
      <c r="O185" s="192"/>
    </row>
    <row r="186" ht="15.75" customHeight="1">
      <c r="A186" s="132"/>
      <c r="B186" s="213" t="s">
        <v>514</v>
      </c>
      <c r="C186" s="197" t="s">
        <v>14</v>
      </c>
      <c r="D186" s="31"/>
      <c r="E186" s="62">
        <v>5.78</v>
      </c>
      <c r="F186" s="37">
        <f t="shared" si="1"/>
        <v>52020</v>
      </c>
      <c r="G186" s="41">
        <f t="shared" si="9"/>
        <v>0</v>
      </c>
      <c r="H186" s="97" t="s">
        <v>451</v>
      </c>
      <c r="I186" s="97" t="s">
        <v>451</v>
      </c>
      <c r="J186" s="191"/>
      <c r="K186" s="191"/>
      <c r="L186" s="191"/>
      <c r="M186" s="191"/>
      <c r="N186" s="191"/>
      <c r="O186" s="192"/>
    </row>
    <row r="187" ht="15.75" customHeight="1">
      <c r="A187" s="132"/>
      <c r="B187" s="216" t="s">
        <v>515</v>
      </c>
      <c r="C187" s="197" t="s">
        <v>14</v>
      </c>
      <c r="D187" s="31"/>
      <c r="E187" s="33">
        <v>13.0</v>
      </c>
      <c r="F187" s="37">
        <f t="shared" si="1"/>
        <v>117000</v>
      </c>
      <c r="G187" s="41">
        <f t="shared" si="9"/>
        <v>0</v>
      </c>
      <c r="H187" s="97" t="s">
        <v>451</v>
      </c>
      <c r="I187" s="97" t="s">
        <v>451</v>
      </c>
      <c r="J187" s="191"/>
      <c r="K187" s="191"/>
      <c r="L187" s="191"/>
      <c r="M187" s="191"/>
      <c r="N187" s="191"/>
      <c r="O187" s="192"/>
    </row>
    <row r="188" ht="15.75" customHeight="1">
      <c r="A188" s="132"/>
      <c r="B188" s="213" t="s">
        <v>516</v>
      </c>
      <c r="C188" s="197" t="s">
        <v>14</v>
      </c>
      <c r="D188" s="31"/>
      <c r="E188" s="62">
        <v>5.25</v>
      </c>
      <c r="F188" s="37">
        <f t="shared" si="1"/>
        <v>47250</v>
      </c>
      <c r="G188" s="41">
        <f t="shared" si="9"/>
        <v>0</v>
      </c>
      <c r="H188" s="97" t="s">
        <v>451</v>
      </c>
      <c r="I188" s="97" t="s">
        <v>451</v>
      </c>
      <c r="J188" s="191"/>
      <c r="K188" s="191"/>
      <c r="L188" s="191"/>
      <c r="M188" s="191"/>
      <c r="N188" s="191"/>
      <c r="O188" s="192"/>
    </row>
    <row r="189" ht="15.75" customHeight="1">
      <c r="A189" s="132"/>
      <c r="B189" s="216" t="s">
        <v>517</v>
      </c>
      <c r="C189" s="199" t="s">
        <v>14</v>
      </c>
      <c r="D189" s="31"/>
      <c r="E189" s="33">
        <v>16.0</v>
      </c>
      <c r="F189" s="37">
        <f t="shared" si="1"/>
        <v>144000</v>
      </c>
      <c r="G189" s="41">
        <f t="shared" si="9"/>
        <v>0</v>
      </c>
      <c r="H189" s="100" t="s">
        <v>518</v>
      </c>
      <c r="I189" s="100" t="s">
        <v>518</v>
      </c>
      <c r="J189" s="191"/>
      <c r="K189" s="191"/>
      <c r="L189" s="191"/>
      <c r="M189" s="191"/>
      <c r="N189" s="191"/>
      <c r="O189" s="192"/>
    </row>
    <row r="190" ht="15.75" customHeight="1">
      <c r="A190" s="132"/>
      <c r="B190" s="213" t="s">
        <v>520</v>
      </c>
      <c r="C190" s="197" t="s">
        <v>14</v>
      </c>
      <c r="D190" s="31"/>
      <c r="E190" s="62">
        <v>7.61</v>
      </c>
      <c r="F190" s="37">
        <f t="shared" si="1"/>
        <v>68490</v>
      </c>
      <c r="G190" s="41">
        <f t="shared" si="9"/>
        <v>0</v>
      </c>
      <c r="H190" s="97" t="s">
        <v>451</v>
      </c>
      <c r="I190" s="97" t="s">
        <v>451</v>
      </c>
      <c r="J190" s="191"/>
      <c r="K190" s="191"/>
      <c r="L190" s="191"/>
      <c r="M190" s="191"/>
      <c r="N190" s="191"/>
      <c r="O190" s="192"/>
    </row>
    <row r="191" ht="15.75" customHeight="1">
      <c r="A191" s="132"/>
      <c r="B191" s="213" t="s">
        <v>521</v>
      </c>
      <c r="C191" s="197" t="s">
        <v>14</v>
      </c>
      <c r="D191" s="31"/>
      <c r="E191" s="62">
        <v>6.3</v>
      </c>
      <c r="F191" s="37">
        <f t="shared" si="1"/>
        <v>56700</v>
      </c>
      <c r="G191" s="41">
        <f t="shared" si="9"/>
        <v>0</v>
      </c>
      <c r="H191" s="97" t="s">
        <v>451</v>
      </c>
      <c r="I191" s="97" t="s">
        <v>451</v>
      </c>
      <c r="J191" s="191"/>
      <c r="K191" s="191"/>
      <c r="L191" s="191"/>
      <c r="M191" s="191"/>
      <c r="N191" s="191"/>
      <c r="O191" s="192"/>
    </row>
    <row r="192" ht="15.75" customHeight="1">
      <c r="A192" s="132"/>
      <c r="B192" s="213" t="s">
        <v>522</v>
      </c>
      <c r="C192" s="197" t="s">
        <v>14</v>
      </c>
      <c r="D192" s="31"/>
      <c r="E192" s="33">
        <v>7.0</v>
      </c>
      <c r="F192" s="37">
        <f t="shared" si="1"/>
        <v>63000</v>
      </c>
      <c r="G192" s="41">
        <f t="shared" si="9"/>
        <v>0</v>
      </c>
      <c r="H192" s="97" t="s">
        <v>451</v>
      </c>
      <c r="I192" s="97" t="s">
        <v>451</v>
      </c>
      <c r="J192" s="191"/>
      <c r="K192" s="191"/>
      <c r="L192" s="191"/>
      <c r="M192" s="191"/>
      <c r="N192" s="191"/>
      <c r="O192" s="192"/>
    </row>
    <row r="193" ht="15.75" customHeight="1">
      <c r="A193" s="132"/>
      <c r="B193" s="216" t="s">
        <v>525</v>
      </c>
      <c r="C193" s="197" t="s">
        <v>14</v>
      </c>
      <c r="D193" s="31"/>
      <c r="E193" s="33">
        <f>5.75*2</f>
        <v>11.5</v>
      </c>
      <c r="F193" s="37">
        <f t="shared" si="1"/>
        <v>103500</v>
      </c>
      <c r="G193" s="41">
        <f t="shared" si="9"/>
        <v>0</v>
      </c>
      <c r="H193" s="97" t="s">
        <v>451</v>
      </c>
      <c r="I193" s="97" t="s">
        <v>451</v>
      </c>
      <c r="J193" s="191"/>
      <c r="K193" s="191"/>
      <c r="L193" s="191"/>
      <c r="M193" s="191"/>
      <c r="N193" s="191"/>
      <c r="O193" s="192"/>
    </row>
    <row r="194" ht="15.75" customHeight="1">
      <c r="A194" s="132"/>
      <c r="B194" s="23" t="s">
        <v>527</v>
      </c>
      <c r="C194" s="192"/>
      <c r="D194" s="122"/>
      <c r="E194" s="62"/>
      <c r="F194" s="37">
        <f t="shared" si="1"/>
        <v>0</v>
      </c>
      <c r="G194" s="124"/>
      <c r="H194" s="189"/>
      <c r="I194" s="190"/>
      <c r="J194" s="191"/>
      <c r="K194" s="191"/>
      <c r="L194" s="191"/>
      <c r="M194" s="191"/>
      <c r="N194" s="191"/>
      <c r="O194" s="192"/>
    </row>
    <row r="195" ht="15.75" customHeight="1">
      <c r="A195" s="132"/>
      <c r="B195" s="28" t="s">
        <v>530</v>
      </c>
      <c r="C195" s="197" t="s">
        <v>531</v>
      </c>
      <c r="D195" s="31"/>
      <c r="E195" s="33">
        <v>5.75</v>
      </c>
      <c r="F195" s="37">
        <f t="shared" si="1"/>
        <v>51750</v>
      </c>
      <c r="G195" s="41">
        <f t="shared" ref="G195:G206" si="10">F195*D195</f>
        <v>0</v>
      </c>
      <c r="H195" s="97" t="s">
        <v>532</v>
      </c>
      <c r="I195" s="97" t="s">
        <v>532</v>
      </c>
      <c r="J195" s="191"/>
      <c r="K195" s="191"/>
      <c r="L195" s="191"/>
      <c r="M195" s="191"/>
      <c r="N195" s="191"/>
      <c r="O195" s="192"/>
    </row>
    <row r="196" ht="15.75" customHeight="1">
      <c r="A196" s="132"/>
      <c r="B196" s="28" t="s">
        <v>533</v>
      </c>
      <c r="C196" s="197" t="s">
        <v>531</v>
      </c>
      <c r="D196" s="31"/>
      <c r="E196" s="33">
        <v>5.75</v>
      </c>
      <c r="F196" s="37">
        <f t="shared" si="1"/>
        <v>51750</v>
      </c>
      <c r="G196" s="41">
        <f t="shared" si="10"/>
        <v>0</v>
      </c>
      <c r="H196" s="97" t="s">
        <v>532</v>
      </c>
      <c r="I196" s="97" t="s">
        <v>532</v>
      </c>
      <c r="J196" s="191"/>
      <c r="K196" s="191"/>
      <c r="L196" s="191"/>
      <c r="M196" s="191"/>
      <c r="N196" s="191"/>
      <c r="O196" s="192"/>
    </row>
    <row r="197" ht="15.75" customHeight="1">
      <c r="A197" s="132"/>
      <c r="B197" s="28" t="s">
        <v>535</v>
      </c>
      <c r="C197" s="197" t="s">
        <v>531</v>
      </c>
      <c r="D197" s="31"/>
      <c r="E197" s="33">
        <v>5.75</v>
      </c>
      <c r="F197" s="37">
        <f t="shared" si="1"/>
        <v>51750</v>
      </c>
      <c r="G197" s="41">
        <f t="shared" si="10"/>
        <v>0</v>
      </c>
      <c r="H197" s="97" t="s">
        <v>532</v>
      </c>
      <c r="I197" s="97" t="s">
        <v>532</v>
      </c>
      <c r="J197" s="191"/>
      <c r="K197" s="191"/>
      <c r="L197" s="191"/>
      <c r="M197" s="191"/>
      <c r="N197" s="191"/>
      <c r="O197" s="192"/>
    </row>
    <row r="198" ht="15.75" customHeight="1">
      <c r="A198" s="132"/>
      <c r="B198" s="28" t="s">
        <v>536</v>
      </c>
      <c r="C198" s="197" t="s">
        <v>531</v>
      </c>
      <c r="D198" s="31"/>
      <c r="E198" s="33">
        <v>6.25</v>
      </c>
      <c r="F198" s="37">
        <f t="shared" si="1"/>
        <v>56250</v>
      </c>
      <c r="G198" s="41">
        <f t="shared" si="10"/>
        <v>0</v>
      </c>
      <c r="H198" s="97" t="s">
        <v>532</v>
      </c>
      <c r="I198" s="97" t="s">
        <v>532</v>
      </c>
      <c r="J198" s="191"/>
      <c r="K198" s="191"/>
      <c r="L198" s="191"/>
      <c r="M198" s="191"/>
      <c r="N198" s="191"/>
      <c r="O198" s="192"/>
    </row>
    <row r="199" ht="15.75" customHeight="1">
      <c r="A199" s="132"/>
      <c r="B199" s="28" t="s">
        <v>538</v>
      </c>
      <c r="C199" s="197" t="s">
        <v>531</v>
      </c>
      <c r="D199" s="31"/>
      <c r="E199" s="33">
        <v>5.75</v>
      </c>
      <c r="F199" s="37">
        <f t="shared" si="1"/>
        <v>51750</v>
      </c>
      <c r="G199" s="41">
        <f t="shared" si="10"/>
        <v>0</v>
      </c>
      <c r="H199" s="97" t="s">
        <v>532</v>
      </c>
      <c r="I199" s="97" t="s">
        <v>532</v>
      </c>
      <c r="J199" s="191"/>
      <c r="K199" s="191"/>
      <c r="L199" s="191"/>
      <c r="M199" s="191"/>
      <c r="N199" s="191"/>
      <c r="O199" s="192"/>
    </row>
    <row r="200" ht="15.75" customHeight="1">
      <c r="A200" s="132"/>
      <c r="B200" s="28" t="s">
        <v>539</v>
      </c>
      <c r="C200" s="197" t="s">
        <v>531</v>
      </c>
      <c r="D200" s="31"/>
      <c r="E200" s="33">
        <v>5.75</v>
      </c>
      <c r="F200" s="37">
        <f t="shared" si="1"/>
        <v>51750</v>
      </c>
      <c r="G200" s="41">
        <f t="shared" si="10"/>
        <v>0</v>
      </c>
      <c r="H200" s="97" t="s">
        <v>532</v>
      </c>
      <c r="I200" s="97" t="s">
        <v>532</v>
      </c>
      <c r="J200" s="191"/>
      <c r="K200" s="191"/>
      <c r="L200" s="191"/>
      <c r="M200" s="191"/>
      <c r="N200" s="191"/>
      <c r="O200" s="192"/>
    </row>
    <row r="201" ht="15.75" customHeight="1">
      <c r="A201" s="132"/>
      <c r="B201" s="28" t="s">
        <v>540</v>
      </c>
      <c r="C201" s="197" t="s">
        <v>531</v>
      </c>
      <c r="D201" s="31"/>
      <c r="E201" s="33">
        <v>5.75</v>
      </c>
      <c r="F201" s="37">
        <f t="shared" si="1"/>
        <v>51750</v>
      </c>
      <c r="G201" s="41">
        <f t="shared" si="10"/>
        <v>0</v>
      </c>
      <c r="H201" s="97" t="s">
        <v>532</v>
      </c>
      <c r="I201" s="97" t="s">
        <v>532</v>
      </c>
      <c r="J201" s="191"/>
      <c r="K201" s="191"/>
      <c r="L201" s="191"/>
      <c r="M201" s="191"/>
      <c r="N201" s="191"/>
      <c r="O201" s="192"/>
    </row>
    <row r="202" ht="15.75" customHeight="1">
      <c r="A202" s="132"/>
      <c r="B202" s="28" t="s">
        <v>542</v>
      </c>
      <c r="C202" s="197" t="s">
        <v>531</v>
      </c>
      <c r="D202" s="31"/>
      <c r="E202" s="33">
        <v>5.75</v>
      </c>
      <c r="F202" s="37">
        <f t="shared" si="1"/>
        <v>51750</v>
      </c>
      <c r="G202" s="41">
        <f t="shared" si="10"/>
        <v>0</v>
      </c>
      <c r="H202" s="97" t="s">
        <v>532</v>
      </c>
      <c r="I202" s="97" t="s">
        <v>532</v>
      </c>
      <c r="J202" s="191"/>
      <c r="K202" s="191"/>
      <c r="L202" s="191"/>
      <c r="M202" s="191"/>
      <c r="N202" s="191"/>
      <c r="O202" s="192"/>
    </row>
    <row r="203" ht="15.75" customHeight="1">
      <c r="A203" s="132"/>
      <c r="B203" s="28" t="s">
        <v>543</v>
      </c>
      <c r="C203" s="197" t="s">
        <v>531</v>
      </c>
      <c r="D203" s="31"/>
      <c r="E203" s="33">
        <v>6.25</v>
      </c>
      <c r="F203" s="37">
        <f t="shared" si="1"/>
        <v>56250</v>
      </c>
      <c r="G203" s="41">
        <f t="shared" si="10"/>
        <v>0</v>
      </c>
      <c r="H203" s="97" t="s">
        <v>532</v>
      </c>
      <c r="I203" s="97" t="s">
        <v>532</v>
      </c>
      <c r="J203" s="191"/>
      <c r="K203" s="191"/>
      <c r="L203" s="191"/>
      <c r="M203" s="191"/>
      <c r="N203" s="191"/>
      <c r="O203" s="192"/>
    </row>
    <row r="204" ht="15.75" customHeight="1">
      <c r="A204" s="132"/>
      <c r="B204" s="28" t="s">
        <v>545</v>
      </c>
      <c r="C204" s="197" t="s">
        <v>531</v>
      </c>
      <c r="D204" s="31"/>
      <c r="E204" s="33">
        <v>5.75</v>
      </c>
      <c r="F204" s="37">
        <f t="shared" si="1"/>
        <v>51750</v>
      </c>
      <c r="G204" s="41">
        <f t="shared" si="10"/>
        <v>0</v>
      </c>
      <c r="H204" s="97" t="s">
        <v>532</v>
      </c>
      <c r="I204" s="97" t="s">
        <v>532</v>
      </c>
      <c r="J204" s="191"/>
      <c r="K204" s="191"/>
      <c r="L204" s="191"/>
      <c r="M204" s="191"/>
      <c r="N204" s="191"/>
      <c r="O204" s="192"/>
    </row>
    <row r="205" ht="15.75" customHeight="1">
      <c r="A205" s="132"/>
      <c r="B205" s="28" t="s">
        <v>546</v>
      </c>
      <c r="C205" s="197" t="s">
        <v>531</v>
      </c>
      <c r="D205" s="31"/>
      <c r="E205" s="33">
        <v>5.75</v>
      </c>
      <c r="F205" s="37">
        <f t="shared" si="1"/>
        <v>51750</v>
      </c>
      <c r="G205" s="41">
        <f t="shared" si="10"/>
        <v>0</v>
      </c>
      <c r="H205" s="97" t="s">
        <v>532</v>
      </c>
      <c r="I205" s="97" t="s">
        <v>532</v>
      </c>
      <c r="J205" s="191"/>
      <c r="K205" s="191"/>
      <c r="L205" s="191"/>
      <c r="M205" s="191"/>
      <c r="N205" s="191"/>
      <c r="O205" s="192"/>
    </row>
    <row r="206" ht="15.75" customHeight="1">
      <c r="A206" s="132"/>
      <c r="B206" s="28" t="s">
        <v>548</v>
      </c>
      <c r="C206" s="197" t="s">
        <v>531</v>
      </c>
      <c r="D206" s="31"/>
      <c r="E206" s="33">
        <v>5.75</v>
      </c>
      <c r="F206" s="37">
        <f t="shared" si="1"/>
        <v>51750</v>
      </c>
      <c r="G206" s="41">
        <f t="shared" si="10"/>
        <v>0</v>
      </c>
      <c r="H206" s="97" t="s">
        <v>532</v>
      </c>
      <c r="I206" s="97" t="s">
        <v>532</v>
      </c>
      <c r="J206" s="191"/>
      <c r="K206" s="191"/>
      <c r="L206" s="191"/>
      <c r="M206" s="191"/>
      <c r="N206" s="191"/>
      <c r="O206" s="192"/>
    </row>
    <row r="207" ht="15.75" customHeight="1">
      <c r="A207" s="132"/>
      <c r="B207" s="23" t="s">
        <v>549</v>
      </c>
      <c r="C207" s="192"/>
      <c r="D207" s="122"/>
      <c r="E207" s="123"/>
      <c r="F207" s="37">
        <f t="shared" si="1"/>
        <v>0</v>
      </c>
      <c r="G207" s="124"/>
      <c r="H207" s="189"/>
      <c r="I207" s="190"/>
      <c r="J207" s="191"/>
      <c r="K207" s="191"/>
      <c r="L207" s="191"/>
      <c r="M207" s="191"/>
      <c r="N207" s="191"/>
      <c r="O207" s="192"/>
    </row>
    <row r="208" ht="15.75" customHeight="1">
      <c r="A208" s="132"/>
      <c r="B208" s="86" t="s">
        <v>551</v>
      </c>
      <c r="C208" s="197" t="s">
        <v>69</v>
      </c>
      <c r="D208" s="31"/>
      <c r="E208" s="62"/>
      <c r="F208" s="37">
        <f t="shared" si="1"/>
        <v>0</v>
      </c>
      <c r="G208" s="41">
        <f t="shared" ref="G208:G226" si="11">F208*D208</f>
        <v>0</v>
      </c>
      <c r="H208" s="43" t="s">
        <v>260</v>
      </c>
      <c r="I208" s="135" t="s">
        <v>553</v>
      </c>
      <c r="J208" s="191"/>
      <c r="K208" s="191"/>
      <c r="L208" s="191"/>
      <c r="M208" s="191"/>
      <c r="N208" s="191"/>
      <c r="O208" s="192"/>
    </row>
    <row r="209" ht="15.75" customHeight="1">
      <c r="A209" s="132"/>
      <c r="B209" s="64" t="s">
        <v>554</v>
      </c>
      <c r="C209" s="197" t="s">
        <v>14</v>
      </c>
      <c r="D209" s="31"/>
      <c r="E209" s="62">
        <v>11.0</v>
      </c>
      <c r="F209" s="37">
        <f t="shared" si="1"/>
        <v>99000</v>
      </c>
      <c r="G209" s="41">
        <f t="shared" si="11"/>
        <v>0</v>
      </c>
      <c r="H209" s="43" t="s">
        <v>260</v>
      </c>
      <c r="I209" s="135" t="s">
        <v>555</v>
      </c>
      <c r="J209" s="191"/>
      <c r="K209" s="191"/>
      <c r="L209" s="191"/>
      <c r="M209" s="191"/>
      <c r="N209" s="191"/>
      <c r="O209" s="192"/>
    </row>
    <row r="210" ht="15.75" customHeight="1">
      <c r="A210" s="132"/>
      <c r="B210" s="64" t="s">
        <v>556</v>
      </c>
      <c r="C210" s="197" t="s">
        <v>14</v>
      </c>
      <c r="D210" s="31"/>
      <c r="E210" s="62">
        <v>7.5</v>
      </c>
      <c r="F210" s="37">
        <f t="shared" si="1"/>
        <v>67500</v>
      </c>
      <c r="G210" s="41">
        <f t="shared" si="11"/>
        <v>0</v>
      </c>
      <c r="H210" s="43" t="s">
        <v>260</v>
      </c>
      <c r="I210" s="135"/>
      <c r="J210" s="191"/>
      <c r="K210" s="191"/>
      <c r="L210" s="191"/>
      <c r="M210" s="191"/>
      <c r="N210" s="191"/>
      <c r="O210" s="192"/>
    </row>
    <row r="211" ht="15.75" customHeight="1">
      <c r="A211" s="132"/>
      <c r="B211" s="64" t="s">
        <v>558</v>
      </c>
      <c r="C211" s="197" t="s">
        <v>69</v>
      </c>
      <c r="D211" s="31"/>
      <c r="E211" s="62"/>
      <c r="F211" s="37">
        <f t="shared" si="1"/>
        <v>0</v>
      </c>
      <c r="G211" s="41">
        <f t="shared" si="11"/>
        <v>0</v>
      </c>
      <c r="H211" s="43" t="s">
        <v>560</v>
      </c>
      <c r="I211" s="135"/>
      <c r="J211" s="191"/>
      <c r="K211" s="191"/>
      <c r="L211" s="191"/>
      <c r="M211" s="191"/>
      <c r="N211" s="191"/>
      <c r="O211" s="192"/>
    </row>
    <row r="212" ht="15.75" customHeight="1">
      <c r="A212" s="132"/>
      <c r="B212" s="204" t="s">
        <v>561</v>
      </c>
      <c r="C212" s="197" t="s">
        <v>69</v>
      </c>
      <c r="D212" s="31"/>
      <c r="E212" s="33">
        <v>13.0</v>
      </c>
      <c r="F212" s="37">
        <f t="shared" si="1"/>
        <v>117000</v>
      </c>
      <c r="G212" s="41">
        <f t="shared" si="11"/>
        <v>0</v>
      </c>
      <c r="H212" s="43" t="s">
        <v>560</v>
      </c>
      <c r="I212" s="135"/>
      <c r="J212" s="191"/>
      <c r="K212" s="191"/>
      <c r="L212" s="191"/>
      <c r="M212" s="191"/>
      <c r="N212" s="191"/>
      <c r="O212" s="192"/>
    </row>
    <row r="213" ht="15.75" customHeight="1">
      <c r="A213" s="132"/>
      <c r="B213" s="47" t="s">
        <v>563</v>
      </c>
      <c r="C213" s="199" t="s">
        <v>14</v>
      </c>
      <c r="D213" s="31"/>
      <c r="E213" s="33">
        <v>8.0</v>
      </c>
      <c r="F213" s="37">
        <f t="shared" si="1"/>
        <v>72000</v>
      </c>
      <c r="G213" s="41">
        <f t="shared" si="11"/>
        <v>0</v>
      </c>
      <c r="H213" s="43" t="s">
        <v>260</v>
      </c>
      <c r="I213" s="135"/>
      <c r="J213" s="191"/>
      <c r="K213" s="191"/>
      <c r="L213" s="191"/>
      <c r="M213" s="191"/>
      <c r="N213" s="191"/>
      <c r="O213" s="192"/>
    </row>
    <row r="214" ht="15.75" customHeight="1">
      <c r="A214" s="132"/>
      <c r="B214" s="86" t="s">
        <v>565</v>
      </c>
      <c r="C214" s="197" t="s">
        <v>14</v>
      </c>
      <c r="D214" s="31"/>
      <c r="E214" s="62"/>
      <c r="F214" s="37">
        <f t="shared" si="1"/>
        <v>0</v>
      </c>
      <c r="G214" s="41">
        <f t="shared" si="11"/>
        <v>0</v>
      </c>
      <c r="H214" s="43" t="s">
        <v>260</v>
      </c>
      <c r="I214" s="135" t="s">
        <v>555</v>
      </c>
      <c r="J214" s="191"/>
      <c r="K214" s="191"/>
      <c r="L214" s="191"/>
      <c r="M214" s="191"/>
      <c r="N214" s="191"/>
      <c r="O214" s="192"/>
    </row>
    <row r="215" ht="15.75" customHeight="1">
      <c r="A215" s="132"/>
      <c r="B215" s="28" t="s">
        <v>568</v>
      </c>
      <c r="C215" s="197" t="s">
        <v>14</v>
      </c>
      <c r="D215" s="57"/>
      <c r="E215" s="33">
        <v>22.0</v>
      </c>
      <c r="F215" s="37">
        <f t="shared" si="1"/>
        <v>198000</v>
      </c>
      <c r="G215" s="41">
        <f t="shared" si="11"/>
        <v>0</v>
      </c>
      <c r="H215" s="43" t="s">
        <v>260</v>
      </c>
      <c r="I215" s="135" t="s">
        <v>555</v>
      </c>
      <c r="J215" s="191"/>
      <c r="K215" s="191"/>
      <c r="L215" s="191"/>
      <c r="M215" s="191"/>
      <c r="N215" s="191"/>
      <c r="O215" s="192"/>
    </row>
    <row r="216" ht="15.75" customHeight="1">
      <c r="A216" s="132"/>
      <c r="B216" s="86" t="s">
        <v>570</v>
      </c>
      <c r="C216" s="197" t="s">
        <v>14</v>
      </c>
      <c r="D216" s="31"/>
      <c r="E216" s="62"/>
      <c r="F216" s="37">
        <f t="shared" si="1"/>
        <v>0</v>
      </c>
      <c r="G216" s="41">
        <f t="shared" si="11"/>
        <v>0</v>
      </c>
      <c r="H216" s="45" t="s">
        <v>571</v>
      </c>
      <c r="I216" s="45"/>
      <c r="J216" s="191"/>
      <c r="K216" s="191"/>
      <c r="L216" s="191"/>
      <c r="M216" s="191"/>
      <c r="N216" s="191"/>
      <c r="O216" s="192"/>
    </row>
    <row r="217" ht="15.75" customHeight="1">
      <c r="A217" s="132"/>
      <c r="B217" s="28" t="s">
        <v>573</v>
      </c>
      <c r="C217" s="197" t="s">
        <v>14</v>
      </c>
      <c r="D217" s="57"/>
      <c r="E217" s="33">
        <v>12.0</v>
      </c>
      <c r="F217" s="37">
        <f t="shared" si="1"/>
        <v>108000</v>
      </c>
      <c r="G217" s="41">
        <f t="shared" si="11"/>
        <v>0</v>
      </c>
      <c r="H217" s="116" t="s">
        <v>575</v>
      </c>
      <c r="I217" s="101" t="s">
        <v>575</v>
      </c>
      <c r="J217" s="191"/>
      <c r="K217" s="191"/>
      <c r="L217" s="191"/>
      <c r="M217" s="191"/>
      <c r="N217" s="191"/>
      <c r="O217" s="192"/>
    </row>
    <row r="218" ht="15.75" customHeight="1">
      <c r="A218" s="132"/>
      <c r="B218" s="86" t="s">
        <v>577</v>
      </c>
      <c r="C218" s="197" t="s">
        <v>270</v>
      </c>
      <c r="D218" s="31"/>
      <c r="E218" s="62"/>
      <c r="F218" s="37">
        <f t="shared" si="1"/>
        <v>0</v>
      </c>
      <c r="G218" s="41">
        <f t="shared" si="11"/>
        <v>0</v>
      </c>
      <c r="H218" s="97" t="s">
        <v>571</v>
      </c>
      <c r="I218" s="135" t="s">
        <v>578</v>
      </c>
      <c r="J218" s="191"/>
      <c r="K218" s="191"/>
      <c r="L218" s="191"/>
      <c r="M218" s="191"/>
      <c r="N218" s="191"/>
      <c r="O218" s="192"/>
    </row>
    <row r="219" ht="15.75" customHeight="1">
      <c r="A219" s="132"/>
      <c r="B219" s="28" t="s">
        <v>579</v>
      </c>
      <c r="C219" s="197" t="s">
        <v>69</v>
      </c>
      <c r="D219" s="31"/>
      <c r="E219" s="33">
        <v>12.21</v>
      </c>
      <c r="F219" s="37">
        <f t="shared" si="1"/>
        <v>109890</v>
      </c>
      <c r="G219" s="41">
        <f t="shared" si="11"/>
        <v>0</v>
      </c>
      <c r="H219" s="120" t="s">
        <v>580</v>
      </c>
      <c r="I219" s="135" t="s">
        <v>580</v>
      </c>
      <c r="J219" s="191"/>
      <c r="K219" s="191"/>
      <c r="L219" s="191"/>
      <c r="M219" s="191"/>
      <c r="N219" s="191"/>
      <c r="O219" s="192"/>
    </row>
    <row r="220" ht="15.75" customHeight="1">
      <c r="A220" s="132"/>
      <c r="B220" s="28" t="s">
        <v>581</v>
      </c>
      <c r="C220" s="197" t="s">
        <v>14</v>
      </c>
      <c r="D220" s="31"/>
      <c r="E220" s="33">
        <f>13*1.1</f>
        <v>14.3</v>
      </c>
      <c r="F220" s="37">
        <f t="shared" si="1"/>
        <v>128700</v>
      </c>
      <c r="G220" s="41">
        <f t="shared" si="11"/>
        <v>0</v>
      </c>
      <c r="H220" s="120" t="s">
        <v>580</v>
      </c>
      <c r="I220" s="135" t="s">
        <v>580</v>
      </c>
      <c r="J220" s="191"/>
      <c r="K220" s="191"/>
      <c r="L220" s="191"/>
      <c r="M220" s="191"/>
      <c r="N220" s="191"/>
      <c r="O220" s="192"/>
    </row>
    <row r="221" ht="15.75" customHeight="1">
      <c r="A221" s="132"/>
      <c r="B221" s="28" t="s">
        <v>583</v>
      </c>
      <c r="C221" s="197" t="s">
        <v>14</v>
      </c>
      <c r="D221" s="57"/>
      <c r="E221" s="33">
        <v>11.0</v>
      </c>
      <c r="F221" s="37">
        <f t="shared" si="1"/>
        <v>99000</v>
      </c>
      <c r="G221" s="41">
        <f t="shared" si="11"/>
        <v>0</v>
      </c>
      <c r="H221" s="116" t="s">
        <v>575</v>
      </c>
      <c r="I221" s="101" t="s">
        <v>575</v>
      </c>
      <c r="J221" s="191"/>
      <c r="K221" s="191"/>
      <c r="L221" s="191"/>
      <c r="M221" s="191"/>
      <c r="N221" s="191"/>
      <c r="O221" s="192"/>
    </row>
    <row r="222" ht="15.75" customHeight="1">
      <c r="A222" s="132"/>
      <c r="B222" s="86" t="s">
        <v>585</v>
      </c>
      <c r="C222" s="197" t="s">
        <v>586</v>
      </c>
      <c r="D222" s="31"/>
      <c r="E222" s="62"/>
      <c r="F222" s="37">
        <f t="shared" si="1"/>
        <v>0</v>
      </c>
      <c r="G222" s="41">
        <f t="shared" si="11"/>
        <v>0</v>
      </c>
      <c r="H222" s="43" t="s">
        <v>93</v>
      </c>
      <c r="I222" s="135"/>
      <c r="J222" s="191"/>
      <c r="K222" s="191"/>
      <c r="L222" s="191"/>
      <c r="M222" s="191"/>
      <c r="N222" s="191"/>
      <c r="O222" s="192"/>
    </row>
    <row r="223" ht="15.75" customHeight="1">
      <c r="A223" s="132"/>
      <c r="B223" s="28" t="s">
        <v>588</v>
      </c>
      <c r="C223" s="197" t="s">
        <v>14</v>
      </c>
      <c r="D223" s="57"/>
      <c r="E223" s="33">
        <v>15.88</v>
      </c>
      <c r="F223" s="37">
        <f t="shared" si="1"/>
        <v>142920</v>
      </c>
      <c r="G223" s="41">
        <f t="shared" si="11"/>
        <v>0</v>
      </c>
      <c r="H223" s="43" t="s">
        <v>580</v>
      </c>
      <c r="I223" s="135"/>
      <c r="J223" s="191"/>
      <c r="K223" s="191"/>
      <c r="L223" s="191"/>
      <c r="M223" s="191"/>
      <c r="N223" s="191"/>
      <c r="O223" s="192"/>
    </row>
    <row r="224" ht="15.75" customHeight="1">
      <c r="A224" s="132"/>
      <c r="B224" s="86" t="s">
        <v>590</v>
      </c>
      <c r="C224" s="197" t="s">
        <v>280</v>
      </c>
      <c r="D224" s="31"/>
      <c r="E224" s="62"/>
      <c r="F224" s="37">
        <f t="shared" si="1"/>
        <v>0</v>
      </c>
      <c r="G224" s="41">
        <f t="shared" si="11"/>
        <v>0</v>
      </c>
      <c r="H224" s="43" t="s">
        <v>93</v>
      </c>
      <c r="I224" s="135"/>
      <c r="J224" s="191"/>
      <c r="K224" s="191"/>
      <c r="L224" s="191"/>
      <c r="M224" s="191"/>
      <c r="N224" s="191"/>
      <c r="O224" s="192"/>
    </row>
    <row r="225" ht="15.75" customHeight="1">
      <c r="A225" s="132"/>
      <c r="B225" s="47" t="s">
        <v>591</v>
      </c>
      <c r="C225" s="197" t="s">
        <v>14</v>
      </c>
      <c r="D225" s="31"/>
      <c r="E225" s="33">
        <v>33.0</v>
      </c>
      <c r="F225" s="37">
        <f t="shared" si="1"/>
        <v>297000</v>
      </c>
      <c r="G225" s="41">
        <f t="shared" si="11"/>
        <v>0</v>
      </c>
      <c r="H225" s="101" t="s">
        <v>93</v>
      </c>
      <c r="I225" s="45" t="s">
        <v>12</v>
      </c>
      <c r="J225" s="191"/>
      <c r="K225" s="191"/>
      <c r="L225" s="191"/>
      <c r="M225" s="191"/>
      <c r="N225" s="191"/>
      <c r="O225" s="192"/>
    </row>
    <row r="226" ht="15.75" customHeight="1">
      <c r="A226" s="132"/>
      <c r="B226" s="86" t="s">
        <v>592</v>
      </c>
      <c r="C226" s="197" t="s">
        <v>270</v>
      </c>
      <c r="D226" s="31"/>
      <c r="E226" s="62"/>
      <c r="F226" s="37">
        <f t="shared" si="1"/>
        <v>0</v>
      </c>
      <c r="G226" s="41">
        <f t="shared" si="11"/>
        <v>0</v>
      </c>
      <c r="H226" s="45" t="s">
        <v>571</v>
      </c>
      <c r="I226" s="45" t="s">
        <v>12</v>
      </c>
      <c r="J226" s="191"/>
      <c r="K226" s="191"/>
      <c r="L226" s="191"/>
      <c r="M226" s="191"/>
      <c r="N226" s="191"/>
      <c r="O226" s="192"/>
    </row>
    <row r="227" ht="15.75" customHeight="1">
      <c r="A227" s="132"/>
      <c r="B227" s="23" t="s">
        <v>594</v>
      </c>
      <c r="C227" s="192"/>
      <c r="D227" s="122"/>
      <c r="E227" s="123"/>
      <c r="F227" s="37">
        <f t="shared" si="1"/>
        <v>0</v>
      </c>
      <c r="G227" s="124"/>
      <c r="H227" s="189"/>
      <c r="I227" s="190"/>
      <c r="J227" s="191"/>
      <c r="K227" s="191"/>
      <c r="L227" s="191"/>
      <c r="M227" s="191"/>
      <c r="N227" s="191"/>
      <c r="O227" s="192"/>
    </row>
    <row r="228" ht="15.75" customHeight="1">
      <c r="A228" s="132"/>
      <c r="B228" s="28" t="s">
        <v>595</v>
      </c>
      <c r="C228" s="197" t="s">
        <v>14</v>
      </c>
      <c r="D228" s="31"/>
      <c r="E228" s="33">
        <v>9.0</v>
      </c>
      <c r="F228" s="37">
        <f t="shared" si="1"/>
        <v>81000</v>
      </c>
      <c r="G228" s="41">
        <f t="shared" ref="G228:G235" si="12">F228*D228</f>
        <v>0</v>
      </c>
      <c r="H228" s="43" t="s">
        <v>298</v>
      </c>
      <c r="I228" s="43" t="s">
        <v>298</v>
      </c>
      <c r="J228" s="191"/>
      <c r="K228" s="191"/>
      <c r="L228" s="191"/>
      <c r="M228" s="191"/>
      <c r="N228" s="191"/>
      <c r="O228" s="192"/>
    </row>
    <row r="229" ht="15.75" customHeight="1">
      <c r="A229" s="132"/>
      <c r="B229" s="28" t="s">
        <v>599</v>
      </c>
      <c r="C229" s="197" t="s">
        <v>14</v>
      </c>
      <c r="D229" s="31"/>
      <c r="E229" s="33">
        <v>9.0</v>
      </c>
      <c r="F229" s="37">
        <f t="shared" si="1"/>
        <v>81000</v>
      </c>
      <c r="G229" s="41">
        <f t="shared" si="12"/>
        <v>0</v>
      </c>
      <c r="H229" s="43" t="s">
        <v>600</v>
      </c>
      <c r="I229" s="43" t="s">
        <v>600</v>
      </c>
      <c r="J229" s="191"/>
      <c r="K229" s="191"/>
      <c r="L229" s="191"/>
      <c r="M229" s="191"/>
      <c r="N229" s="191"/>
      <c r="O229" s="192"/>
    </row>
    <row r="230" ht="15.75" customHeight="1">
      <c r="A230" s="132"/>
      <c r="B230" s="86" t="s">
        <v>601</v>
      </c>
      <c r="C230" s="197" t="s">
        <v>14</v>
      </c>
      <c r="D230" s="31"/>
      <c r="E230" s="62"/>
      <c r="F230" s="37">
        <f t="shared" si="1"/>
        <v>0</v>
      </c>
      <c r="G230" s="41">
        <f t="shared" si="12"/>
        <v>0</v>
      </c>
      <c r="H230" s="43" t="s">
        <v>298</v>
      </c>
      <c r="I230" s="43" t="s">
        <v>298</v>
      </c>
      <c r="J230" s="191"/>
      <c r="K230" s="191"/>
      <c r="L230" s="191"/>
      <c r="M230" s="191"/>
      <c r="N230" s="191"/>
      <c r="O230" s="192"/>
    </row>
    <row r="231" ht="15.75" customHeight="1">
      <c r="A231" s="132"/>
      <c r="B231" s="86" t="s">
        <v>602</v>
      </c>
      <c r="C231" s="197" t="s">
        <v>270</v>
      </c>
      <c r="D231" s="31"/>
      <c r="E231" s="33">
        <v>2.5</v>
      </c>
      <c r="F231" s="37">
        <f t="shared" si="1"/>
        <v>22500</v>
      </c>
      <c r="G231" s="41">
        <f t="shared" si="12"/>
        <v>0</v>
      </c>
      <c r="H231" s="43" t="s">
        <v>298</v>
      </c>
      <c r="I231" s="43" t="s">
        <v>298</v>
      </c>
      <c r="J231" s="191"/>
      <c r="K231" s="191"/>
      <c r="L231" s="191"/>
      <c r="M231" s="191"/>
      <c r="N231" s="191"/>
      <c r="O231" s="192"/>
    </row>
    <row r="232" ht="15.75" customHeight="1">
      <c r="A232" s="132"/>
      <c r="B232" s="28" t="s">
        <v>605</v>
      </c>
      <c r="C232" s="197" t="s">
        <v>270</v>
      </c>
      <c r="D232" s="31"/>
      <c r="E232" s="33">
        <v>3.09</v>
      </c>
      <c r="F232" s="37">
        <f t="shared" si="1"/>
        <v>27810</v>
      </c>
      <c r="G232" s="41">
        <f t="shared" si="12"/>
        <v>0</v>
      </c>
      <c r="H232" s="43" t="s">
        <v>298</v>
      </c>
      <c r="I232" s="43" t="s">
        <v>298</v>
      </c>
      <c r="J232" s="191"/>
      <c r="K232" s="191"/>
      <c r="L232" s="191"/>
      <c r="M232" s="191"/>
      <c r="N232" s="191"/>
      <c r="O232" s="192"/>
    </row>
    <row r="233" ht="15.75" customHeight="1">
      <c r="A233" s="132"/>
      <c r="B233" s="28" t="s">
        <v>606</v>
      </c>
      <c r="C233" s="197" t="s">
        <v>14</v>
      </c>
      <c r="D233" s="31"/>
      <c r="E233" s="33">
        <v>5.93</v>
      </c>
      <c r="F233" s="37">
        <f t="shared" si="1"/>
        <v>53370</v>
      </c>
      <c r="G233" s="41">
        <f t="shared" si="12"/>
        <v>0</v>
      </c>
      <c r="H233" s="43" t="s">
        <v>298</v>
      </c>
      <c r="I233" s="43" t="s">
        <v>298</v>
      </c>
      <c r="J233" s="191"/>
      <c r="K233" s="191"/>
      <c r="L233" s="191"/>
      <c r="M233" s="191"/>
      <c r="N233" s="191"/>
      <c r="O233" s="192"/>
    </row>
    <row r="234" ht="15.75" customHeight="1">
      <c r="A234" s="132"/>
      <c r="B234" s="86" t="s">
        <v>607</v>
      </c>
      <c r="C234" s="197" t="s">
        <v>270</v>
      </c>
      <c r="D234" s="31"/>
      <c r="E234" s="62"/>
      <c r="F234" s="37">
        <f t="shared" si="1"/>
        <v>0</v>
      </c>
      <c r="G234" s="41">
        <f t="shared" si="12"/>
        <v>0</v>
      </c>
      <c r="H234" s="43" t="s">
        <v>298</v>
      </c>
      <c r="I234" s="43" t="s">
        <v>298</v>
      </c>
      <c r="J234" s="191"/>
      <c r="K234" s="191"/>
      <c r="L234" s="191"/>
      <c r="M234" s="191"/>
      <c r="N234" s="191"/>
      <c r="O234" s="192"/>
    </row>
    <row r="235" ht="15.75" customHeight="1">
      <c r="A235" s="132"/>
      <c r="B235" s="28" t="s">
        <v>610</v>
      </c>
      <c r="C235" s="197" t="s">
        <v>270</v>
      </c>
      <c r="D235" s="31"/>
      <c r="E235" s="33">
        <v>5.25</v>
      </c>
      <c r="F235" s="37">
        <f t="shared" si="1"/>
        <v>47250</v>
      </c>
      <c r="G235" s="41">
        <f t="shared" si="12"/>
        <v>0</v>
      </c>
      <c r="H235" s="43" t="s">
        <v>298</v>
      </c>
      <c r="I235" s="43" t="s">
        <v>298</v>
      </c>
      <c r="J235" s="191"/>
      <c r="K235" s="191"/>
      <c r="L235" s="191"/>
      <c r="M235" s="191"/>
      <c r="N235" s="191"/>
      <c r="O235" s="192"/>
    </row>
    <row r="236" ht="15.75" customHeight="1">
      <c r="A236" s="132"/>
      <c r="B236" s="23" t="s">
        <v>611</v>
      </c>
      <c r="C236" s="192"/>
      <c r="D236" s="122"/>
      <c r="E236" s="123"/>
      <c r="F236" s="37">
        <f t="shared" si="1"/>
        <v>0</v>
      </c>
      <c r="G236" s="124"/>
      <c r="H236" s="189"/>
      <c r="I236" s="190"/>
      <c r="J236" s="191"/>
      <c r="K236" s="191"/>
      <c r="L236" s="191"/>
      <c r="M236" s="191"/>
      <c r="N236" s="191"/>
      <c r="O236" s="192"/>
    </row>
    <row r="237" ht="15.75" customHeight="1">
      <c r="A237" s="132"/>
      <c r="B237" s="118" t="s">
        <v>612</v>
      </c>
      <c r="C237" s="197" t="s">
        <v>586</v>
      </c>
      <c r="D237" s="31"/>
      <c r="E237" s="62">
        <v>1.05</v>
      </c>
      <c r="F237" s="37">
        <f t="shared" si="1"/>
        <v>9450</v>
      </c>
      <c r="G237" s="41">
        <f t="shared" ref="G237:G243" si="13">F237*D237</f>
        <v>0</v>
      </c>
      <c r="H237" s="45" t="s">
        <v>616</v>
      </c>
      <c r="I237" s="135" t="s">
        <v>617</v>
      </c>
      <c r="J237" s="191"/>
      <c r="K237" s="191"/>
      <c r="L237" s="191"/>
      <c r="M237" s="191"/>
      <c r="N237" s="191"/>
      <c r="O237" s="192"/>
    </row>
    <row r="238" ht="15.75" customHeight="1">
      <c r="A238" s="132"/>
      <c r="B238" s="227" t="s">
        <v>618</v>
      </c>
      <c r="C238" s="197" t="s">
        <v>586</v>
      </c>
      <c r="D238" s="31"/>
      <c r="E238" s="62">
        <f>3.55*1.1</f>
        <v>3.905</v>
      </c>
      <c r="F238" s="37">
        <f t="shared" si="1"/>
        <v>35145</v>
      </c>
      <c r="G238" s="41">
        <f t="shared" si="13"/>
        <v>0</v>
      </c>
      <c r="H238" s="45" t="s">
        <v>621</v>
      </c>
      <c r="I238" s="135" t="s">
        <v>622</v>
      </c>
      <c r="J238" s="191"/>
      <c r="K238" s="191"/>
      <c r="L238" s="191"/>
      <c r="M238" s="191"/>
      <c r="N238" s="191"/>
      <c r="O238" s="192"/>
    </row>
    <row r="239" ht="15.75" customHeight="1">
      <c r="A239" s="132"/>
      <c r="B239" s="227" t="s">
        <v>623</v>
      </c>
      <c r="C239" s="197" t="s">
        <v>586</v>
      </c>
      <c r="D239" s="31"/>
      <c r="E239" s="62">
        <v>1.3</v>
      </c>
      <c r="F239" s="37">
        <f t="shared" si="1"/>
        <v>11700</v>
      </c>
      <c r="G239" s="41">
        <f t="shared" si="13"/>
        <v>0</v>
      </c>
      <c r="H239" s="45" t="s">
        <v>621</v>
      </c>
      <c r="I239" s="135" t="s">
        <v>622</v>
      </c>
      <c r="J239" s="191"/>
      <c r="K239" s="191"/>
      <c r="L239" s="191"/>
      <c r="M239" s="191"/>
      <c r="N239" s="191"/>
      <c r="O239" s="192"/>
    </row>
    <row r="240" ht="15.75" customHeight="1">
      <c r="A240" s="132"/>
      <c r="B240" s="232" t="s">
        <v>625</v>
      </c>
      <c r="C240" s="197" t="s">
        <v>586</v>
      </c>
      <c r="D240" s="31"/>
      <c r="E240" s="33">
        <v>1.05</v>
      </c>
      <c r="F240" s="37">
        <f t="shared" si="1"/>
        <v>9450</v>
      </c>
      <c r="G240" s="41">
        <f t="shared" si="13"/>
        <v>0</v>
      </c>
      <c r="H240" s="45" t="s">
        <v>616</v>
      </c>
      <c r="I240" s="135" t="s">
        <v>617</v>
      </c>
      <c r="J240" s="191"/>
      <c r="K240" s="191"/>
      <c r="L240" s="191"/>
      <c r="M240" s="191"/>
      <c r="N240" s="191"/>
      <c r="O240" s="192"/>
    </row>
    <row r="241" ht="15.75" customHeight="1">
      <c r="A241" s="132"/>
      <c r="B241" s="232" t="s">
        <v>627</v>
      </c>
      <c r="C241" s="197" t="s">
        <v>586</v>
      </c>
      <c r="D241" s="57"/>
      <c r="E241" s="33">
        <v>1.95</v>
      </c>
      <c r="F241" s="37">
        <f t="shared" si="1"/>
        <v>17550</v>
      </c>
      <c r="G241" s="41">
        <f t="shared" si="13"/>
        <v>0</v>
      </c>
      <c r="H241" s="45" t="s">
        <v>616</v>
      </c>
      <c r="I241" s="135" t="s">
        <v>617</v>
      </c>
      <c r="J241" s="191"/>
      <c r="K241" s="191"/>
      <c r="L241" s="191"/>
      <c r="M241" s="191"/>
      <c r="N241" s="191"/>
      <c r="O241" s="192"/>
    </row>
    <row r="242" ht="15.75" customHeight="1">
      <c r="A242" s="132"/>
      <c r="B242" s="28" t="s">
        <v>629</v>
      </c>
      <c r="C242" s="197" t="s">
        <v>586</v>
      </c>
      <c r="D242" s="57"/>
      <c r="E242" s="33">
        <v>1.5</v>
      </c>
      <c r="F242" s="37">
        <f t="shared" si="1"/>
        <v>13500</v>
      </c>
      <c r="G242" s="41">
        <f t="shared" si="13"/>
        <v>0</v>
      </c>
      <c r="H242" s="45" t="s">
        <v>616</v>
      </c>
      <c r="I242" s="135" t="s">
        <v>617</v>
      </c>
      <c r="J242" s="191"/>
      <c r="K242" s="191"/>
      <c r="L242" s="191"/>
      <c r="M242" s="191"/>
      <c r="N242" s="191"/>
      <c r="O242" s="192"/>
    </row>
    <row r="243" ht="15.75" customHeight="1">
      <c r="A243" s="132"/>
      <c r="B243" s="28" t="s">
        <v>630</v>
      </c>
      <c r="C243" s="197" t="s">
        <v>586</v>
      </c>
      <c r="D243" s="31"/>
      <c r="E243" s="33">
        <f>0.85</f>
        <v>0.85</v>
      </c>
      <c r="F243" s="37">
        <f t="shared" si="1"/>
        <v>7650</v>
      </c>
      <c r="G243" s="41">
        <f t="shared" si="13"/>
        <v>0</v>
      </c>
      <c r="H243" s="45" t="s">
        <v>616</v>
      </c>
      <c r="I243" s="135" t="s">
        <v>617</v>
      </c>
      <c r="J243" s="191"/>
      <c r="K243" s="191"/>
      <c r="L243" s="191"/>
      <c r="M243" s="191"/>
      <c r="N243" s="191"/>
      <c r="O243" s="192"/>
    </row>
    <row r="244" ht="15.75" customHeight="1">
      <c r="A244" s="132"/>
      <c r="B244" s="206" t="s">
        <v>632</v>
      </c>
      <c r="C244" s="192"/>
      <c r="D244" s="122"/>
      <c r="E244" s="123"/>
      <c r="F244" s="37">
        <f t="shared" si="1"/>
        <v>0</v>
      </c>
      <c r="G244" s="124"/>
      <c r="H244" s="189"/>
      <c r="I244" s="190"/>
      <c r="J244" s="191"/>
      <c r="K244" s="191"/>
      <c r="L244" s="191"/>
      <c r="M244" s="191"/>
      <c r="N244" s="191"/>
      <c r="O244" s="192"/>
    </row>
    <row r="245" ht="15.75" customHeight="1">
      <c r="A245" s="132"/>
      <c r="B245" s="69" t="s">
        <v>634</v>
      </c>
      <c r="C245" s="197" t="s">
        <v>635</v>
      </c>
      <c r="D245" s="31"/>
      <c r="E245" s="62">
        <f>3.25*1.1</f>
        <v>3.575</v>
      </c>
      <c r="F245" s="37">
        <f t="shared" si="1"/>
        <v>32175</v>
      </c>
      <c r="G245" s="41">
        <f t="shared" ref="G245:G263" si="14">F245*D245</f>
        <v>0</v>
      </c>
      <c r="H245" s="43" t="s">
        <v>640</v>
      </c>
      <c r="I245" s="135" t="s">
        <v>640</v>
      </c>
      <c r="J245" s="191"/>
      <c r="K245" s="191"/>
      <c r="L245" s="191"/>
      <c r="M245" s="191"/>
      <c r="N245" s="191"/>
      <c r="O245" s="192"/>
    </row>
    <row r="246" ht="16.5" customHeight="1">
      <c r="A246" s="132"/>
      <c r="B246" s="86" t="s">
        <v>641</v>
      </c>
      <c r="C246" s="197" t="s">
        <v>642</v>
      </c>
      <c r="D246" s="31"/>
      <c r="E246" s="62">
        <f>21.5*1.1</f>
        <v>23.65</v>
      </c>
      <c r="F246" s="37">
        <f t="shared" si="1"/>
        <v>212850</v>
      </c>
      <c r="G246" s="41">
        <f t="shared" si="14"/>
        <v>0</v>
      </c>
      <c r="H246" s="43" t="s">
        <v>180</v>
      </c>
      <c r="I246" s="135" t="s">
        <v>643</v>
      </c>
      <c r="J246" s="191"/>
      <c r="K246" s="191"/>
      <c r="L246" s="191"/>
      <c r="M246" s="191"/>
      <c r="N246" s="191"/>
      <c r="O246" s="192"/>
    </row>
    <row r="247" ht="15.75" customHeight="1">
      <c r="A247" s="132"/>
      <c r="B247" s="64" t="s">
        <v>644</v>
      </c>
      <c r="C247" s="197" t="s">
        <v>642</v>
      </c>
      <c r="D247" s="57"/>
      <c r="E247" s="62">
        <f>26*1.1</f>
        <v>28.6</v>
      </c>
      <c r="F247" s="37">
        <f t="shared" si="1"/>
        <v>257400</v>
      </c>
      <c r="G247" s="41">
        <f t="shared" si="14"/>
        <v>0</v>
      </c>
      <c r="H247" s="143" t="s">
        <v>129</v>
      </c>
      <c r="I247" s="234" t="s">
        <v>645</v>
      </c>
      <c r="J247" s="191"/>
      <c r="K247" s="191"/>
      <c r="L247" s="191"/>
      <c r="M247" s="191"/>
      <c r="N247" s="191"/>
      <c r="O247" s="192"/>
    </row>
    <row r="248" ht="15.75" customHeight="1">
      <c r="A248" s="132"/>
      <c r="B248" s="64" t="s">
        <v>646</v>
      </c>
      <c r="C248" s="197" t="s">
        <v>642</v>
      </c>
      <c r="D248" s="31"/>
      <c r="E248" s="62">
        <f>8.9*1.1</f>
        <v>9.79</v>
      </c>
      <c r="F248" s="37">
        <f t="shared" si="1"/>
        <v>88110</v>
      </c>
      <c r="G248" s="41">
        <f t="shared" si="14"/>
        <v>0</v>
      </c>
      <c r="H248" s="143" t="s">
        <v>648</v>
      </c>
      <c r="I248" s="234" t="s">
        <v>649</v>
      </c>
      <c r="J248" s="191"/>
      <c r="K248" s="191"/>
      <c r="L248" s="191"/>
      <c r="M248" s="191"/>
      <c r="N248" s="191"/>
      <c r="O248" s="192"/>
    </row>
    <row r="249" ht="15.75" customHeight="1">
      <c r="A249" s="132"/>
      <c r="B249" s="237" t="s">
        <v>650</v>
      </c>
      <c r="C249" s="197" t="s">
        <v>69</v>
      </c>
      <c r="D249" s="31"/>
      <c r="E249" s="62">
        <f>22.8/4</f>
        <v>5.7</v>
      </c>
      <c r="F249" s="37">
        <f t="shared" si="1"/>
        <v>51300</v>
      </c>
      <c r="G249" s="41">
        <f t="shared" si="14"/>
        <v>0</v>
      </c>
      <c r="H249" s="43" t="s">
        <v>651</v>
      </c>
      <c r="I249" s="135" t="s">
        <v>652</v>
      </c>
      <c r="J249" s="191"/>
      <c r="K249" s="191"/>
      <c r="L249" s="191"/>
      <c r="M249" s="191"/>
      <c r="N249" s="191"/>
      <c r="O249" s="192"/>
    </row>
    <row r="250" ht="15.75" customHeight="1">
      <c r="A250" s="132"/>
      <c r="B250" s="238" t="s">
        <v>654</v>
      </c>
      <c r="C250" s="197" t="s">
        <v>586</v>
      </c>
      <c r="D250" s="31"/>
      <c r="E250" s="62">
        <f>11*1.1</f>
        <v>12.1</v>
      </c>
      <c r="F250" s="37">
        <f t="shared" si="1"/>
        <v>108900</v>
      </c>
      <c r="G250" s="41">
        <f t="shared" si="14"/>
        <v>0</v>
      </c>
      <c r="H250" s="143" t="s">
        <v>133</v>
      </c>
      <c r="I250" s="234" t="s">
        <v>649</v>
      </c>
      <c r="J250" s="191"/>
      <c r="K250" s="191"/>
      <c r="L250" s="191"/>
      <c r="M250" s="191"/>
      <c r="N250" s="191"/>
      <c r="O250" s="192"/>
    </row>
    <row r="251" ht="15.75" customHeight="1">
      <c r="A251" s="132"/>
      <c r="B251" s="118" t="s">
        <v>658</v>
      </c>
      <c r="C251" s="197" t="s">
        <v>187</v>
      </c>
      <c r="D251" s="31"/>
      <c r="E251" s="62">
        <f>46*1.1</f>
        <v>50.6</v>
      </c>
      <c r="F251" s="37">
        <f t="shared" si="1"/>
        <v>455400</v>
      </c>
      <c r="G251" s="41">
        <f t="shared" si="14"/>
        <v>0</v>
      </c>
      <c r="H251" s="143" t="s">
        <v>129</v>
      </c>
      <c r="I251" s="234" t="s">
        <v>659</v>
      </c>
      <c r="J251" s="191"/>
      <c r="K251" s="191"/>
      <c r="L251" s="191"/>
      <c r="M251" s="191"/>
      <c r="N251" s="191"/>
      <c r="O251" s="192"/>
    </row>
    <row r="252" ht="15.75" customHeight="1">
      <c r="A252" s="132"/>
      <c r="B252" s="28" t="s">
        <v>660</v>
      </c>
      <c r="C252" s="197" t="s">
        <v>165</v>
      </c>
      <c r="D252" s="31"/>
      <c r="E252" s="62">
        <f>9.75*1.1</f>
        <v>10.725</v>
      </c>
      <c r="F252" s="37">
        <f t="shared" si="1"/>
        <v>96525</v>
      </c>
      <c r="G252" s="41">
        <f t="shared" si="14"/>
        <v>0</v>
      </c>
      <c r="H252" s="145" t="s">
        <v>180</v>
      </c>
      <c r="I252" s="135" t="s">
        <v>662</v>
      </c>
      <c r="J252" s="191"/>
      <c r="K252" s="191"/>
      <c r="L252" s="191"/>
      <c r="M252" s="191"/>
      <c r="N252" s="191"/>
      <c r="O252" s="192"/>
    </row>
    <row r="253" ht="15.75" customHeight="1">
      <c r="A253" s="132"/>
      <c r="B253" s="86" t="s">
        <v>663</v>
      </c>
      <c r="C253" s="197" t="s">
        <v>90</v>
      </c>
      <c r="D253" s="31"/>
      <c r="E253" s="62">
        <f>2.5*1.1</f>
        <v>2.75</v>
      </c>
      <c r="F253" s="37">
        <f t="shared" si="1"/>
        <v>24750</v>
      </c>
      <c r="G253" s="41">
        <f t="shared" si="14"/>
        <v>0</v>
      </c>
      <c r="H253" s="143" t="s">
        <v>129</v>
      </c>
      <c r="I253" s="135" t="s">
        <v>123</v>
      </c>
      <c r="J253" s="191"/>
      <c r="K253" s="191"/>
      <c r="L253" s="191"/>
      <c r="M253" s="191"/>
      <c r="N253" s="191"/>
      <c r="O253" s="192"/>
    </row>
    <row r="254" ht="15.75" customHeight="1">
      <c r="A254" s="132"/>
      <c r="B254" s="103" t="s">
        <v>664</v>
      </c>
      <c r="C254" s="244" t="s">
        <v>14</v>
      </c>
      <c r="D254" s="31"/>
      <c r="E254" s="33">
        <v>45.0</v>
      </c>
      <c r="F254" s="37">
        <f t="shared" si="1"/>
        <v>405000</v>
      </c>
      <c r="G254" s="41">
        <f t="shared" si="14"/>
        <v>0</v>
      </c>
      <c r="H254" s="195" t="s">
        <v>93</v>
      </c>
      <c r="I254" s="145"/>
      <c r="J254" s="191"/>
      <c r="K254" s="191"/>
      <c r="L254" s="191"/>
      <c r="M254" s="191"/>
      <c r="N254" s="191"/>
      <c r="O254" s="192"/>
    </row>
    <row r="255" ht="15.75" customHeight="1">
      <c r="A255" s="132"/>
      <c r="B255" s="86" t="s">
        <v>666</v>
      </c>
      <c r="C255" s="207" t="s">
        <v>642</v>
      </c>
      <c r="D255" s="31"/>
      <c r="E255" s="62">
        <f>18*1.1</f>
        <v>19.8</v>
      </c>
      <c r="F255" s="37">
        <f t="shared" si="1"/>
        <v>178200</v>
      </c>
      <c r="G255" s="41">
        <f t="shared" si="14"/>
        <v>0</v>
      </c>
      <c r="H255" s="145" t="s">
        <v>129</v>
      </c>
      <c r="I255" s="145" t="s">
        <v>667</v>
      </c>
      <c r="J255" s="191"/>
      <c r="K255" s="191"/>
      <c r="L255" s="191"/>
      <c r="M255" s="191"/>
      <c r="N255" s="191"/>
      <c r="O255" s="192"/>
    </row>
    <row r="256" ht="15.75" customHeight="1">
      <c r="A256" s="132"/>
      <c r="B256" s="86" t="s">
        <v>668</v>
      </c>
      <c r="C256" s="207" t="s">
        <v>69</v>
      </c>
      <c r="D256" s="31"/>
      <c r="E256" s="62">
        <v>1.0</v>
      </c>
      <c r="F256" s="37">
        <f t="shared" si="1"/>
        <v>9000</v>
      </c>
      <c r="G256" s="41">
        <f t="shared" si="14"/>
        <v>0</v>
      </c>
      <c r="H256" s="43" t="s">
        <v>640</v>
      </c>
      <c r="I256" s="43" t="s">
        <v>640</v>
      </c>
      <c r="J256" s="191"/>
      <c r="K256" s="191"/>
      <c r="L256" s="191"/>
      <c r="M256" s="191"/>
      <c r="N256" s="191"/>
      <c r="O256" s="192"/>
    </row>
    <row r="257" ht="15.75" customHeight="1">
      <c r="A257" s="132"/>
      <c r="B257" s="86" t="s">
        <v>669</v>
      </c>
      <c r="C257" s="207" t="s">
        <v>69</v>
      </c>
      <c r="D257" s="31"/>
      <c r="E257" s="62">
        <v>1.2</v>
      </c>
      <c r="F257" s="37">
        <f t="shared" si="1"/>
        <v>10800</v>
      </c>
      <c r="G257" s="41">
        <f t="shared" si="14"/>
        <v>0</v>
      </c>
      <c r="H257" s="43" t="s">
        <v>640</v>
      </c>
      <c r="I257" s="43" t="s">
        <v>640</v>
      </c>
      <c r="J257" s="191"/>
      <c r="K257" s="191"/>
      <c r="L257" s="191"/>
      <c r="M257" s="191"/>
      <c r="N257" s="191"/>
      <c r="O257" s="192"/>
    </row>
    <row r="258" ht="15.75" customHeight="1">
      <c r="A258" s="132"/>
      <c r="B258" s="86" t="s">
        <v>670</v>
      </c>
      <c r="C258" s="207" t="s">
        <v>165</v>
      </c>
      <c r="D258" s="57"/>
      <c r="E258" s="62">
        <f>21*1.1</f>
        <v>23.1</v>
      </c>
      <c r="F258" s="37">
        <f t="shared" si="1"/>
        <v>207900</v>
      </c>
      <c r="G258" s="41">
        <f t="shared" si="14"/>
        <v>0</v>
      </c>
      <c r="H258" s="143" t="s">
        <v>93</v>
      </c>
      <c r="I258" s="135" t="s">
        <v>673</v>
      </c>
      <c r="J258" s="191"/>
      <c r="K258" s="191"/>
      <c r="L258" s="191"/>
      <c r="M258" s="191"/>
      <c r="N258" s="191"/>
      <c r="O258" s="192"/>
    </row>
    <row r="259" ht="15.75" customHeight="1">
      <c r="A259" s="132"/>
      <c r="B259" s="86" t="s">
        <v>674</v>
      </c>
      <c r="C259" s="207" t="s">
        <v>675</v>
      </c>
      <c r="D259" s="31"/>
      <c r="E259" s="62">
        <f>18.49/12</f>
        <v>1.540833333</v>
      </c>
      <c r="F259" s="37">
        <f t="shared" si="1"/>
        <v>13867.5</v>
      </c>
      <c r="G259" s="41">
        <f t="shared" si="14"/>
        <v>0</v>
      </c>
      <c r="H259" s="145" t="s">
        <v>640</v>
      </c>
      <c r="I259" s="135" t="s">
        <v>640</v>
      </c>
      <c r="J259" s="191"/>
      <c r="K259" s="191"/>
      <c r="L259" s="191"/>
      <c r="M259" s="191"/>
      <c r="N259" s="191"/>
      <c r="O259" s="192"/>
    </row>
    <row r="260" ht="15.75" customHeight="1">
      <c r="A260" s="132"/>
      <c r="B260" s="28" t="s">
        <v>678</v>
      </c>
      <c r="C260" s="207" t="s">
        <v>165</v>
      </c>
      <c r="D260" s="31"/>
      <c r="E260" s="62">
        <f>16*1.1</f>
        <v>17.6</v>
      </c>
      <c r="F260" s="37">
        <f t="shared" si="1"/>
        <v>158400</v>
      </c>
      <c r="G260" s="41">
        <f t="shared" si="14"/>
        <v>0</v>
      </c>
      <c r="H260" s="145" t="s">
        <v>129</v>
      </c>
      <c r="I260" s="135"/>
      <c r="J260" s="191"/>
      <c r="K260" s="191"/>
      <c r="L260" s="191"/>
      <c r="M260" s="191"/>
      <c r="N260" s="191"/>
      <c r="O260" s="192"/>
    </row>
    <row r="261" ht="15.75" customHeight="1">
      <c r="A261" s="132"/>
      <c r="B261" s="103" t="s">
        <v>680</v>
      </c>
      <c r="C261" s="244" t="s">
        <v>14</v>
      </c>
      <c r="D261" s="31"/>
      <c r="E261" s="33">
        <v>3.1</v>
      </c>
      <c r="F261" s="37">
        <f t="shared" si="1"/>
        <v>27900</v>
      </c>
      <c r="G261" s="41">
        <f t="shared" si="14"/>
        <v>0</v>
      </c>
      <c r="H261" s="195" t="s">
        <v>298</v>
      </c>
      <c r="I261" s="135"/>
      <c r="J261" s="191"/>
      <c r="K261" s="191"/>
      <c r="L261" s="191"/>
      <c r="M261" s="191"/>
      <c r="N261" s="191"/>
      <c r="O261" s="192"/>
    </row>
    <row r="262" ht="15.75" customHeight="1">
      <c r="A262" s="132"/>
      <c r="B262" s="103" t="s">
        <v>682</v>
      </c>
      <c r="C262" s="207" t="s">
        <v>586</v>
      </c>
      <c r="D262" s="31"/>
      <c r="E262" s="33">
        <v>28.0</v>
      </c>
      <c r="F262" s="37">
        <f t="shared" si="1"/>
        <v>252000</v>
      </c>
      <c r="G262" s="41">
        <f t="shared" si="14"/>
        <v>0</v>
      </c>
      <c r="H262" s="145" t="s">
        <v>683</v>
      </c>
      <c r="I262" s="135"/>
      <c r="J262" s="191"/>
      <c r="K262" s="191"/>
      <c r="L262" s="191"/>
      <c r="M262" s="191"/>
      <c r="N262" s="191"/>
      <c r="O262" s="192"/>
    </row>
    <row r="263" ht="15.75" customHeight="1">
      <c r="A263" s="132"/>
      <c r="B263" s="28" t="s">
        <v>685</v>
      </c>
      <c r="C263" s="207" t="s">
        <v>586</v>
      </c>
      <c r="D263" s="31"/>
      <c r="E263" s="62">
        <f>17*1.1</f>
        <v>18.7</v>
      </c>
      <c r="F263" s="37">
        <f t="shared" si="1"/>
        <v>168300</v>
      </c>
      <c r="G263" s="41">
        <f t="shared" si="14"/>
        <v>0</v>
      </c>
      <c r="H263" s="145" t="s">
        <v>683</v>
      </c>
      <c r="I263" s="135"/>
      <c r="J263" s="191"/>
      <c r="K263" s="191"/>
      <c r="L263" s="191"/>
      <c r="M263" s="191"/>
      <c r="N263" s="191"/>
      <c r="O263" s="192"/>
    </row>
    <row r="264" ht="15.75" customHeight="1">
      <c r="A264" s="132"/>
      <c r="B264" s="23" t="s">
        <v>689</v>
      </c>
      <c r="C264" s="192"/>
      <c r="D264" s="122"/>
      <c r="E264" s="123"/>
      <c r="F264" s="37">
        <f t="shared" si="1"/>
        <v>0</v>
      </c>
      <c r="G264" s="124"/>
      <c r="H264" s="189"/>
      <c r="I264" s="190"/>
      <c r="J264" s="191"/>
      <c r="K264" s="191"/>
      <c r="L264" s="191"/>
      <c r="M264" s="191"/>
      <c r="N264" s="191"/>
      <c r="O264" s="192"/>
    </row>
    <row r="265" ht="15.75" customHeight="1">
      <c r="A265" s="132"/>
      <c r="B265" s="28" t="s">
        <v>692</v>
      </c>
      <c r="C265" s="197" t="s">
        <v>14</v>
      </c>
      <c r="D265" s="31"/>
      <c r="E265" s="62">
        <f t="shared" ref="E265:E266" si="15">7.75*1.1</f>
        <v>8.525</v>
      </c>
      <c r="F265" s="37">
        <f t="shared" si="1"/>
        <v>76725</v>
      </c>
      <c r="G265" s="41">
        <f t="shared" ref="G265:G274" si="16">F265*D265</f>
        <v>0</v>
      </c>
      <c r="H265" s="43" t="s">
        <v>260</v>
      </c>
      <c r="I265" s="135"/>
      <c r="J265" s="191"/>
      <c r="K265" s="191"/>
      <c r="L265" s="191"/>
      <c r="M265" s="191"/>
      <c r="N265" s="191"/>
      <c r="O265" s="192"/>
    </row>
    <row r="266" ht="15.75" customHeight="1">
      <c r="A266" s="132"/>
      <c r="B266" s="28" t="s">
        <v>695</v>
      </c>
      <c r="C266" s="197" t="s">
        <v>95</v>
      </c>
      <c r="D266" s="31"/>
      <c r="E266" s="62">
        <f t="shared" si="15"/>
        <v>8.525</v>
      </c>
      <c r="F266" s="37">
        <f t="shared" si="1"/>
        <v>76725</v>
      </c>
      <c r="G266" s="41">
        <f t="shared" si="16"/>
        <v>0</v>
      </c>
      <c r="H266" s="43" t="s">
        <v>260</v>
      </c>
      <c r="I266" s="135"/>
      <c r="J266" s="191"/>
      <c r="K266" s="191"/>
      <c r="L266" s="191"/>
      <c r="M266" s="191"/>
      <c r="N266" s="191"/>
      <c r="O266" s="192"/>
    </row>
    <row r="267" ht="15.75" customHeight="1">
      <c r="A267" s="132"/>
      <c r="B267" s="69" t="s">
        <v>697</v>
      </c>
      <c r="C267" s="197" t="s">
        <v>95</v>
      </c>
      <c r="D267" s="31"/>
      <c r="E267" s="33">
        <f>6.5*1.1</f>
        <v>7.15</v>
      </c>
      <c r="F267" s="37">
        <f t="shared" si="1"/>
        <v>64350</v>
      </c>
      <c r="G267" s="41">
        <f t="shared" si="16"/>
        <v>0</v>
      </c>
      <c r="H267" s="116" t="s">
        <v>260</v>
      </c>
      <c r="I267" s="187" t="s">
        <v>700</v>
      </c>
      <c r="J267" s="191"/>
      <c r="K267" s="191"/>
      <c r="L267" s="191"/>
      <c r="M267" s="191"/>
      <c r="N267" s="191"/>
      <c r="O267" s="192"/>
    </row>
    <row r="268" ht="15.75" customHeight="1">
      <c r="A268" s="132"/>
      <c r="B268" s="69" t="s">
        <v>702</v>
      </c>
      <c r="C268" s="197" t="s">
        <v>14</v>
      </c>
      <c r="D268" s="31"/>
      <c r="E268" s="33">
        <v>26.0</v>
      </c>
      <c r="F268" s="37">
        <f t="shared" si="1"/>
        <v>234000</v>
      </c>
      <c r="G268" s="41">
        <f t="shared" si="16"/>
        <v>0</v>
      </c>
      <c r="H268" s="43"/>
      <c r="I268" s="135"/>
      <c r="J268" s="191"/>
      <c r="K268" s="191"/>
      <c r="L268" s="191"/>
      <c r="M268" s="191"/>
      <c r="N268" s="191"/>
      <c r="O268" s="192"/>
    </row>
    <row r="269" ht="15.75" customHeight="1">
      <c r="A269" s="132"/>
      <c r="B269" s="198" t="s">
        <v>704</v>
      </c>
      <c r="C269" s="197" t="s">
        <v>14</v>
      </c>
      <c r="D269" s="31"/>
      <c r="E269" s="33">
        <v>46.0</v>
      </c>
      <c r="F269" s="37">
        <f t="shared" si="1"/>
        <v>414000</v>
      </c>
      <c r="G269" s="41">
        <f t="shared" si="16"/>
        <v>0</v>
      </c>
      <c r="H269" s="43"/>
      <c r="I269" s="135"/>
      <c r="J269" s="191"/>
      <c r="K269" s="191"/>
      <c r="L269" s="191"/>
      <c r="M269" s="191"/>
      <c r="N269" s="191"/>
      <c r="O269" s="192"/>
    </row>
    <row r="270" ht="15.75" customHeight="1">
      <c r="A270" s="132"/>
      <c r="B270" s="28" t="s">
        <v>706</v>
      </c>
      <c r="C270" s="197" t="s">
        <v>707</v>
      </c>
      <c r="D270" s="31"/>
      <c r="E270" s="62">
        <f>1.6*1.1</f>
        <v>1.76</v>
      </c>
      <c r="F270" s="37">
        <f t="shared" si="1"/>
        <v>15840</v>
      </c>
      <c r="G270" s="41">
        <f t="shared" si="16"/>
        <v>0</v>
      </c>
      <c r="H270" s="138" t="s">
        <v>206</v>
      </c>
      <c r="I270" s="135" t="s">
        <v>710</v>
      </c>
      <c r="J270" s="191"/>
      <c r="K270" s="191"/>
      <c r="L270" s="191"/>
      <c r="M270" s="191"/>
      <c r="N270" s="191"/>
      <c r="O270" s="192"/>
    </row>
    <row r="271" ht="15.75" customHeight="1">
      <c r="A271" s="132"/>
      <c r="B271" s="232" t="s">
        <v>711</v>
      </c>
      <c r="C271" s="197" t="s">
        <v>712</v>
      </c>
      <c r="D271" s="31"/>
      <c r="E271" s="33">
        <v>5.99</v>
      </c>
      <c r="F271" s="37">
        <f t="shared" si="1"/>
        <v>53910</v>
      </c>
      <c r="G271" s="41">
        <f t="shared" si="16"/>
        <v>0</v>
      </c>
      <c r="H271" s="138" t="s">
        <v>206</v>
      </c>
      <c r="I271" s="135" t="s">
        <v>710</v>
      </c>
      <c r="J271" s="191"/>
      <c r="K271" s="191"/>
      <c r="L271" s="191"/>
      <c r="M271" s="191"/>
      <c r="N271" s="191"/>
      <c r="O271" s="192"/>
    </row>
    <row r="272" ht="15.75" customHeight="1">
      <c r="A272" s="132"/>
      <c r="B272" s="47" t="s">
        <v>713</v>
      </c>
      <c r="C272" s="251" t="s">
        <v>14</v>
      </c>
      <c r="D272" s="57"/>
      <c r="E272" s="33">
        <v>18.0</v>
      </c>
      <c r="F272" s="37">
        <f t="shared" si="1"/>
        <v>162000</v>
      </c>
      <c r="G272" s="41">
        <f t="shared" si="16"/>
        <v>0</v>
      </c>
      <c r="H272" s="43"/>
      <c r="I272" s="135"/>
      <c r="J272" s="191"/>
      <c r="K272" s="191"/>
      <c r="L272" s="191"/>
      <c r="M272" s="191"/>
      <c r="N272" s="191"/>
      <c r="O272" s="192"/>
    </row>
    <row r="273" ht="15.75" customHeight="1">
      <c r="A273" s="132"/>
      <c r="B273" s="47" t="s">
        <v>715</v>
      </c>
      <c r="C273" s="251" t="s">
        <v>14</v>
      </c>
      <c r="D273" s="57"/>
      <c r="E273" s="33">
        <v>14.43</v>
      </c>
      <c r="F273" s="37">
        <f t="shared" si="1"/>
        <v>129870</v>
      </c>
      <c r="G273" s="41">
        <f t="shared" si="16"/>
        <v>0</v>
      </c>
      <c r="H273" s="43"/>
      <c r="I273" s="135"/>
      <c r="J273" s="191"/>
      <c r="K273" s="191"/>
      <c r="L273" s="191"/>
      <c r="M273" s="191"/>
      <c r="N273" s="191"/>
      <c r="O273" s="192"/>
    </row>
    <row r="274" ht="15.75" customHeight="1">
      <c r="A274" s="132"/>
      <c r="B274" s="103" t="s">
        <v>717</v>
      </c>
      <c r="C274" s="251" t="s">
        <v>14</v>
      </c>
      <c r="D274" s="57"/>
      <c r="E274" s="33">
        <v>10.5</v>
      </c>
      <c r="F274" s="37">
        <f t="shared" si="1"/>
        <v>94500</v>
      </c>
      <c r="G274" s="41">
        <f t="shared" si="16"/>
        <v>0</v>
      </c>
      <c r="H274" s="43" t="s">
        <v>206</v>
      </c>
      <c r="I274" s="135" t="s">
        <v>710</v>
      </c>
      <c r="J274" s="191"/>
      <c r="K274" s="191"/>
      <c r="L274" s="191"/>
      <c r="M274" s="191"/>
      <c r="N274" s="191"/>
      <c r="O274" s="192"/>
    </row>
    <row r="275" ht="15.75" customHeight="1">
      <c r="A275" s="132"/>
      <c r="B275" s="23" t="s">
        <v>719</v>
      </c>
      <c r="C275" s="252"/>
      <c r="D275" s="31"/>
      <c r="E275" s="253"/>
      <c r="F275" s="37">
        <f t="shared" si="1"/>
        <v>0</v>
      </c>
      <c r="G275" s="254"/>
      <c r="H275" s="189"/>
      <c r="I275" s="190"/>
      <c r="J275" s="191"/>
      <c r="K275" s="191"/>
      <c r="L275" s="191"/>
      <c r="M275" s="191"/>
      <c r="N275" s="191"/>
      <c r="O275" s="192"/>
    </row>
    <row r="276" ht="15.75" customHeight="1">
      <c r="A276" s="132"/>
      <c r="B276" s="2" t="s">
        <v>1</v>
      </c>
      <c r="C276" s="2" t="s">
        <v>2</v>
      </c>
      <c r="D276" s="2" t="s">
        <v>3</v>
      </c>
      <c r="E276" s="255" t="s">
        <v>4</v>
      </c>
      <c r="F276" s="37" t="str">
        <f t="shared" si="1"/>
        <v>#VALUE!</v>
      </c>
      <c r="G276" s="2" t="s">
        <v>6</v>
      </c>
      <c r="H276" s="2" t="s">
        <v>7</v>
      </c>
      <c r="I276" s="2" t="s">
        <v>8</v>
      </c>
      <c r="J276" s="191"/>
      <c r="K276" s="191"/>
      <c r="L276" s="191"/>
      <c r="M276" s="191"/>
      <c r="N276" s="191"/>
      <c r="O276" s="192"/>
    </row>
    <row r="277" ht="15.75" customHeight="1">
      <c r="A277" s="132"/>
      <c r="B277" s="86" t="s">
        <v>724</v>
      </c>
      <c r="C277" s="197" t="s">
        <v>14</v>
      </c>
      <c r="D277" s="50"/>
      <c r="E277" s="62">
        <v>1.5</v>
      </c>
      <c r="F277" s="37">
        <f t="shared" si="1"/>
        <v>13500</v>
      </c>
      <c r="G277" s="41">
        <f t="shared" ref="G277:G318" si="17">F277*D277</f>
        <v>0</v>
      </c>
      <c r="H277" s="97"/>
      <c r="I277" s="135"/>
      <c r="J277" s="191"/>
      <c r="K277" s="191"/>
      <c r="L277" s="191"/>
      <c r="M277" s="191"/>
      <c r="N277" s="191"/>
      <c r="O277" s="192"/>
    </row>
    <row r="278" ht="15.75" customHeight="1">
      <c r="A278" s="132"/>
      <c r="B278" s="86" t="s">
        <v>726</v>
      </c>
      <c r="C278" s="197" t="s">
        <v>14</v>
      </c>
      <c r="D278" s="50"/>
      <c r="E278" s="33">
        <v>11.5</v>
      </c>
      <c r="F278" s="37">
        <f t="shared" si="1"/>
        <v>103500</v>
      </c>
      <c r="G278" s="41">
        <f t="shared" si="17"/>
        <v>0</v>
      </c>
      <c r="H278" s="97"/>
      <c r="I278" s="135"/>
      <c r="J278" s="191"/>
      <c r="K278" s="191"/>
      <c r="L278" s="191"/>
      <c r="M278" s="191"/>
      <c r="N278" s="191"/>
      <c r="O278" s="192"/>
    </row>
    <row r="279" ht="15.75" customHeight="1">
      <c r="A279" s="132"/>
      <c r="B279" s="86" t="s">
        <v>727</v>
      </c>
      <c r="C279" s="197" t="s">
        <v>14</v>
      </c>
      <c r="D279" s="50"/>
      <c r="E279" s="62">
        <v>0.8</v>
      </c>
      <c r="F279" s="37">
        <f t="shared" si="1"/>
        <v>7200</v>
      </c>
      <c r="G279" s="41">
        <f t="shared" si="17"/>
        <v>0</v>
      </c>
      <c r="H279" s="97"/>
      <c r="I279" s="135"/>
      <c r="J279" s="191"/>
      <c r="K279" s="191"/>
      <c r="L279" s="191"/>
      <c r="M279" s="191"/>
      <c r="N279" s="191"/>
      <c r="O279" s="192"/>
    </row>
    <row r="280" ht="15.75" customHeight="1">
      <c r="A280" s="132"/>
      <c r="B280" s="86" t="s">
        <v>729</v>
      </c>
      <c r="C280" s="197" t="s">
        <v>14</v>
      </c>
      <c r="D280" s="50"/>
      <c r="E280" s="62">
        <v>0.33</v>
      </c>
      <c r="F280" s="37">
        <f t="shared" si="1"/>
        <v>2970</v>
      </c>
      <c r="G280" s="41">
        <f t="shared" si="17"/>
        <v>0</v>
      </c>
      <c r="H280" s="97"/>
      <c r="I280" s="135"/>
      <c r="J280" s="191"/>
      <c r="K280" s="191"/>
      <c r="L280" s="191"/>
      <c r="M280" s="191"/>
      <c r="N280" s="191"/>
      <c r="O280" s="192"/>
    </row>
    <row r="281" ht="15.75" customHeight="1">
      <c r="A281" s="132"/>
      <c r="B281" s="86" t="s">
        <v>732</v>
      </c>
      <c r="C281" s="197" t="s">
        <v>14</v>
      </c>
      <c r="D281" s="50"/>
      <c r="E281" s="62">
        <v>0.6</v>
      </c>
      <c r="F281" s="37">
        <f t="shared" si="1"/>
        <v>5400</v>
      </c>
      <c r="G281" s="41">
        <f t="shared" si="17"/>
        <v>0</v>
      </c>
      <c r="H281" s="97"/>
      <c r="I281" s="97"/>
      <c r="J281" s="191"/>
      <c r="K281" s="191"/>
      <c r="L281" s="191"/>
      <c r="M281" s="191"/>
      <c r="N281" s="191"/>
      <c r="O281" s="192"/>
    </row>
    <row r="282" ht="15.75" customHeight="1">
      <c r="A282" s="132"/>
      <c r="B282" s="86" t="s">
        <v>735</v>
      </c>
      <c r="C282" s="197" t="s">
        <v>14</v>
      </c>
      <c r="D282" s="50"/>
      <c r="E282" s="62">
        <v>0.33</v>
      </c>
      <c r="F282" s="37">
        <f t="shared" si="1"/>
        <v>2970</v>
      </c>
      <c r="G282" s="41">
        <f t="shared" si="17"/>
        <v>0</v>
      </c>
      <c r="H282" s="43"/>
      <c r="I282" s="135"/>
      <c r="J282" s="191"/>
      <c r="K282" s="191"/>
      <c r="L282" s="191"/>
      <c r="M282" s="191"/>
      <c r="N282" s="191"/>
      <c r="O282" s="192"/>
    </row>
    <row r="283" ht="15.75" customHeight="1">
      <c r="A283" s="132"/>
      <c r="B283" s="86" t="s">
        <v>736</v>
      </c>
      <c r="C283" s="197" t="s">
        <v>14</v>
      </c>
      <c r="D283" s="50"/>
      <c r="E283" s="62">
        <v>1.0</v>
      </c>
      <c r="F283" s="37">
        <f t="shared" si="1"/>
        <v>9000</v>
      </c>
      <c r="G283" s="41">
        <f t="shared" si="17"/>
        <v>0</v>
      </c>
      <c r="H283" s="97"/>
      <c r="I283" s="135"/>
      <c r="J283" s="191"/>
      <c r="K283" s="191"/>
      <c r="L283" s="191"/>
      <c r="M283" s="191"/>
      <c r="N283" s="191"/>
      <c r="O283" s="192"/>
    </row>
    <row r="284" ht="15.75" customHeight="1">
      <c r="A284" s="132"/>
      <c r="B284" s="86" t="s">
        <v>737</v>
      </c>
      <c r="C284" s="197" t="s">
        <v>14</v>
      </c>
      <c r="D284" s="50"/>
      <c r="E284" s="62">
        <v>0.8</v>
      </c>
      <c r="F284" s="37">
        <f t="shared" si="1"/>
        <v>7200</v>
      </c>
      <c r="G284" s="41">
        <f t="shared" si="17"/>
        <v>0</v>
      </c>
      <c r="H284" s="43"/>
      <c r="I284" s="135"/>
      <c r="J284" s="191"/>
      <c r="K284" s="191"/>
      <c r="L284" s="191"/>
      <c r="M284" s="191"/>
      <c r="N284" s="191"/>
      <c r="O284" s="192"/>
    </row>
    <row r="285" ht="15.75" customHeight="1">
      <c r="A285" s="132"/>
      <c r="B285" s="86" t="s">
        <v>739</v>
      </c>
      <c r="C285" s="197" t="s">
        <v>14</v>
      </c>
      <c r="D285" s="50"/>
      <c r="E285" s="62">
        <v>0.9</v>
      </c>
      <c r="F285" s="37">
        <f t="shared" si="1"/>
        <v>8100</v>
      </c>
      <c r="G285" s="41">
        <f t="shared" si="17"/>
        <v>0</v>
      </c>
      <c r="H285" s="43"/>
      <c r="I285" s="135"/>
      <c r="J285" s="191"/>
      <c r="K285" s="191"/>
      <c r="L285" s="191"/>
      <c r="M285" s="191"/>
      <c r="N285" s="191"/>
      <c r="O285" s="192"/>
    </row>
    <row r="286" ht="15.75" customHeight="1">
      <c r="A286" s="132"/>
      <c r="B286" s="86" t="s">
        <v>740</v>
      </c>
      <c r="C286" s="197" t="s">
        <v>14</v>
      </c>
      <c r="D286" s="50"/>
      <c r="E286" s="62">
        <v>0.33</v>
      </c>
      <c r="F286" s="37">
        <f t="shared" si="1"/>
        <v>2970</v>
      </c>
      <c r="G286" s="41">
        <f t="shared" si="17"/>
        <v>0</v>
      </c>
      <c r="H286" s="43"/>
      <c r="I286" s="135"/>
      <c r="J286" s="191"/>
      <c r="K286" s="191"/>
      <c r="L286" s="191"/>
      <c r="M286" s="191"/>
      <c r="N286" s="191"/>
      <c r="O286" s="192"/>
    </row>
    <row r="287" ht="15.75" customHeight="1">
      <c r="A287" s="132"/>
      <c r="B287" s="86" t="s">
        <v>742</v>
      </c>
      <c r="C287" s="197" t="s">
        <v>14</v>
      </c>
      <c r="D287" s="50"/>
      <c r="E287" s="62">
        <v>0.9</v>
      </c>
      <c r="F287" s="37">
        <f t="shared" si="1"/>
        <v>8100</v>
      </c>
      <c r="G287" s="41">
        <f t="shared" si="17"/>
        <v>0</v>
      </c>
      <c r="H287" s="43"/>
      <c r="I287" s="135"/>
      <c r="J287" s="191"/>
      <c r="K287" s="191"/>
      <c r="L287" s="191"/>
      <c r="M287" s="191"/>
      <c r="N287" s="191"/>
      <c r="O287" s="192"/>
    </row>
    <row r="288" ht="15.75" customHeight="1">
      <c r="A288" s="132"/>
      <c r="B288" s="258" t="s">
        <v>743</v>
      </c>
      <c r="C288" s="197" t="s">
        <v>14</v>
      </c>
      <c r="D288" s="50"/>
      <c r="E288" s="33">
        <v>6.0</v>
      </c>
      <c r="F288" s="37">
        <f t="shared" si="1"/>
        <v>54000</v>
      </c>
      <c r="G288" s="41">
        <f t="shared" si="17"/>
        <v>0</v>
      </c>
      <c r="H288" s="97"/>
      <c r="I288" s="135"/>
      <c r="J288" s="191"/>
      <c r="K288" s="191"/>
      <c r="L288" s="191"/>
      <c r="M288" s="191"/>
      <c r="N288" s="191"/>
      <c r="O288" s="192"/>
    </row>
    <row r="289" ht="15.75" customHeight="1">
      <c r="A289" s="132"/>
      <c r="B289" s="258" t="s">
        <v>744</v>
      </c>
      <c r="C289" s="197" t="s">
        <v>14</v>
      </c>
      <c r="D289" s="50"/>
      <c r="E289" s="62">
        <v>0.6</v>
      </c>
      <c r="F289" s="37">
        <f t="shared" si="1"/>
        <v>5400</v>
      </c>
      <c r="G289" s="41">
        <f t="shared" si="17"/>
        <v>0</v>
      </c>
      <c r="H289" s="97"/>
      <c r="I289" s="135"/>
      <c r="J289" s="191"/>
      <c r="K289" s="191"/>
      <c r="L289" s="191"/>
      <c r="M289" s="191"/>
      <c r="N289" s="191"/>
      <c r="O289" s="192"/>
    </row>
    <row r="290" ht="15.75" customHeight="1">
      <c r="A290" s="132"/>
      <c r="B290" s="258" t="s">
        <v>746</v>
      </c>
      <c r="C290" s="197" t="s">
        <v>14</v>
      </c>
      <c r="D290" s="50"/>
      <c r="E290" s="62">
        <v>0.7</v>
      </c>
      <c r="F290" s="37">
        <f t="shared" si="1"/>
        <v>6300</v>
      </c>
      <c r="G290" s="41">
        <f t="shared" si="17"/>
        <v>0</v>
      </c>
      <c r="H290" s="97"/>
      <c r="I290" s="135"/>
      <c r="J290" s="191"/>
      <c r="K290" s="191"/>
      <c r="L290" s="191"/>
      <c r="M290" s="191"/>
      <c r="N290" s="191"/>
      <c r="O290" s="192"/>
    </row>
    <row r="291" ht="15.75" customHeight="1">
      <c r="A291" s="132"/>
      <c r="B291" s="260" t="s">
        <v>748</v>
      </c>
      <c r="C291" s="199" t="s">
        <v>14</v>
      </c>
      <c r="D291" s="50"/>
      <c r="E291" s="33">
        <v>1.0</v>
      </c>
      <c r="F291" s="37">
        <f t="shared" si="1"/>
        <v>9000</v>
      </c>
      <c r="G291" s="41">
        <f t="shared" si="17"/>
        <v>0</v>
      </c>
      <c r="H291" s="97"/>
      <c r="I291" s="135"/>
      <c r="J291" s="191"/>
      <c r="K291" s="191"/>
      <c r="L291" s="191"/>
      <c r="M291" s="191"/>
      <c r="N291" s="191"/>
      <c r="O291" s="192"/>
    </row>
    <row r="292" ht="15.75" customHeight="1">
      <c r="A292" s="132"/>
      <c r="B292" s="258" t="s">
        <v>750</v>
      </c>
      <c r="C292" s="197" t="s">
        <v>14</v>
      </c>
      <c r="D292" s="50"/>
      <c r="E292" s="62">
        <v>2.2</v>
      </c>
      <c r="F292" s="37">
        <f t="shared" si="1"/>
        <v>19800</v>
      </c>
      <c r="G292" s="41">
        <f t="shared" si="17"/>
        <v>0</v>
      </c>
      <c r="H292" s="97"/>
      <c r="I292" s="135"/>
      <c r="J292" s="191"/>
      <c r="K292" s="191"/>
      <c r="L292" s="191"/>
      <c r="M292" s="191"/>
      <c r="N292" s="191"/>
      <c r="O292" s="192"/>
    </row>
    <row r="293" ht="15.75" customHeight="1">
      <c r="A293" s="132"/>
      <c r="B293" s="258" t="s">
        <v>751</v>
      </c>
      <c r="C293" s="197" t="s">
        <v>14</v>
      </c>
      <c r="D293" s="50"/>
      <c r="E293" s="62">
        <v>0.75</v>
      </c>
      <c r="F293" s="37">
        <f t="shared" si="1"/>
        <v>6750</v>
      </c>
      <c r="G293" s="41">
        <f t="shared" si="17"/>
        <v>0</v>
      </c>
      <c r="H293" s="97"/>
      <c r="I293" s="135"/>
      <c r="J293" s="191"/>
      <c r="K293" s="191"/>
      <c r="L293" s="191"/>
      <c r="M293" s="191"/>
      <c r="N293" s="191"/>
      <c r="O293" s="192"/>
    </row>
    <row r="294" ht="15.75" customHeight="1">
      <c r="A294" s="132"/>
      <c r="B294" s="258" t="s">
        <v>754</v>
      </c>
      <c r="C294" s="197" t="s">
        <v>14</v>
      </c>
      <c r="D294" s="50"/>
      <c r="E294" s="62">
        <v>0.75</v>
      </c>
      <c r="F294" s="37">
        <f t="shared" si="1"/>
        <v>6750</v>
      </c>
      <c r="G294" s="41">
        <f t="shared" si="17"/>
        <v>0</v>
      </c>
      <c r="H294" s="97"/>
      <c r="I294" s="135"/>
      <c r="J294" s="191"/>
      <c r="K294" s="191"/>
      <c r="L294" s="191"/>
      <c r="M294" s="191"/>
      <c r="N294" s="191"/>
      <c r="O294" s="192"/>
    </row>
    <row r="295" ht="15.75" customHeight="1">
      <c r="A295" s="132"/>
      <c r="B295" s="260" t="s">
        <v>755</v>
      </c>
      <c r="C295" s="197" t="s">
        <v>14</v>
      </c>
      <c r="D295" s="50"/>
      <c r="E295" s="33">
        <v>0.5</v>
      </c>
      <c r="F295" s="37">
        <f t="shared" si="1"/>
        <v>4500</v>
      </c>
      <c r="G295" s="41">
        <f t="shared" si="17"/>
        <v>0</v>
      </c>
      <c r="H295" s="97"/>
      <c r="I295" s="135"/>
      <c r="J295" s="191"/>
      <c r="K295" s="191"/>
      <c r="L295" s="191"/>
      <c r="M295" s="191"/>
      <c r="N295" s="191"/>
      <c r="O295" s="192"/>
    </row>
    <row r="296" ht="15.75" customHeight="1">
      <c r="A296" s="132"/>
      <c r="B296" s="258" t="s">
        <v>757</v>
      </c>
      <c r="C296" s="197" t="s">
        <v>14</v>
      </c>
      <c r="D296" s="50"/>
      <c r="E296" s="62">
        <v>1.0</v>
      </c>
      <c r="F296" s="37">
        <f t="shared" si="1"/>
        <v>9000</v>
      </c>
      <c r="G296" s="41">
        <f t="shared" si="17"/>
        <v>0</v>
      </c>
      <c r="H296" s="97"/>
      <c r="I296" s="135"/>
      <c r="J296" s="191"/>
      <c r="K296" s="191"/>
      <c r="L296" s="191"/>
      <c r="M296" s="191"/>
      <c r="N296" s="191"/>
      <c r="O296" s="192"/>
    </row>
    <row r="297" ht="15.75" customHeight="1">
      <c r="A297" s="132"/>
      <c r="B297" s="260" t="s">
        <v>758</v>
      </c>
      <c r="C297" s="199" t="s">
        <v>90</v>
      </c>
      <c r="D297" s="50"/>
      <c r="E297" s="33">
        <v>1.85</v>
      </c>
      <c r="F297" s="37">
        <f t="shared" si="1"/>
        <v>16650</v>
      </c>
      <c r="G297" s="41">
        <f t="shared" si="17"/>
        <v>0</v>
      </c>
      <c r="H297" s="97"/>
      <c r="I297" s="135"/>
      <c r="J297" s="191"/>
      <c r="K297" s="191"/>
      <c r="L297" s="191"/>
      <c r="M297" s="191"/>
      <c r="N297" s="191"/>
      <c r="O297" s="192"/>
    </row>
    <row r="298" ht="15.75" customHeight="1">
      <c r="A298" s="132"/>
      <c r="B298" s="258" t="s">
        <v>761</v>
      </c>
      <c r="C298" s="197" t="s">
        <v>14</v>
      </c>
      <c r="D298" s="50"/>
      <c r="E298" s="62">
        <v>0.33</v>
      </c>
      <c r="F298" s="37">
        <f t="shared" si="1"/>
        <v>2970</v>
      </c>
      <c r="G298" s="41">
        <f t="shared" si="17"/>
        <v>0</v>
      </c>
      <c r="H298" s="97"/>
      <c r="I298" s="135"/>
      <c r="J298" s="191"/>
      <c r="K298" s="191"/>
      <c r="L298" s="191"/>
      <c r="M298" s="191"/>
      <c r="N298" s="191"/>
      <c r="O298" s="192"/>
    </row>
    <row r="299" ht="15.75" customHeight="1">
      <c r="A299" s="132"/>
      <c r="B299" s="258" t="s">
        <v>762</v>
      </c>
      <c r="C299" s="197" t="s">
        <v>14</v>
      </c>
      <c r="D299" s="50"/>
      <c r="E299" s="62">
        <v>0.9</v>
      </c>
      <c r="F299" s="37">
        <f t="shared" si="1"/>
        <v>8100</v>
      </c>
      <c r="G299" s="41">
        <f t="shared" si="17"/>
        <v>0</v>
      </c>
      <c r="H299" s="97"/>
      <c r="I299" s="135"/>
      <c r="J299" s="191"/>
      <c r="K299" s="191"/>
      <c r="L299" s="191"/>
      <c r="M299" s="191"/>
      <c r="N299" s="191"/>
      <c r="O299" s="192"/>
    </row>
    <row r="300" ht="15.75" customHeight="1">
      <c r="A300" s="132"/>
      <c r="B300" s="258" t="s">
        <v>764</v>
      </c>
      <c r="C300" s="197" t="s">
        <v>14</v>
      </c>
      <c r="D300" s="50"/>
      <c r="E300" s="62">
        <v>1.5</v>
      </c>
      <c r="F300" s="37">
        <f t="shared" si="1"/>
        <v>13500</v>
      </c>
      <c r="G300" s="41">
        <f t="shared" si="17"/>
        <v>0</v>
      </c>
      <c r="H300" s="97"/>
      <c r="I300" s="135"/>
      <c r="J300" s="191"/>
      <c r="K300" s="191"/>
      <c r="L300" s="191"/>
      <c r="M300" s="191"/>
      <c r="N300" s="191"/>
      <c r="O300" s="192"/>
    </row>
    <row r="301" ht="15.75" customHeight="1">
      <c r="A301" s="132"/>
      <c r="B301" s="258" t="s">
        <v>766</v>
      </c>
      <c r="C301" s="197" t="s">
        <v>14</v>
      </c>
      <c r="D301" s="50"/>
      <c r="E301" s="62">
        <v>1.5</v>
      </c>
      <c r="F301" s="37">
        <f t="shared" si="1"/>
        <v>13500</v>
      </c>
      <c r="G301" s="41">
        <f t="shared" si="17"/>
        <v>0</v>
      </c>
      <c r="H301" s="97"/>
      <c r="I301" s="135"/>
      <c r="J301" s="191"/>
      <c r="K301" s="191"/>
      <c r="L301" s="191"/>
      <c r="M301" s="191"/>
      <c r="N301" s="192"/>
    </row>
    <row r="302" ht="15.75" customHeight="1">
      <c r="A302" s="132"/>
      <c r="B302" s="258" t="s">
        <v>767</v>
      </c>
      <c r="C302" s="197" t="s">
        <v>14</v>
      </c>
      <c r="D302" s="50"/>
      <c r="E302" s="62">
        <v>1.2</v>
      </c>
      <c r="F302" s="37">
        <f t="shared" si="1"/>
        <v>10800</v>
      </c>
      <c r="G302" s="41">
        <f t="shared" si="17"/>
        <v>0</v>
      </c>
      <c r="H302" s="97"/>
      <c r="I302" s="135"/>
      <c r="J302" s="191"/>
      <c r="K302" s="191"/>
      <c r="L302" s="191"/>
      <c r="M302" s="191"/>
      <c r="N302" s="191"/>
      <c r="O302" s="192"/>
    </row>
    <row r="303" ht="15.75" customHeight="1">
      <c r="A303" s="132"/>
      <c r="B303" s="260" t="s">
        <v>768</v>
      </c>
      <c r="C303" s="199" t="s">
        <v>14</v>
      </c>
      <c r="D303" s="50"/>
      <c r="E303" s="33">
        <v>2.55</v>
      </c>
      <c r="F303" s="37">
        <f t="shared" si="1"/>
        <v>22950</v>
      </c>
      <c r="G303" s="41">
        <f t="shared" si="17"/>
        <v>0</v>
      </c>
      <c r="H303" s="97"/>
      <c r="I303" s="135"/>
      <c r="J303" s="191"/>
      <c r="K303" s="191"/>
      <c r="L303" s="191"/>
      <c r="M303" s="191"/>
      <c r="N303" s="191"/>
      <c r="O303" s="192"/>
    </row>
    <row r="304" ht="15.75" customHeight="1">
      <c r="A304" s="132"/>
      <c r="B304" s="260" t="s">
        <v>770</v>
      </c>
      <c r="C304" s="199" t="s">
        <v>14</v>
      </c>
      <c r="D304" s="50"/>
      <c r="E304" s="33">
        <v>0.8</v>
      </c>
      <c r="F304" s="37">
        <f t="shared" si="1"/>
        <v>7200</v>
      </c>
      <c r="G304" s="41">
        <f t="shared" si="17"/>
        <v>0</v>
      </c>
      <c r="H304" s="97"/>
      <c r="I304" s="135"/>
      <c r="J304" s="191"/>
      <c r="K304" s="191"/>
      <c r="L304" s="191"/>
      <c r="M304" s="191"/>
      <c r="N304" s="191"/>
      <c r="O304" s="192"/>
    </row>
    <row r="305" ht="15.75" customHeight="1">
      <c r="A305" s="132"/>
      <c r="B305" s="260" t="s">
        <v>771</v>
      </c>
      <c r="C305" s="199" t="s">
        <v>14</v>
      </c>
      <c r="D305" s="50"/>
      <c r="E305" s="33">
        <v>0.8</v>
      </c>
      <c r="F305" s="37">
        <f t="shared" si="1"/>
        <v>7200</v>
      </c>
      <c r="G305" s="41">
        <f t="shared" si="17"/>
        <v>0</v>
      </c>
      <c r="H305" s="97"/>
      <c r="I305" s="135"/>
      <c r="J305" s="191"/>
      <c r="K305" s="191"/>
      <c r="L305" s="191"/>
      <c r="M305" s="191"/>
      <c r="N305" s="191"/>
      <c r="O305" s="192"/>
    </row>
    <row r="306" ht="15.75" customHeight="1">
      <c r="A306" s="132"/>
      <c r="B306" s="260" t="s">
        <v>772</v>
      </c>
      <c r="C306" s="199" t="s">
        <v>14</v>
      </c>
      <c r="D306" s="50"/>
      <c r="E306" s="33">
        <v>0.8</v>
      </c>
      <c r="F306" s="37">
        <f t="shared" si="1"/>
        <v>7200</v>
      </c>
      <c r="G306" s="41">
        <f t="shared" si="17"/>
        <v>0</v>
      </c>
      <c r="H306" s="97"/>
      <c r="I306" s="135"/>
      <c r="J306" s="191"/>
      <c r="K306" s="191"/>
      <c r="L306" s="191"/>
      <c r="M306" s="191"/>
      <c r="N306" s="191"/>
      <c r="O306" s="192"/>
    </row>
    <row r="307" ht="15.75" customHeight="1">
      <c r="A307" s="132"/>
      <c r="B307" s="260" t="s">
        <v>774</v>
      </c>
      <c r="C307" s="199" t="s">
        <v>14</v>
      </c>
      <c r="D307" s="50"/>
      <c r="E307" s="33">
        <v>0.9</v>
      </c>
      <c r="F307" s="37">
        <f t="shared" si="1"/>
        <v>8100</v>
      </c>
      <c r="G307" s="41">
        <f t="shared" si="17"/>
        <v>0</v>
      </c>
      <c r="H307" s="97"/>
      <c r="I307" s="135"/>
      <c r="J307" s="191"/>
      <c r="K307" s="191"/>
      <c r="L307" s="191"/>
      <c r="M307" s="191"/>
      <c r="N307" s="191"/>
      <c r="O307" s="192"/>
    </row>
    <row r="308" ht="15.75" customHeight="1">
      <c r="A308" s="132"/>
      <c r="B308" s="260" t="s">
        <v>775</v>
      </c>
      <c r="C308" s="199" t="s">
        <v>14</v>
      </c>
      <c r="D308" s="50"/>
      <c r="E308" s="33">
        <v>1.0</v>
      </c>
      <c r="F308" s="37">
        <f t="shared" si="1"/>
        <v>9000</v>
      </c>
      <c r="G308" s="41">
        <f t="shared" si="17"/>
        <v>0</v>
      </c>
      <c r="H308" s="97"/>
      <c r="I308" s="135"/>
      <c r="J308" s="191"/>
      <c r="K308" s="191"/>
      <c r="L308" s="191"/>
      <c r="M308" s="191"/>
      <c r="N308" s="191"/>
      <c r="O308" s="192"/>
    </row>
    <row r="309" ht="15.75" customHeight="1">
      <c r="A309" s="132"/>
      <c r="B309" s="258" t="s">
        <v>776</v>
      </c>
      <c r="C309" s="197" t="s">
        <v>14</v>
      </c>
      <c r="D309" s="50"/>
      <c r="E309" s="62">
        <v>2.5</v>
      </c>
      <c r="F309" s="37">
        <f t="shared" si="1"/>
        <v>22500</v>
      </c>
      <c r="G309" s="41">
        <f t="shared" si="17"/>
        <v>0</v>
      </c>
      <c r="H309" s="97"/>
      <c r="I309" s="135"/>
      <c r="J309" s="191"/>
      <c r="K309" s="191"/>
      <c r="L309" s="191"/>
      <c r="M309" s="191"/>
      <c r="N309" s="191"/>
      <c r="O309" s="192"/>
    </row>
    <row r="310" ht="15.75" customHeight="1">
      <c r="A310" s="132"/>
      <c r="B310" s="258" t="s">
        <v>777</v>
      </c>
      <c r="C310" s="197" t="s">
        <v>14</v>
      </c>
      <c r="D310" s="50"/>
      <c r="E310" s="62">
        <v>1.67</v>
      </c>
      <c r="F310" s="37">
        <f t="shared" si="1"/>
        <v>15030</v>
      </c>
      <c r="G310" s="41">
        <f t="shared" si="17"/>
        <v>0</v>
      </c>
      <c r="H310" s="97"/>
      <c r="I310" s="135"/>
      <c r="J310" s="191"/>
      <c r="K310" s="191"/>
      <c r="L310" s="191"/>
      <c r="M310" s="191"/>
      <c r="N310" s="191"/>
      <c r="O310" s="192"/>
    </row>
    <row r="311" ht="15.75" customHeight="1">
      <c r="A311" s="132"/>
      <c r="B311" s="258" t="s">
        <v>778</v>
      </c>
      <c r="C311" s="197" t="s">
        <v>14</v>
      </c>
      <c r="D311" s="50"/>
      <c r="E311" s="62">
        <v>0.33</v>
      </c>
      <c r="F311" s="37">
        <f t="shared" si="1"/>
        <v>2970</v>
      </c>
      <c r="G311" s="41">
        <f t="shared" si="17"/>
        <v>0</v>
      </c>
      <c r="H311" s="97"/>
      <c r="I311" s="135"/>
      <c r="J311" s="191"/>
      <c r="K311" s="191"/>
      <c r="L311" s="191"/>
      <c r="M311" s="191"/>
      <c r="N311" s="191"/>
      <c r="O311" s="192"/>
    </row>
    <row r="312" ht="15.75" customHeight="1">
      <c r="A312" s="132"/>
      <c r="B312" s="258" t="s">
        <v>780</v>
      </c>
      <c r="C312" s="197" t="s">
        <v>14</v>
      </c>
      <c r="D312" s="50"/>
      <c r="E312" s="33">
        <v>1.8</v>
      </c>
      <c r="F312" s="37">
        <f t="shared" si="1"/>
        <v>16200</v>
      </c>
      <c r="G312" s="41">
        <f t="shared" si="17"/>
        <v>0</v>
      </c>
      <c r="H312" s="97"/>
      <c r="I312" s="135"/>
      <c r="J312" s="191"/>
      <c r="K312" s="191"/>
      <c r="L312" s="191"/>
      <c r="M312" s="191"/>
      <c r="N312" s="191"/>
      <c r="O312" s="192"/>
    </row>
    <row r="313" ht="15.75" customHeight="1">
      <c r="A313" s="132"/>
      <c r="B313" s="258" t="s">
        <v>782</v>
      </c>
      <c r="C313" s="197" t="s">
        <v>14</v>
      </c>
      <c r="D313" s="50"/>
      <c r="E313" s="62">
        <v>1.0</v>
      </c>
      <c r="F313" s="37">
        <f t="shared" si="1"/>
        <v>9000</v>
      </c>
      <c r="G313" s="41">
        <f t="shared" si="17"/>
        <v>0</v>
      </c>
      <c r="H313" s="97"/>
      <c r="I313" s="135"/>
      <c r="J313" s="191"/>
      <c r="K313" s="191"/>
      <c r="L313" s="191"/>
      <c r="M313" s="191"/>
      <c r="N313" s="191"/>
      <c r="O313" s="192"/>
    </row>
    <row r="314" ht="15.75" customHeight="1">
      <c r="A314" s="132"/>
      <c r="B314" s="258" t="s">
        <v>783</v>
      </c>
      <c r="C314" s="197" t="s">
        <v>14</v>
      </c>
      <c r="D314" s="50"/>
      <c r="E314" s="62">
        <v>2.5</v>
      </c>
      <c r="F314" s="37">
        <f t="shared" si="1"/>
        <v>22500</v>
      </c>
      <c r="G314" s="41">
        <f t="shared" si="17"/>
        <v>0</v>
      </c>
      <c r="H314" s="97"/>
      <c r="I314" s="135"/>
      <c r="J314" s="191"/>
      <c r="K314" s="191"/>
      <c r="L314" s="191"/>
      <c r="M314" s="191"/>
      <c r="N314" s="191"/>
      <c r="O314" s="192"/>
    </row>
    <row r="315" ht="15.75" customHeight="1">
      <c r="A315" s="132"/>
      <c r="B315" s="260" t="s">
        <v>784</v>
      </c>
      <c r="C315" s="197" t="s">
        <v>14</v>
      </c>
      <c r="D315" s="50"/>
      <c r="E315" s="33">
        <v>0.33</v>
      </c>
      <c r="F315" s="37">
        <f t="shared" si="1"/>
        <v>2970</v>
      </c>
      <c r="G315" s="41">
        <f t="shared" si="17"/>
        <v>0</v>
      </c>
      <c r="H315" s="97"/>
      <c r="I315" s="135"/>
      <c r="J315" s="191"/>
      <c r="K315" s="191"/>
      <c r="L315" s="191"/>
      <c r="M315" s="191"/>
      <c r="N315" s="191"/>
      <c r="O315" s="192"/>
    </row>
    <row r="316" ht="15.75" customHeight="1">
      <c r="A316" s="132"/>
      <c r="B316" s="260" t="s">
        <v>785</v>
      </c>
      <c r="C316" s="199" t="s">
        <v>95</v>
      </c>
      <c r="D316" s="50"/>
      <c r="E316" s="33">
        <v>4.45</v>
      </c>
      <c r="F316" s="37">
        <f t="shared" si="1"/>
        <v>40050</v>
      </c>
      <c r="G316" s="41">
        <f t="shared" si="17"/>
        <v>0</v>
      </c>
      <c r="H316" s="97"/>
      <c r="I316" s="135"/>
      <c r="J316" s="191"/>
      <c r="K316" s="191"/>
      <c r="L316" s="191"/>
      <c r="M316" s="191"/>
      <c r="N316" s="191"/>
      <c r="O316" s="192"/>
    </row>
    <row r="317" ht="15.75" customHeight="1">
      <c r="A317" s="132"/>
      <c r="B317" s="260" t="s">
        <v>786</v>
      </c>
      <c r="C317" s="197" t="s">
        <v>14</v>
      </c>
      <c r="D317" s="50"/>
      <c r="E317" s="33">
        <v>0.5</v>
      </c>
      <c r="F317" s="37">
        <f t="shared" si="1"/>
        <v>4500</v>
      </c>
      <c r="G317" s="41">
        <f t="shared" si="17"/>
        <v>0</v>
      </c>
      <c r="H317" s="97"/>
      <c r="I317" s="135"/>
      <c r="J317" s="191"/>
      <c r="K317" s="191"/>
      <c r="L317" s="191"/>
      <c r="M317" s="191"/>
      <c r="N317" s="191"/>
      <c r="O317" s="192"/>
    </row>
    <row r="318" ht="15.75" customHeight="1">
      <c r="A318" s="132"/>
      <c r="B318" s="260" t="s">
        <v>787</v>
      </c>
      <c r="C318" s="197" t="s">
        <v>14</v>
      </c>
      <c r="D318" s="50"/>
      <c r="E318" s="33">
        <v>1.0</v>
      </c>
      <c r="F318" s="37">
        <f t="shared" si="1"/>
        <v>9000</v>
      </c>
      <c r="G318" s="41">
        <f t="shared" si="17"/>
        <v>0</v>
      </c>
      <c r="H318" s="97"/>
      <c r="I318" s="135"/>
      <c r="J318" s="191"/>
      <c r="K318" s="191"/>
      <c r="L318" s="191"/>
      <c r="M318" s="191"/>
      <c r="N318" s="191"/>
      <c r="O318" s="192"/>
    </row>
    <row r="319" ht="15.75" customHeight="1">
      <c r="A319" s="132"/>
      <c r="B319" s="191"/>
      <c r="C319" s="192"/>
      <c r="D319" s="191"/>
      <c r="E319" s="191"/>
      <c r="F319" s="264"/>
      <c r="G319" s="191"/>
      <c r="H319" s="265"/>
      <c r="I319" s="266"/>
      <c r="J319" s="191"/>
      <c r="K319" s="191"/>
      <c r="L319" s="191"/>
      <c r="M319" s="191"/>
      <c r="N319" s="191"/>
      <c r="O319" s="192"/>
    </row>
    <row r="320" ht="15.75" customHeight="1">
      <c r="A320" s="132"/>
      <c r="B320" s="23" t="s">
        <v>789</v>
      </c>
      <c r="C320" s="254"/>
      <c r="D320" s="254"/>
      <c r="E320" s="254"/>
      <c r="F320" s="254"/>
      <c r="G320" s="254"/>
      <c r="H320" s="189"/>
      <c r="I320" s="190"/>
      <c r="J320" s="191"/>
      <c r="K320" s="191"/>
      <c r="L320" s="191"/>
      <c r="M320" s="191"/>
      <c r="N320" s="191"/>
      <c r="O320" s="192"/>
    </row>
    <row r="321" ht="15.75" customHeight="1">
      <c r="A321" s="132"/>
      <c r="B321" s="2" t="s">
        <v>1</v>
      </c>
      <c r="C321" s="2" t="s">
        <v>2</v>
      </c>
      <c r="D321" s="2" t="s">
        <v>3</v>
      </c>
      <c r="E321" s="255" t="s">
        <v>4</v>
      </c>
      <c r="F321" s="255" t="s">
        <v>5</v>
      </c>
      <c r="G321" s="2" t="s">
        <v>6</v>
      </c>
      <c r="H321" s="2" t="s">
        <v>7</v>
      </c>
      <c r="I321" s="2" t="s">
        <v>8</v>
      </c>
      <c r="J321" s="191"/>
      <c r="K321" s="191"/>
      <c r="L321" s="191"/>
      <c r="M321" s="191"/>
      <c r="N321" s="191"/>
      <c r="O321" s="192"/>
    </row>
    <row r="322" ht="15.75" customHeight="1">
      <c r="A322" s="132"/>
      <c r="B322" s="86" t="s">
        <v>790</v>
      </c>
      <c r="C322" s="197" t="s">
        <v>791</v>
      </c>
      <c r="D322" s="50"/>
      <c r="E322" s="62">
        <f>90*2</f>
        <v>180</v>
      </c>
      <c r="F322" s="37">
        <f>E322*9000</f>
        <v>1620000</v>
      </c>
      <c r="G322" s="41">
        <f>F322*D322</f>
        <v>0</v>
      </c>
      <c r="H322" s="97" t="s">
        <v>792</v>
      </c>
      <c r="I322" s="135"/>
      <c r="J322" s="191"/>
      <c r="K322" s="191"/>
      <c r="L322" s="191"/>
      <c r="M322" s="191"/>
      <c r="N322" s="191"/>
      <c r="O322" s="192"/>
    </row>
    <row r="323" ht="15.75" customHeight="1">
      <c r="A323" s="132"/>
      <c r="B323" s="86"/>
      <c r="C323" s="197"/>
      <c r="D323" s="50"/>
      <c r="E323" s="62"/>
      <c r="F323" s="37"/>
      <c r="G323" s="41"/>
      <c r="H323" s="97"/>
      <c r="I323" s="135"/>
      <c r="J323" s="191"/>
      <c r="K323" s="191"/>
      <c r="L323" s="191"/>
      <c r="M323" s="191"/>
      <c r="N323" s="191"/>
      <c r="O323" s="192"/>
    </row>
    <row r="324" ht="15.75" customHeight="1">
      <c r="A324" s="132"/>
      <c r="B324" s="191"/>
      <c r="C324" s="192"/>
      <c r="D324" s="191"/>
      <c r="E324" s="191"/>
      <c r="F324" s="264"/>
      <c r="G324" s="191"/>
      <c r="H324" s="265"/>
      <c r="I324" s="266"/>
      <c r="J324" s="191"/>
      <c r="K324" s="191"/>
      <c r="L324" s="191"/>
      <c r="M324" s="191"/>
      <c r="N324" s="191"/>
      <c r="O324" s="192"/>
    </row>
    <row r="325" ht="15.75" customHeight="1">
      <c r="A325" s="132"/>
      <c r="B325" s="191"/>
      <c r="C325" s="192"/>
      <c r="D325" s="191"/>
      <c r="E325" s="191"/>
      <c r="F325" s="264"/>
      <c r="G325" s="191"/>
      <c r="H325" s="265"/>
      <c r="I325" s="266"/>
      <c r="J325" s="191"/>
      <c r="K325" s="191"/>
      <c r="L325" s="191"/>
      <c r="M325" s="191"/>
      <c r="N325" s="191"/>
      <c r="O325" s="192"/>
    </row>
    <row r="326" ht="15.75" customHeight="1">
      <c r="A326" s="132"/>
      <c r="B326" s="191"/>
      <c r="C326" s="192"/>
      <c r="D326" s="191"/>
      <c r="E326" s="191"/>
      <c r="F326" s="264"/>
      <c r="G326" s="191"/>
      <c r="H326" s="265"/>
      <c r="I326" s="266"/>
      <c r="J326" s="191"/>
      <c r="K326" s="191"/>
      <c r="L326" s="191"/>
      <c r="M326" s="191"/>
      <c r="N326" s="191"/>
      <c r="O326" s="192"/>
    </row>
    <row r="327" ht="15.75" customHeight="1">
      <c r="A327" s="132"/>
      <c r="B327" s="191"/>
      <c r="C327" s="192"/>
      <c r="D327" s="191"/>
      <c r="E327" s="191"/>
      <c r="F327" s="264"/>
      <c r="G327" s="191"/>
      <c r="H327" s="265"/>
      <c r="I327" s="266"/>
      <c r="J327" s="191"/>
      <c r="K327" s="191"/>
      <c r="L327" s="191"/>
      <c r="M327" s="191"/>
      <c r="N327" s="191"/>
      <c r="O327" s="192"/>
    </row>
    <row r="328" ht="15.75" customHeight="1">
      <c r="A328" s="132"/>
      <c r="B328" s="191"/>
      <c r="C328" s="192"/>
      <c r="D328" s="191"/>
      <c r="E328" s="191"/>
      <c r="F328" s="264"/>
      <c r="G328" s="191"/>
      <c r="H328" s="265"/>
      <c r="I328" s="266"/>
      <c r="J328" s="191"/>
      <c r="K328" s="191"/>
      <c r="L328" s="191"/>
      <c r="M328" s="191"/>
      <c r="N328" s="191"/>
      <c r="O328" s="192"/>
    </row>
    <row r="329" ht="15.75" customHeight="1">
      <c r="A329" s="132"/>
      <c r="B329" s="191"/>
      <c r="C329" s="192"/>
      <c r="D329" s="191"/>
      <c r="E329" s="191"/>
      <c r="F329" s="264"/>
      <c r="G329" s="191"/>
      <c r="H329" s="265"/>
      <c r="I329" s="266"/>
      <c r="J329" s="191"/>
      <c r="K329" s="191"/>
      <c r="L329" s="191"/>
      <c r="M329" s="191"/>
      <c r="N329" s="191"/>
      <c r="O329" s="192"/>
    </row>
    <row r="330" ht="15.75" customHeight="1">
      <c r="A330" s="132"/>
      <c r="B330" s="23"/>
      <c r="C330" s="192"/>
      <c r="D330" s="191"/>
      <c r="E330" s="191"/>
      <c r="F330" s="264"/>
      <c r="G330" s="191"/>
      <c r="H330" s="265"/>
      <c r="I330" s="266"/>
      <c r="J330" s="191"/>
      <c r="K330" s="191"/>
      <c r="L330" s="191"/>
      <c r="M330" s="191"/>
      <c r="N330" s="191"/>
      <c r="O330" s="192"/>
    </row>
    <row r="331" ht="15.75" customHeight="1">
      <c r="A331" s="132"/>
      <c r="B331" s="267"/>
      <c r="C331" s="192"/>
      <c r="D331" s="191"/>
      <c r="E331" s="191"/>
      <c r="F331" s="264"/>
      <c r="G331" s="191"/>
      <c r="H331" s="265"/>
      <c r="I331" s="266"/>
      <c r="J331" s="191"/>
      <c r="K331" s="191"/>
      <c r="L331" s="191"/>
      <c r="M331" s="191"/>
      <c r="N331" s="191"/>
      <c r="O331" s="192"/>
    </row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autoFilter ref="$B$1:$I$323"/>
  <printOptions/>
  <pageMargins bottom="0.75" footer="0.0" header="0.0" left="0.25" right="0.25" top="0.75"/>
  <pageSetup fitToHeight="0" orientation="portrait"/>
  <headerFooter>
    <oddFooter>&amp;LPlease note that a copy of the PO should accompany goods Expiry dates of the goods should be always available&amp;RPO  V6 07/2021 Wissam M.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0"/>
    <col customWidth="1" min="2" max="2" width="10.38"/>
    <col customWidth="1" min="3" max="3" width="15.0"/>
    <col customWidth="1" min="4" max="4" width="18.13"/>
    <col customWidth="1" min="5" max="5" width="8.75"/>
    <col customWidth="1" hidden="1" min="6" max="7" width="8.75"/>
    <col customWidth="1" min="8" max="8" width="8.75"/>
    <col customWidth="1" min="9" max="9" width="23.0"/>
    <col customWidth="1" min="10" max="10" width="12.0"/>
    <col customWidth="1" min="11" max="11" width="11.88"/>
    <col customWidth="1" min="12" max="12" width="16.38"/>
    <col customWidth="1" min="13" max="26" width="14.38"/>
  </cols>
  <sheetData>
    <row r="1" ht="14.25" customHeight="1">
      <c r="A1" s="22" t="s">
        <v>10</v>
      </c>
      <c r="B1" s="26">
        <v>8.6</v>
      </c>
      <c r="C1" s="27" t="s">
        <v>14</v>
      </c>
      <c r="D1" s="40">
        <f>D15/B1</f>
        <v>75709.95257</v>
      </c>
      <c r="E1" s="58">
        <f>D1/90000</f>
        <v>0.8412216952</v>
      </c>
      <c r="I1" s="22" t="s">
        <v>37</v>
      </c>
      <c r="J1" s="26">
        <v>9.12</v>
      </c>
      <c r="K1" s="27" t="s">
        <v>14</v>
      </c>
      <c r="L1" s="40">
        <f>L15/J1</f>
        <v>13999.17763</v>
      </c>
      <c r="M1" s="58">
        <f>L1/90000</f>
        <v>0.1555464181</v>
      </c>
    </row>
    <row r="2" ht="14.25" customHeight="1">
      <c r="A2" s="52" t="s">
        <v>42</v>
      </c>
      <c r="B2" s="54" t="s">
        <v>3</v>
      </c>
      <c r="C2" s="54" t="s">
        <v>44</v>
      </c>
      <c r="D2" s="56" t="s">
        <v>35</v>
      </c>
      <c r="I2" s="52" t="s">
        <v>42</v>
      </c>
      <c r="J2" s="54" t="s">
        <v>3</v>
      </c>
      <c r="K2" s="54" t="s">
        <v>44</v>
      </c>
      <c r="L2" s="56" t="s">
        <v>35</v>
      </c>
    </row>
    <row r="3" ht="14.25" customHeight="1">
      <c r="A3" s="60" t="s">
        <v>45</v>
      </c>
      <c r="B3" s="68">
        <v>2.0</v>
      </c>
      <c r="C3" s="67">
        <f>'F&amp;B'!$F$32</f>
        <v>37125</v>
      </c>
      <c r="D3" s="67">
        <f t="shared" ref="D3:D14" si="1">B3*C3</f>
        <v>74250</v>
      </c>
      <c r="I3" s="60" t="s">
        <v>50</v>
      </c>
      <c r="J3" s="68">
        <v>1.25</v>
      </c>
      <c r="K3" s="67">
        <f>$C$9</f>
        <v>51480</v>
      </c>
      <c r="L3" s="67">
        <f t="shared" ref="L3:L5" si="2">J3*K3</f>
        <v>64350</v>
      </c>
    </row>
    <row r="4" ht="14.25" customHeight="1">
      <c r="A4" s="60" t="s">
        <v>53</v>
      </c>
      <c r="B4" s="68">
        <v>4.0</v>
      </c>
      <c r="C4" s="67">
        <f>'F&amp;B'!$F$250</f>
        <v>108900</v>
      </c>
      <c r="D4" s="67">
        <f t="shared" si="1"/>
        <v>435600</v>
      </c>
      <c r="I4" s="60" t="s">
        <v>54</v>
      </c>
      <c r="J4" s="68">
        <v>5.0</v>
      </c>
      <c r="K4" s="67">
        <f>'F&amp;B'!$F$57/18</f>
        <v>8250</v>
      </c>
      <c r="L4" s="67">
        <f t="shared" si="2"/>
        <v>41250</v>
      </c>
    </row>
    <row r="5" ht="14.25" customHeight="1">
      <c r="A5" s="60" t="s">
        <v>56</v>
      </c>
      <c r="B5" s="68">
        <v>1.0</v>
      </c>
      <c r="C5" s="67">
        <f>'F&amp;B'!$F$87</f>
        <v>58500</v>
      </c>
      <c r="D5" s="67">
        <f t="shared" si="1"/>
        <v>58500</v>
      </c>
      <c r="I5" s="60" t="s">
        <v>58</v>
      </c>
      <c r="J5" s="68">
        <v>0.1</v>
      </c>
      <c r="K5" s="67">
        <f>$C$11</f>
        <v>58500</v>
      </c>
      <c r="L5" s="67">
        <f t="shared" si="2"/>
        <v>5850</v>
      </c>
    </row>
    <row r="6" ht="14.25" customHeight="1">
      <c r="A6" s="60" t="s">
        <v>60</v>
      </c>
      <c r="B6" s="68">
        <v>0.2</v>
      </c>
      <c r="C6" s="67">
        <f>'F&amp;B'!$F$103</f>
        <v>148500</v>
      </c>
      <c r="D6" s="67">
        <f t="shared" si="1"/>
        <v>29700</v>
      </c>
      <c r="I6" s="60"/>
      <c r="J6" s="68"/>
      <c r="K6" s="67"/>
      <c r="L6" s="67"/>
    </row>
    <row r="7" ht="14.25" customHeight="1">
      <c r="A7" s="75" t="s">
        <v>62</v>
      </c>
      <c r="B7" s="68">
        <v>0.2</v>
      </c>
      <c r="C7" s="76">
        <f>'F&amp;B'!$F$292</f>
        <v>19800</v>
      </c>
      <c r="D7" s="67">
        <f t="shared" si="1"/>
        <v>3960</v>
      </c>
      <c r="I7" s="75" t="s">
        <v>66</v>
      </c>
      <c r="J7" s="68">
        <v>1.25</v>
      </c>
      <c r="K7" s="76">
        <f>'F&amp;B'!$F$287*1.5</f>
        <v>12150</v>
      </c>
      <c r="L7" s="67">
        <f t="shared" ref="L7:L9" si="3">J7*K7</f>
        <v>15187.5</v>
      </c>
    </row>
    <row r="8" ht="14.25" customHeight="1">
      <c r="A8" s="75" t="s">
        <v>72</v>
      </c>
      <c r="B8" s="68">
        <v>0.2</v>
      </c>
      <c r="C8" s="76">
        <f>'F&amp;B'!$F$260/3.8</f>
        <v>41684.21053</v>
      </c>
      <c r="D8" s="67">
        <f t="shared" si="1"/>
        <v>8336.842105</v>
      </c>
      <c r="I8" s="75" t="s">
        <v>78</v>
      </c>
      <c r="J8" s="68">
        <v>1.5</v>
      </c>
      <c r="K8" s="76"/>
      <c r="L8" s="67">
        <f t="shared" si="3"/>
        <v>0</v>
      </c>
    </row>
    <row r="9" ht="14.25" customHeight="1">
      <c r="A9" s="75" t="s">
        <v>80</v>
      </c>
      <c r="B9" s="68">
        <v>0.25</v>
      </c>
      <c r="C9" s="76">
        <f>'F&amp;B'!$F$247/5</f>
        <v>51480</v>
      </c>
      <c r="D9" s="67">
        <f t="shared" si="1"/>
        <v>12870</v>
      </c>
      <c r="I9" s="75" t="s">
        <v>82</v>
      </c>
      <c r="J9" s="68">
        <v>0.02</v>
      </c>
      <c r="K9" s="76">
        <f>C12</f>
        <v>51750</v>
      </c>
      <c r="L9" s="67">
        <f t="shared" si="3"/>
        <v>1035</v>
      </c>
    </row>
    <row r="10" ht="14.25" customHeight="1">
      <c r="A10" s="87" t="s">
        <v>86</v>
      </c>
      <c r="B10" s="68">
        <v>0.5</v>
      </c>
      <c r="C10" s="89">
        <f>'F&amp;B'!$F$96</f>
        <v>13050</v>
      </c>
      <c r="D10" s="67">
        <f t="shared" si="1"/>
        <v>6525</v>
      </c>
      <c r="I10" s="87"/>
      <c r="J10" s="68"/>
      <c r="K10" s="89"/>
      <c r="L10" s="89"/>
    </row>
    <row r="11" ht="14.25" customHeight="1">
      <c r="A11" s="87" t="s">
        <v>58</v>
      </c>
      <c r="B11" s="68">
        <v>0.25</v>
      </c>
      <c r="C11" s="89">
        <f>'F&amp;B'!$F$143</f>
        <v>58500</v>
      </c>
      <c r="D11" s="67">
        <f t="shared" si="1"/>
        <v>14625</v>
      </c>
      <c r="I11" s="87"/>
      <c r="J11" s="68"/>
      <c r="K11" s="89"/>
      <c r="L11" s="89"/>
    </row>
    <row r="12" ht="14.25" customHeight="1">
      <c r="A12" s="87" t="s">
        <v>82</v>
      </c>
      <c r="B12" s="68">
        <v>0.005</v>
      </c>
      <c r="C12" s="89">
        <f>'F&amp;B'!$F$148</f>
        <v>51750</v>
      </c>
      <c r="D12" s="67">
        <f t="shared" si="1"/>
        <v>258.75</v>
      </c>
      <c r="I12" s="87"/>
      <c r="J12" s="68"/>
      <c r="K12" s="107"/>
      <c r="L12" s="89"/>
    </row>
    <row r="13" ht="14.25" customHeight="1">
      <c r="A13" s="87" t="s">
        <v>66</v>
      </c>
      <c r="B13" s="68">
        <v>0.4</v>
      </c>
      <c r="C13" s="89">
        <f>'F&amp;B'!F287*2</f>
        <v>16200</v>
      </c>
      <c r="D13" s="67">
        <f t="shared" si="1"/>
        <v>6480</v>
      </c>
      <c r="I13" s="87"/>
      <c r="J13" s="68"/>
      <c r="K13" s="107"/>
      <c r="L13" s="89"/>
    </row>
    <row r="14" ht="14.25" customHeight="1">
      <c r="A14" s="87"/>
      <c r="B14" s="68"/>
      <c r="C14" s="89"/>
      <c r="D14" s="67">
        <f t="shared" si="1"/>
        <v>0</v>
      </c>
      <c r="I14" s="87"/>
      <c r="J14" s="68"/>
      <c r="K14" s="107"/>
      <c r="L14" s="89"/>
    </row>
    <row r="15" ht="14.25" customHeight="1">
      <c r="A15" s="22" t="s">
        <v>84</v>
      </c>
      <c r="B15" s="108"/>
      <c r="C15" s="109"/>
      <c r="D15" s="110">
        <f>SUM(D3:D14)</f>
        <v>651105.5921</v>
      </c>
      <c r="I15" s="22" t="s">
        <v>84</v>
      </c>
      <c r="J15" s="108"/>
      <c r="K15" s="109"/>
      <c r="L15" s="110">
        <f>IF(SUM(L3:L14)=0,"",SUM(L3:L14))</f>
        <v>127672.5</v>
      </c>
    </row>
    <row r="16" ht="14.25" customHeight="1">
      <c r="A16" s="111" t="s">
        <v>102</v>
      </c>
      <c r="B16" s="108">
        <f>IF(D16="","",IF(ISBLANK(C16),"",D16/C16))</f>
        <v>0.1174809609</v>
      </c>
      <c r="C16" s="110">
        <v>29000.0</v>
      </c>
      <c r="D16" s="113">
        <f>D1*0.045</f>
        <v>3406.947866</v>
      </c>
      <c r="I16" s="111" t="s">
        <v>102</v>
      </c>
      <c r="J16" s="108">
        <f>IF(L16="","",IF(ISBLANK(K16),"",L16/K16))</f>
        <v>0.02863468152</v>
      </c>
      <c r="K16" s="110">
        <v>22000.0</v>
      </c>
      <c r="L16" s="113">
        <f>L1*0.045</f>
        <v>629.9629934</v>
      </c>
    </row>
    <row r="17" ht="14.25" customHeight="1"/>
    <row r="18" ht="14.25" customHeight="1"/>
    <row r="19" ht="14.25" customHeight="1"/>
    <row r="20" ht="14.25" customHeight="1">
      <c r="A20" s="22" t="s">
        <v>105</v>
      </c>
      <c r="B20" s="27">
        <v>4.7</v>
      </c>
      <c r="C20" s="27" t="s">
        <v>14</v>
      </c>
      <c r="D20" s="40">
        <f>D33/B20</f>
        <v>26573.76131</v>
      </c>
      <c r="E20" s="58">
        <f>D20/90000</f>
        <v>0.2952640146</v>
      </c>
      <c r="I20" s="22" t="s">
        <v>108</v>
      </c>
      <c r="J20" s="26">
        <v>1.2</v>
      </c>
      <c r="K20" s="27" t="s">
        <v>14</v>
      </c>
      <c r="L20" s="114">
        <f>L33/J20</f>
        <v>10676.625</v>
      </c>
    </row>
    <row r="21" ht="14.25" customHeight="1">
      <c r="A21" s="52" t="s">
        <v>42</v>
      </c>
      <c r="B21" s="54" t="s">
        <v>3</v>
      </c>
      <c r="C21" s="54" t="s">
        <v>44</v>
      </c>
      <c r="D21" s="56" t="s">
        <v>35</v>
      </c>
      <c r="I21" s="52" t="s">
        <v>42</v>
      </c>
      <c r="J21" s="54" t="s">
        <v>3</v>
      </c>
      <c r="K21" s="54" t="s">
        <v>44</v>
      </c>
      <c r="L21" s="56" t="s">
        <v>35</v>
      </c>
    </row>
    <row r="22" ht="14.25" customHeight="1">
      <c r="A22" s="60" t="s">
        <v>53</v>
      </c>
      <c r="B22" s="68">
        <v>1.0</v>
      </c>
      <c r="C22" s="117">
        <f>$C$4</f>
        <v>108900</v>
      </c>
      <c r="D22" s="67">
        <f t="shared" ref="D22:D31" si="4">B22*C22</f>
        <v>108900</v>
      </c>
      <c r="I22" s="60" t="s">
        <v>62</v>
      </c>
      <c r="J22" s="68">
        <v>0.1</v>
      </c>
      <c r="K22" s="67">
        <f>$C$7</f>
        <v>19800</v>
      </c>
      <c r="L22" s="67">
        <f t="shared" ref="L22:L27" si="5">J22*K22</f>
        <v>1980</v>
      </c>
    </row>
    <row r="23" ht="14.25" customHeight="1">
      <c r="A23" s="60" t="s">
        <v>114</v>
      </c>
      <c r="B23" s="68">
        <v>0.5</v>
      </c>
      <c r="C23" s="117">
        <f>'F&amp;B'!$F$249/13</f>
        <v>3946.153846</v>
      </c>
      <c r="D23" s="67">
        <f t="shared" si="4"/>
        <v>1973.076923</v>
      </c>
      <c r="I23" s="60" t="s">
        <v>117</v>
      </c>
      <c r="J23" s="68">
        <v>1.0</v>
      </c>
      <c r="K23" s="67">
        <f>'F&amp;B'!$F$84/30</f>
        <v>1299</v>
      </c>
      <c r="L23" s="67">
        <f t="shared" si="5"/>
        <v>1299</v>
      </c>
    </row>
    <row r="24" ht="14.25" customHeight="1">
      <c r="A24" s="60" t="s">
        <v>58</v>
      </c>
      <c r="B24" s="68">
        <v>0.007</v>
      </c>
      <c r="C24" s="117">
        <f>C11</f>
        <v>58500</v>
      </c>
      <c r="D24" s="67">
        <f t="shared" si="4"/>
        <v>409.5</v>
      </c>
      <c r="I24" s="60" t="s">
        <v>58</v>
      </c>
      <c r="J24" s="68">
        <v>0.001</v>
      </c>
      <c r="K24" s="67">
        <f>C11</f>
        <v>58500</v>
      </c>
      <c r="L24" s="67">
        <f t="shared" si="5"/>
        <v>58.5</v>
      </c>
    </row>
    <row r="25" ht="14.25" customHeight="1">
      <c r="A25" s="60" t="s">
        <v>122</v>
      </c>
      <c r="B25" s="68">
        <v>0.001</v>
      </c>
      <c r="C25" s="117">
        <f>'F&amp;B'!$F$172</f>
        <v>89820</v>
      </c>
      <c r="D25" s="67">
        <f t="shared" si="4"/>
        <v>89.82</v>
      </c>
      <c r="I25" s="60" t="s">
        <v>54</v>
      </c>
      <c r="J25" s="68">
        <v>1.0</v>
      </c>
      <c r="K25" s="67">
        <f>$K$4</f>
        <v>8250</v>
      </c>
      <c r="L25" s="67">
        <f t="shared" si="5"/>
        <v>8250</v>
      </c>
    </row>
    <row r="26" ht="14.25" customHeight="1">
      <c r="A26" s="75" t="s">
        <v>123</v>
      </c>
      <c r="B26" s="68">
        <v>0.006</v>
      </c>
      <c r="C26" s="125">
        <f>'F&amp;B'!$F$253</f>
        <v>24750</v>
      </c>
      <c r="D26" s="67">
        <f t="shared" si="4"/>
        <v>148.5</v>
      </c>
      <c r="I26" s="75" t="s">
        <v>66</v>
      </c>
      <c r="J26" s="68">
        <v>0.075</v>
      </c>
      <c r="K26" s="76">
        <f>$K$7</f>
        <v>12150</v>
      </c>
      <c r="L26" s="67">
        <f t="shared" si="5"/>
        <v>911.25</v>
      </c>
    </row>
    <row r="27" ht="14.25" customHeight="1">
      <c r="A27" s="75" t="s">
        <v>125</v>
      </c>
      <c r="B27" s="68">
        <v>0.025</v>
      </c>
      <c r="C27" s="125">
        <f>C8</f>
        <v>41684.21053</v>
      </c>
      <c r="D27" s="67">
        <f t="shared" si="4"/>
        <v>1042.105263</v>
      </c>
      <c r="I27" s="75" t="s">
        <v>127</v>
      </c>
      <c r="J27" s="68">
        <v>0.04</v>
      </c>
      <c r="K27" s="76">
        <f>'F&amp;B'!$F$161</f>
        <v>7830</v>
      </c>
      <c r="L27" s="67">
        <f t="shared" si="5"/>
        <v>313.2</v>
      </c>
    </row>
    <row r="28" ht="14.25" customHeight="1">
      <c r="A28" s="75" t="s">
        <v>78</v>
      </c>
      <c r="B28" s="68">
        <v>0.1</v>
      </c>
      <c r="C28" s="125"/>
      <c r="D28" s="67">
        <f t="shared" si="4"/>
        <v>0</v>
      </c>
      <c r="I28" s="75"/>
      <c r="J28" s="68"/>
      <c r="K28" s="99"/>
      <c r="L28" s="76"/>
    </row>
    <row r="29" ht="14.25" customHeight="1">
      <c r="A29" s="87" t="s">
        <v>128</v>
      </c>
      <c r="B29" s="68">
        <v>0.12</v>
      </c>
      <c r="C29" s="131">
        <f>'F&amp;B'!$F$258/3.75</f>
        <v>55440</v>
      </c>
      <c r="D29" s="67">
        <f t="shared" si="4"/>
        <v>6652.8</v>
      </c>
      <c r="I29" s="87"/>
      <c r="J29" s="68"/>
      <c r="K29" s="107"/>
      <c r="L29" s="89"/>
    </row>
    <row r="30" ht="14.25" customHeight="1">
      <c r="A30" s="87" t="s">
        <v>132</v>
      </c>
      <c r="B30" s="68">
        <v>0.08</v>
      </c>
      <c r="C30" s="131">
        <f>'F&amp;B'!$F$41</f>
        <v>14850</v>
      </c>
      <c r="D30" s="67">
        <f t="shared" si="4"/>
        <v>1188</v>
      </c>
      <c r="I30" s="87"/>
      <c r="J30" s="68"/>
      <c r="K30" s="107"/>
      <c r="L30" s="89"/>
    </row>
    <row r="31" ht="14.25" customHeight="1">
      <c r="A31" s="87" t="s">
        <v>137</v>
      </c>
      <c r="B31" s="68">
        <v>0.08</v>
      </c>
      <c r="C31" s="131">
        <f>'F&amp;B'!$F$246/3.79</f>
        <v>56160.94987</v>
      </c>
      <c r="D31" s="67">
        <f t="shared" si="4"/>
        <v>4492.875989</v>
      </c>
      <c r="I31" s="87"/>
      <c r="J31" s="68"/>
      <c r="K31" s="107"/>
      <c r="L31" s="89"/>
    </row>
    <row r="32" ht="14.25" customHeight="1">
      <c r="A32" s="87" t="s">
        <v>139</v>
      </c>
      <c r="B32" s="68">
        <v>0.1</v>
      </c>
      <c r="C32" s="131"/>
      <c r="D32" s="89"/>
      <c r="I32" s="87"/>
      <c r="J32" s="68"/>
      <c r="K32" s="107"/>
      <c r="L32" s="89"/>
    </row>
    <row r="33" ht="14.25" customHeight="1">
      <c r="A33" s="22" t="s">
        <v>84</v>
      </c>
      <c r="B33" s="109"/>
      <c r="C33" s="109"/>
      <c r="D33" s="110">
        <f>IF(SUM(D22:D32)=0,"",SUM(D22:D32))</f>
        <v>124896.6782</v>
      </c>
      <c r="I33" s="22" t="s">
        <v>84</v>
      </c>
      <c r="J33" s="109"/>
      <c r="K33" s="109"/>
      <c r="L33" s="110">
        <f>IF(SUM(L22:L32)=0,"",SUM(L22:L32))</f>
        <v>12811.95</v>
      </c>
    </row>
    <row r="34" ht="14.25" customHeight="1">
      <c r="A34" s="111" t="s">
        <v>102</v>
      </c>
      <c r="B34" s="108">
        <f>IF(D34="","",IF(ISBLANK(C34),"",D34/C34))</f>
        <v>0.04783277037</v>
      </c>
      <c r="C34" s="110">
        <v>25000.0</v>
      </c>
      <c r="D34" s="113">
        <f>D20*0.045</f>
        <v>1195.819259</v>
      </c>
      <c r="I34" s="111" t="s">
        <v>102</v>
      </c>
      <c r="J34" s="108">
        <f>IF(L34="","",IF(ISBLANK(K34),"",L34/K34))</f>
        <v>0.032029875</v>
      </c>
      <c r="K34" s="110">
        <v>15000.0</v>
      </c>
      <c r="L34" s="113">
        <f>L20*0.045</f>
        <v>480.448125</v>
      </c>
    </row>
    <row r="35" ht="14.25" customHeight="1"/>
    <row r="36" ht="14.25" customHeight="1">
      <c r="A36" s="22" t="s">
        <v>151</v>
      </c>
      <c r="B36" s="27">
        <v>0.826</v>
      </c>
      <c r="C36" s="27" t="s">
        <v>14</v>
      </c>
      <c r="D36" s="40">
        <f>D45/B36</f>
        <v>21446.56361</v>
      </c>
      <c r="E36" s="58">
        <f>D36/90000</f>
        <v>0.2382951512</v>
      </c>
      <c r="I36" s="22" t="s">
        <v>155</v>
      </c>
      <c r="J36" s="27"/>
      <c r="K36" s="27"/>
      <c r="L36" s="27"/>
    </row>
    <row r="37" ht="14.25" customHeight="1">
      <c r="A37" s="52" t="s">
        <v>42</v>
      </c>
      <c r="B37" s="54" t="s">
        <v>3</v>
      </c>
      <c r="C37" s="54" t="s">
        <v>44</v>
      </c>
      <c r="D37" s="56" t="s">
        <v>35</v>
      </c>
      <c r="I37" s="52" t="s">
        <v>42</v>
      </c>
      <c r="J37" s="54" t="s">
        <v>3</v>
      </c>
      <c r="K37" s="54" t="s">
        <v>44</v>
      </c>
      <c r="L37" s="56" t="s">
        <v>35</v>
      </c>
    </row>
    <row r="38" ht="14.25" customHeight="1">
      <c r="A38" s="60" t="s">
        <v>157</v>
      </c>
      <c r="B38" s="68">
        <v>0.04</v>
      </c>
      <c r="C38" s="67">
        <f>K3</f>
        <v>51480</v>
      </c>
      <c r="D38" s="67">
        <f t="shared" ref="D38:D43" si="6">B38*C38</f>
        <v>2059.2</v>
      </c>
      <c r="I38" s="60" t="s">
        <v>161</v>
      </c>
      <c r="J38" s="68">
        <v>0.002</v>
      </c>
      <c r="K38" s="67">
        <f>'F&amp;B'!$F$49</f>
        <v>135000</v>
      </c>
      <c r="L38" s="67">
        <f t="shared" ref="L38:L41" si="7">J38*K38</f>
        <v>270</v>
      </c>
    </row>
    <row r="39" ht="14.25" customHeight="1">
      <c r="A39" s="60" t="s">
        <v>54</v>
      </c>
      <c r="B39" s="68">
        <v>0.215</v>
      </c>
      <c r="C39" s="67">
        <f>K25</f>
        <v>8250</v>
      </c>
      <c r="D39" s="67">
        <f t="shared" si="6"/>
        <v>1773.75</v>
      </c>
      <c r="I39" s="139" t="s">
        <v>169</v>
      </c>
      <c r="J39" s="68">
        <v>0.01</v>
      </c>
      <c r="K39" s="67">
        <f>'F&amp;B'!F297</f>
        <v>16650</v>
      </c>
      <c r="L39" s="67">
        <f t="shared" si="7"/>
        <v>166.5</v>
      </c>
    </row>
    <row r="40" ht="14.25" customHeight="1">
      <c r="A40" s="60" t="s">
        <v>172</v>
      </c>
      <c r="B40" s="68">
        <v>0.13</v>
      </c>
      <c r="C40" s="67">
        <f>'F&amp;B'!$F$255/5</f>
        <v>35640</v>
      </c>
      <c r="D40" s="67">
        <f t="shared" si="6"/>
        <v>4633.2</v>
      </c>
      <c r="I40" s="60" t="s">
        <v>173</v>
      </c>
      <c r="J40" s="68">
        <v>0.06</v>
      </c>
      <c r="K40" s="67">
        <f>'F&amp;B'!$F$279</f>
        <v>7200</v>
      </c>
      <c r="L40" s="67">
        <f t="shared" si="7"/>
        <v>432</v>
      </c>
    </row>
    <row r="41" ht="14.25" customHeight="1">
      <c r="A41" s="60" t="s">
        <v>176</v>
      </c>
      <c r="B41" s="68">
        <v>0.24</v>
      </c>
      <c r="C41" s="67">
        <f>'F&amp;B'!$F$43/13</f>
        <v>38076.92308</v>
      </c>
      <c r="D41" s="67">
        <f t="shared" si="6"/>
        <v>9138.461538</v>
      </c>
      <c r="I41" s="60" t="s">
        <v>179</v>
      </c>
      <c r="J41" s="68">
        <v>0.02</v>
      </c>
      <c r="K41" s="67">
        <f>'F&amp;B'!$F$290</f>
        <v>6300</v>
      </c>
      <c r="L41" s="67">
        <f t="shared" si="7"/>
        <v>126</v>
      </c>
    </row>
    <row r="42" ht="14.25" customHeight="1">
      <c r="A42" s="75" t="s">
        <v>58</v>
      </c>
      <c r="B42" s="68">
        <v>0.001</v>
      </c>
      <c r="C42" s="76">
        <f>K24</f>
        <v>58500</v>
      </c>
      <c r="D42" s="67">
        <f t="shared" si="6"/>
        <v>58.5</v>
      </c>
      <c r="I42" s="75"/>
      <c r="J42" s="68"/>
      <c r="K42" s="99"/>
      <c r="L42" s="76"/>
    </row>
    <row r="43" ht="14.25" customHeight="1">
      <c r="A43" s="75" t="s">
        <v>82</v>
      </c>
      <c r="B43" s="68">
        <v>0.001</v>
      </c>
      <c r="C43" s="76">
        <f>K9</f>
        <v>51750</v>
      </c>
      <c r="D43" s="67">
        <f t="shared" si="6"/>
        <v>51.75</v>
      </c>
      <c r="I43" s="75"/>
      <c r="J43" s="68"/>
      <c r="K43" s="99"/>
      <c r="L43" s="76"/>
    </row>
    <row r="44" ht="14.25" customHeight="1">
      <c r="A44" s="75" t="s">
        <v>78</v>
      </c>
      <c r="B44" s="68">
        <v>0.2</v>
      </c>
      <c r="C44" s="99"/>
      <c r="D44" s="76"/>
      <c r="I44" s="75"/>
      <c r="J44" s="68"/>
      <c r="K44" s="99"/>
      <c r="L44" s="76"/>
    </row>
    <row r="45" ht="14.25" customHeight="1">
      <c r="A45" s="22" t="s">
        <v>84</v>
      </c>
      <c r="B45" s="109"/>
      <c r="C45" s="109"/>
      <c r="D45" s="110">
        <f>IF(SUM(D38:D44)=0,"",SUM(D38:D44))</f>
        <v>17714.86154</v>
      </c>
      <c r="I45" s="22" t="s">
        <v>84</v>
      </c>
      <c r="J45" s="109"/>
      <c r="K45" s="109"/>
      <c r="L45" s="110">
        <f>SUM(L38:L44)</f>
        <v>994.5</v>
      </c>
    </row>
    <row r="46" ht="14.25" customHeight="1">
      <c r="A46" s="111" t="s">
        <v>102</v>
      </c>
      <c r="B46" s="108">
        <f>IF(D46="","",IF(ISBLANK(C46),"",D46/C46))</f>
        <v>0.04386797101</v>
      </c>
      <c r="C46" s="110">
        <v>22000.0</v>
      </c>
      <c r="D46" s="113">
        <f>D36*0.045</f>
        <v>965.0953623</v>
      </c>
      <c r="I46" s="87"/>
      <c r="J46" s="68"/>
      <c r="K46" s="107"/>
      <c r="L46" s="89"/>
    </row>
    <row r="47" ht="14.25" customHeight="1">
      <c r="A47" s="111"/>
      <c r="B47" s="108"/>
      <c r="C47" s="110"/>
      <c r="D47" s="163"/>
      <c r="I47" s="93"/>
      <c r="J47" s="164"/>
      <c r="K47" s="164"/>
      <c r="L47" s="94"/>
    </row>
    <row r="48" ht="14.25" customHeight="1">
      <c r="A48" s="22" t="s">
        <v>202</v>
      </c>
      <c r="B48" s="27">
        <v>100.0</v>
      </c>
      <c r="C48" s="26" t="s">
        <v>90</v>
      </c>
      <c r="D48" s="114">
        <f>D57/B48</f>
        <v>563.76</v>
      </c>
      <c r="E48" s="165">
        <v>1.0</v>
      </c>
      <c r="I48" s="22" t="s">
        <v>205</v>
      </c>
      <c r="J48" s="26">
        <v>6.0</v>
      </c>
      <c r="K48" s="27" t="s">
        <v>14</v>
      </c>
      <c r="L48" s="166">
        <f>L57/J48</f>
        <v>20516.64</v>
      </c>
      <c r="M48" s="58">
        <f>L48/90000</f>
        <v>0.2279626667</v>
      </c>
    </row>
    <row r="49" ht="14.25" customHeight="1">
      <c r="A49" s="52" t="s">
        <v>42</v>
      </c>
      <c r="B49" s="54" t="s">
        <v>3</v>
      </c>
      <c r="C49" s="54" t="s">
        <v>44</v>
      </c>
      <c r="D49" s="56" t="s">
        <v>35</v>
      </c>
      <c r="I49" s="52" t="s">
        <v>42</v>
      </c>
      <c r="J49" s="54" t="s">
        <v>3</v>
      </c>
      <c r="K49" s="54" t="s">
        <v>44</v>
      </c>
      <c r="L49" s="56" t="s">
        <v>35</v>
      </c>
    </row>
    <row r="50" ht="14.25" customHeight="1">
      <c r="A50" s="60" t="s">
        <v>216</v>
      </c>
      <c r="B50" s="68">
        <v>0.5</v>
      </c>
      <c r="C50" s="67">
        <f>'F&amp;B'!$F$17/50</f>
        <v>5295.6</v>
      </c>
      <c r="D50" s="67">
        <f t="shared" ref="D50:D56" si="8">B50*C50</f>
        <v>2647.8</v>
      </c>
      <c r="E50" s="58">
        <f t="shared" ref="E50:E57" si="9">$E$48*B50/$B$48</f>
        <v>0.005</v>
      </c>
      <c r="I50" s="60" t="s">
        <v>224</v>
      </c>
      <c r="J50" s="68">
        <v>2.0</v>
      </c>
      <c r="K50" s="67">
        <f>'F&amp;B'!$F$294</f>
        <v>6750</v>
      </c>
      <c r="L50" s="67">
        <f t="shared" ref="L50:L53" si="10">J50*K50</f>
        <v>13500</v>
      </c>
    </row>
    <row r="51" ht="14.25" customHeight="1">
      <c r="A51" s="60" t="s">
        <v>225</v>
      </c>
      <c r="B51" s="68">
        <v>15.0</v>
      </c>
      <c r="C51" s="67">
        <f>$K$23</f>
        <v>1299</v>
      </c>
      <c r="D51" s="67">
        <f t="shared" si="8"/>
        <v>19485</v>
      </c>
      <c r="E51" s="58">
        <f t="shared" si="9"/>
        <v>0.15</v>
      </c>
      <c r="I51" s="60" t="s">
        <v>229</v>
      </c>
      <c r="J51" s="68">
        <v>0.1</v>
      </c>
      <c r="K51" s="67">
        <f>'F&amp;B'!F293</f>
        <v>6750</v>
      </c>
      <c r="L51" s="67">
        <f t="shared" si="10"/>
        <v>675</v>
      </c>
    </row>
    <row r="52" ht="14.25" customHeight="1">
      <c r="A52" s="60" t="s">
        <v>234</v>
      </c>
      <c r="B52" s="68">
        <v>1.0</v>
      </c>
      <c r="C52" s="67">
        <f>'F&amp;B'!$F$7</f>
        <v>18000</v>
      </c>
      <c r="D52" s="67">
        <f t="shared" si="8"/>
        <v>18000</v>
      </c>
      <c r="E52" s="58">
        <f t="shared" si="9"/>
        <v>0.01</v>
      </c>
      <c r="I52" s="60" t="s">
        <v>53</v>
      </c>
      <c r="J52" s="68">
        <v>1.0</v>
      </c>
      <c r="K52" s="67">
        <f>$C$4</f>
        <v>108900</v>
      </c>
      <c r="L52" s="67">
        <f t="shared" si="10"/>
        <v>108900</v>
      </c>
    </row>
    <row r="53" ht="14.25" customHeight="1">
      <c r="A53" s="60" t="s">
        <v>58</v>
      </c>
      <c r="B53" s="68">
        <v>0.02</v>
      </c>
      <c r="C53" s="67">
        <f>C42</f>
        <v>58500</v>
      </c>
      <c r="D53" s="67">
        <f t="shared" si="8"/>
        <v>1170</v>
      </c>
      <c r="E53" s="58">
        <f t="shared" si="9"/>
        <v>0.0002</v>
      </c>
      <c r="I53" s="60" t="s">
        <v>239</v>
      </c>
      <c r="J53" s="68">
        <v>0.003</v>
      </c>
      <c r="K53" s="67">
        <f>'F&amp;B'!$F$145</f>
        <v>8280</v>
      </c>
      <c r="L53" s="67">
        <f t="shared" si="10"/>
        <v>24.84</v>
      </c>
    </row>
    <row r="54" ht="14.25" customHeight="1">
      <c r="A54" s="60" t="s">
        <v>122</v>
      </c>
      <c r="B54" s="68">
        <v>0.01</v>
      </c>
      <c r="C54" s="67">
        <f>$C$25</f>
        <v>89820</v>
      </c>
      <c r="D54" s="67">
        <f t="shared" si="8"/>
        <v>898.2</v>
      </c>
      <c r="E54" s="58">
        <f t="shared" si="9"/>
        <v>0.0001</v>
      </c>
      <c r="I54" s="60" t="s">
        <v>241</v>
      </c>
      <c r="J54" s="68">
        <v>0.2</v>
      </c>
      <c r="K54" s="67"/>
      <c r="L54" s="67"/>
    </row>
    <row r="55" ht="14.25" customHeight="1">
      <c r="A55" s="60" t="s">
        <v>86</v>
      </c>
      <c r="B55" s="68">
        <v>1.0</v>
      </c>
      <c r="C55" s="67">
        <f>'F&amp;B'!$F$96</f>
        <v>13050</v>
      </c>
      <c r="D55" s="67">
        <f t="shared" si="8"/>
        <v>13050</v>
      </c>
      <c r="E55" s="58">
        <f t="shared" si="9"/>
        <v>0.01</v>
      </c>
    </row>
    <row r="56" ht="14.25" customHeight="1">
      <c r="A56" s="75" t="s">
        <v>243</v>
      </c>
      <c r="B56" s="68">
        <v>0.125</v>
      </c>
      <c r="C56" s="76">
        <f>'F&amp;B'!$F$256</f>
        <v>9000</v>
      </c>
      <c r="D56" s="67">
        <f t="shared" si="8"/>
        <v>1125</v>
      </c>
      <c r="E56" s="58">
        <f t="shared" si="9"/>
        <v>0.00125</v>
      </c>
      <c r="I56" s="75"/>
      <c r="J56" s="68"/>
      <c r="K56" s="99"/>
      <c r="L56" s="76"/>
    </row>
    <row r="57" ht="14.25" customHeight="1">
      <c r="A57" s="22" t="s">
        <v>84</v>
      </c>
      <c r="B57" s="109"/>
      <c r="C57" s="109"/>
      <c r="D57" s="110">
        <f>IF(SUM(D50:D56)=0,"",SUM(D50:D56))</f>
        <v>56376</v>
      </c>
      <c r="E57" s="58">
        <f t="shared" si="9"/>
        <v>0</v>
      </c>
      <c r="I57" s="22" t="s">
        <v>84</v>
      </c>
      <c r="J57" s="109"/>
      <c r="K57" s="109"/>
      <c r="L57" s="110">
        <f>SUM(L50:L56)</f>
        <v>123099.84</v>
      </c>
    </row>
    <row r="58" ht="14.25" customHeight="1">
      <c r="I58" s="111" t="s">
        <v>102</v>
      </c>
      <c r="J58" s="108">
        <f>IF(L58="","",IF(ISBLANK(K58),"",L58/K58))</f>
        <v>0.04196585455</v>
      </c>
      <c r="K58" s="110">
        <v>22000.0</v>
      </c>
      <c r="L58" s="173">
        <f>L48*0.045</f>
        <v>923.2488</v>
      </c>
    </row>
    <row r="59" ht="14.25" customHeight="1"/>
    <row r="60" ht="14.25" customHeight="1">
      <c r="A60" s="22" t="s">
        <v>256</v>
      </c>
      <c r="B60" s="27"/>
      <c r="C60" s="27"/>
      <c r="D60" s="27"/>
      <c r="I60" s="22" t="s">
        <v>257</v>
      </c>
      <c r="J60" s="26">
        <v>7.75</v>
      </c>
      <c r="K60" s="27" t="s">
        <v>14</v>
      </c>
      <c r="L60" s="40">
        <f>L68/J60</f>
        <v>19698.44963</v>
      </c>
      <c r="M60" s="177">
        <f>L60/90000</f>
        <v>0.2188716625</v>
      </c>
    </row>
    <row r="61" ht="14.25" customHeight="1">
      <c r="A61" s="52" t="s">
        <v>42</v>
      </c>
      <c r="B61" s="54" t="s">
        <v>3</v>
      </c>
      <c r="C61" s="54" t="s">
        <v>44</v>
      </c>
      <c r="D61" s="56" t="s">
        <v>35</v>
      </c>
      <c r="I61" s="52" t="s">
        <v>42</v>
      </c>
      <c r="J61" s="54" t="s">
        <v>3</v>
      </c>
      <c r="K61" s="54" t="s">
        <v>44</v>
      </c>
      <c r="L61" s="56" t="s">
        <v>35</v>
      </c>
    </row>
    <row r="62" ht="14.25" customHeight="1">
      <c r="A62" s="60" t="s">
        <v>262</v>
      </c>
      <c r="B62" s="68">
        <v>0.25</v>
      </c>
      <c r="C62" s="67">
        <f>'F&amp;B'!F302</f>
        <v>10800</v>
      </c>
      <c r="D62" s="67">
        <f t="shared" ref="D62:D66" si="11">B62*C62</f>
        <v>2700</v>
      </c>
      <c r="I62" s="60" t="s">
        <v>267</v>
      </c>
      <c r="J62" s="180">
        <v>3.0</v>
      </c>
      <c r="K62" s="67">
        <f>'F&amp;B'!$F$46</f>
        <v>89100</v>
      </c>
      <c r="L62" s="67">
        <f t="shared" ref="L62:L63" si="12">K62</f>
        <v>89100</v>
      </c>
    </row>
    <row r="63" ht="14.25" customHeight="1">
      <c r="A63" s="60" t="s">
        <v>273</v>
      </c>
      <c r="B63" s="68">
        <v>0.001</v>
      </c>
      <c r="C63" s="67">
        <f>'F&amp;B'!F283</f>
        <v>9000</v>
      </c>
      <c r="D63" s="67">
        <f t="shared" si="11"/>
        <v>9</v>
      </c>
      <c r="I63" s="60" t="s">
        <v>276</v>
      </c>
      <c r="J63" s="180">
        <v>2.55</v>
      </c>
      <c r="K63" s="67">
        <f>'F&amp;B'!$F$47</f>
        <v>49500</v>
      </c>
      <c r="L63" s="67">
        <f t="shared" si="12"/>
        <v>49500</v>
      </c>
    </row>
    <row r="64" ht="14.25" customHeight="1">
      <c r="A64" s="60" t="s">
        <v>282</v>
      </c>
      <c r="B64" s="68">
        <v>0.02</v>
      </c>
      <c r="C64" s="67">
        <f>L122</f>
        <v>28970.23839</v>
      </c>
      <c r="D64" s="67">
        <f t="shared" si="11"/>
        <v>579.4047678</v>
      </c>
      <c r="I64" s="60" t="s">
        <v>285</v>
      </c>
      <c r="J64" s="68">
        <v>2.0</v>
      </c>
      <c r="K64" s="67">
        <f>'F&amp;B'!$F$298</f>
        <v>2970</v>
      </c>
      <c r="L64" s="67">
        <f t="shared" ref="L64:L67" si="13">J64*K64</f>
        <v>5940</v>
      </c>
    </row>
    <row r="65" ht="14.25" customHeight="1">
      <c r="A65" s="60" t="s">
        <v>291</v>
      </c>
      <c r="B65" s="68">
        <v>0.01</v>
      </c>
      <c r="C65" s="67">
        <f>'F&amp;B'!F280</f>
        <v>2970</v>
      </c>
      <c r="D65" s="67">
        <f t="shared" si="11"/>
        <v>29.7</v>
      </c>
      <c r="I65" s="60" t="s">
        <v>176</v>
      </c>
      <c r="J65" s="68">
        <v>0.2</v>
      </c>
      <c r="K65" s="67">
        <f>'F&amp;B'!F43/13</f>
        <v>38076.92308</v>
      </c>
      <c r="L65" s="67">
        <f t="shared" si="13"/>
        <v>7615.384615</v>
      </c>
    </row>
    <row r="66" ht="14.25" customHeight="1">
      <c r="A66" s="75" t="s">
        <v>241</v>
      </c>
      <c r="B66" s="68">
        <v>0.1</v>
      </c>
      <c r="C66" s="76">
        <f>'F&amp;B'!F295</f>
        <v>4500</v>
      </c>
      <c r="D66" s="67">
        <f t="shared" si="11"/>
        <v>450</v>
      </c>
      <c r="I66" s="75" t="s">
        <v>122</v>
      </c>
      <c r="J66" s="68">
        <v>0.005</v>
      </c>
      <c r="K66" s="76">
        <f>C54</f>
        <v>89820</v>
      </c>
      <c r="L66" s="67">
        <f t="shared" si="13"/>
        <v>449.1</v>
      </c>
    </row>
    <row r="67" ht="14.25" customHeight="1">
      <c r="A67" s="75"/>
      <c r="B67" s="68"/>
      <c r="C67" s="99"/>
      <c r="D67" s="76"/>
      <c r="I67" s="75" t="s">
        <v>58</v>
      </c>
      <c r="J67" s="68">
        <v>0.001</v>
      </c>
      <c r="K67" s="76">
        <f>C53</f>
        <v>58500</v>
      </c>
      <c r="L67" s="67">
        <f t="shared" si="13"/>
        <v>58.5</v>
      </c>
    </row>
    <row r="68" ht="14.25" customHeight="1">
      <c r="A68" s="22" t="s">
        <v>84</v>
      </c>
      <c r="B68" s="109"/>
      <c r="C68" s="109"/>
      <c r="D68" s="110">
        <f>IF(SUM(D62:D67)=0,"",SUM(D62:D67))</f>
        <v>3768.104768</v>
      </c>
      <c r="I68" s="111" t="s">
        <v>84</v>
      </c>
      <c r="J68" s="109"/>
      <c r="K68" s="109"/>
      <c r="L68" s="110">
        <f>IF(SUM(L62:L67)=0,"",SUM(L62:L67))</f>
        <v>152662.9846</v>
      </c>
    </row>
    <row r="69" ht="14.25" customHeight="1"/>
    <row r="70" ht="14.25" customHeight="1">
      <c r="A70" s="22" t="s">
        <v>308</v>
      </c>
      <c r="B70" s="27"/>
      <c r="C70" s="27" t="s">
        <v>14</v>
      </c>
      <c r="D70" s="166" t="str">
        <f>D79/B70</f>
        <v>#DIV/0!</v>
      </c>
      <c r="I70" s="22" t="s">
        <v>310</v>
      </c>
      <c r="J70" s="27">
        <v>3.81</v>
      </c>
      <c r="K70" s="27" t="s">
        <v>14</v>
      </c>
      <c r="L70" s="166">
        <f>L76/J70</f>
        <v>28957.08661</v>
      </c>
      <c r="M70" s="58">
        <f>L70/90000</f>
        <v>0.3217454068</v>
      </c>
    </row>
    <row r="71" ht="14.25" customHeight="1">
      <c r="A71" s="52" t="s">
        <v>42</v>
      </c>
      <c r="B71" s="54" t="s">
        <v>3</v>
      </c>
      <c r="C71" s="54" t="s">
        <v>44</v>
      </c>
      <c r="D71" s="56" t="s">
        <v>35</v>
      </c>
      <c r="I71" s="52" t="s">
        <v>42</v>
      </c>
      <c r="J71" s="54" t="s">
        <v>3</v>
      </c>
      <c r="K71" s="54" t="s">
        <v>44</v>
      </c>
      <c r="L71" s="56" t="s">
        <v>35</v>
      </c>
    </row>
    <row r="72" ht="14.25" customHeight="1">
      <c r="A72" s="60" t="s">
        <v>80</v>
      </c>
      <c r="B72" s="68"/>
      <c r="C72" s="67">
        <f>$K$3</f>
        <v>51480</v>
      </c>
      <c r="D72" s="67">
        <f>B72*C72</f>
        <v>0</v>
      </c>
      <c r="I72" s="60" t="s">
        <v>53</v>
      </c>
      <c r="J72" s="68">
        <v>1.0</v>
      </c>
      <c r="K72" s="67">
        <f>K52</f>
        <v>108900</v>
      </c>
      <c r="L72" s="67">
        <f t="shared" ref="L72:L75" si="14">J72*K72</f>
        <v>108900</v>
      </c>
    </row>
    <row r="73" ht="14.25" customHeight="1">
      <c r="A73" s="60" t="s">
        <v>320</v>
      </c>
      <c r="B73" s="68"/>
      <c r="C73" s="67" t="str">
        <f>'F&amp;B'!#REF!</f>
        <v>#ERROR!</v>
      </c>
      <c r="D73" s="67"/>
      <c r="I73" s="60" t="s">
        <v>66</v>
      </c>
      <c r="J73" s="68">
        <v>0.04</v>
      </c>
      <c r="K73" s="67">
        <f>'F&amp;B'!F287</f>
        <v>8100</v>
      </c>
      <c r="L73" s="67">
        <f t="shared" si="14"/>
        <v>324</v>
      </c>
    </row>
    <row r="74" ht="14.25" customHeight="1">
      <c r="A74" s="60" t="s">
        <v>54</v>
      </c>
      <c r="B74" s="68"/>
      <c r="C74" s="67">
        <f>C39</f>
        <v>8250</v>
      </c>
      <c r="D74" s="67">
        <f>B74*C74</f>
        <v>0</v>
      </c>
      <c r="I74" s="60" t="s">
        <v>82</v>
      </c>
      <c r="J74" s="68">
        <v>0.01</v>
      </c>
      <c r="K74" s="67">
        <f>'F&amp;B'!F148</f>
        <v>51750</v>
      </c>
      <c r="L74" s="67">
        <f t="shared" si="14"/>
        <v>517.5</v>
      </c>
    </row>
    <row r="75" ht="14.25" customHeight="1">
      <c r="A75" s="60" t="s">
        <v>78</v>
      </c>
      <c r="B75" s="68"/>
      <c r="C75" s="68">
        <v>0.0</v>
      </c>
      <c r="D75" s="67"/>
      <c r="I75" s="60" t="s">
        <v>58</v>
      </c>
      <c r="J75" s="68">
        <v>0.01</v>
      </c>
      <c r="K75" s="67">
        <f>C53</f>
        <v>58500</v>
      </c>
      <c r="L75" s="67">
        <f t="shared" si="14"/>
        <v>585</v>
      </c>
    </row>
    <row r="76" ht="14.25" customHeight="1">
      <c r="A76" s="75" t="s">
        <v>332</v>
      </c>
      <c r="B76" s="68"/>
      <c r="C76" s="76">
        <f>'F&amp;B'!$F$168</f>
        <v>42300</v>
      </c>
      <c r="D76" s="76"/>
      <c r="I76" s="22" t="s">
        <v>84</v>
      </c>
      <c r="J76" s="109"/>
      <c r="K76" s="109"/>
      <c r="L76" s="110">
        <f>IF(SUM(L72:L75)=0,"",SUM(L72:L75))</f>
        <v>110326.5</v>
      </c>
    </row>
    <row r="77" ht="14.25" customHeight="1">
      <c r="A77" s="75" t="s">
        <v>338</v>
      </c>
      <c r="B77" s="68"/>
      <c r="C77" s="76">
        <f>'F&amp;B'!$F$177</f>
        <v>33075</v>
      </c>
      <c r="D77" s="76"/>
      <c r="I77" s="111" t="s">
        <v>102</v>
      </c>
      <c r="J77" s="108">
        <f>IF(L77="","",IF(ISBLANK(K77),"",L77/K77))</f>
        <v>0.05212275591</v>
      </c>
      <c r="K77" s="110">
        <v>25000.0</v>
      </c>
      <c r="L77" s="113">
        <f>L70*0.045</f>
        <v>1303.068898</v>
      </c>
    </row>
    <row r="78" ht="14.25" customHeight="1">
      <c r="A78" s="75" t="s">
        <v>349</v>
      </c>
      <c r="B78" s="68"/>
      <c r="C78" s="76">
        <f>'F&amp;B'!F188</f>
        <v>47250</v>
      </c>
      <c r="D78" s="76"/>
    </row>
    <row r="79" ht="14.25" customHeight="1">
      <c r="A79" s="22" t="s">
        <v>84</v>
      </c>
      <c r="B79" s="109"/>
      <c r="C79" s="109"/>
      <c r="D79" s="110" t="str">
        <f>IF(SUM(D72:D78)=0,"",SUM(D72:D78))</f>
        <v/>
      </c>
      <c r="I79" s="22" t="s">
        <v>353</v>
      </c>
      <c r="J79" s="27">
        <f>SUM(J81:J89)</f>
        <v>11.082</v>
      </c>
      <c r="K79" s="27" t="s">
        <v>14</v>
      </c>
      <c r="L79" s="166">
        <f>L91/J79</f>
        <v>55154.89442</v>
      </c>
      <c r="M79" s="58">
        <f>L79/90000</f>
        <v>0.6128321603</v>
      </c>
    </row>
    <row r="80" ht="14.25" customHeight="1">
      <c r="A80" s="111" t="s">
        <v>102</v>
      </c>
      <c r="B80" s="108" t="str">
        <f>IF(D80="","",IF(ISBLANK(C80),"",D80/C80))</f>
        <v>#DIV/0!</v>
      </c>
      <c r="C80" s="110">
        <v>40000.0</v>
      </c>
      <c r="D80" s="113" t="str">
        <f>D70*0.045</f>
        <v>#DIV/0!</v>
      </c>
      <c r="I80" s="52" t="s">
        <v>42</v>
      </c>
      <c r="J80" s="54" t="s">
        <v>3</v>
      </c>
      <c r="K80" s="54" t="s">
        <v>44</v>
      </c>
      <c r="L80" s="56" t="s">
        <v>35</v>
      </c>
    </row>
    <row r="81" ht="14.25" customHeight="1">
      <c r="I81" s="60" t="s">
        <v>56</v>
      </c>
      <c r="J81" s="68">
        <v>6.0</v>
      </c>
      <c r="K81" s="67">
        <f>'F&amp;B'!$F$87</f>
        <v>58500</v>
      </c>
      <c r="L81" s="67">
        <f t="shared" ref="L81:L90" si="15">J81*K81</f>
        <v>351000</v>
      </c>
    </row>
    <row r="82" ht="14.25" customHeight="1">
      <c r="A82" s="22" t="s">
        <v>200</v>
      </c>
      <c r="B82" s="27">
        <v>7.92</v>
      </c>
      <c r="C82" s="27" t="s">
        <v>14</v>
      </c>
      <c r="D82" s="166">
        <f>D91/B82</f>
        <v>6006.153846</v>
      </c>
      <c r="E82" s="177">
        <f>D82/90000</f>
        <v>0.06673504274</v>
      </c>
      <c r="I82" s="60" t="s">
        <v>369</v>
      </c>
      <c r="J82" s="68">
        <v>1.0</v>
      </c>
      <c r="K82" s="67">
        <f>'F&amp;B'!$F$278</f>
        <v>103500</v>
      </c>
      <c r="L82" s="67">
        <f t="shared" si="15"/>
        <v>103500</v>
      </c>
    </row>
    <row r="83" ht="14.25" customHeight="1">
      <c r="A83" s="52" t="s">
        <v>42</v>
      </c>
      <c r="B83" s="54" t="s">
        <v>3</v>
      </c>
      <c r="C83" s="54" t="s">
        <v>44</v>
      </c>
      <c r="D83" s="56" t="s">
        <v>35</v>
      </c>
      <c r="I83" s="60" t="s">
        <v>374</v>
      </c>
      <c r="J83" s="68">
        <v>0.08</v>
      </c>
      <c r="K83" s="67">
        <f>'F&amp;B'!$F$79/25</f>
        <v>14040</v>
      </c>
      <c r="L83" s="67">
        <f t="shared" si="15"/>
        <v>1123.2</v>
      </c>
    </row>
    <row r="84" ht="14.25" customHeight="1">
      <c r="A84" s="60" t="s">
        <v>379</v>
      </c>
      <c r="B84" s="68">
        <v>5.0</v>
      </c>
      <c r="C84" s="67">
        <f>'F&amp;B'!$F$18/25</f>
        <v>6840</v>
      </c>
      <c r="D84" s="67">
        <f t="shared" ref="D84:D90" si="16">B84*C84</f>
        <v>34200</v>
      </c>
      <c r="I84" s="60" t="s">
        <v>390</v>
      </c>
      <c r="J84" s="68">
        <v>0.1</v>
      </c>
      <c r="K84" s="67">
        <f>'F&amp;B'!$F$310</f>
        <v>15030</v>
      </c>
      <c r="L84" s="67">
        <f t="shared" si="15"/>
        <v>1503</v>
      </c>
    </row>
    <row r="85" ht="14.25" customHeight="1">
      <c r="A85" s="60" t="s">
        <v>54</v>
      </c>
      <c r="B85" s="68">
        <v>0.15</v>
      </c>
      <c r="C85" s="67">
        <f>K4</f>
        <v>8250</v>
      </c>
      <c r="D85" s="67">
        <f t="shared" si="16"/>
        <v>1237.5</v>
      </c>
      <c r="I85" s="60" t="s">
        <v>395</v>
      </c>
      <c r="J85" s="68">
        <v>0.1</v>
      </c>
      <c r="K85" s="67">
        <f>'F&amp;B'!$F$33</f>
        <v>22500</v>
      </c>
      <c r="L85" s="67">
        <f t="shared" si="15"/>
        <v>2250</v>
      </c>
    </row>
    <row r="86" ht="14.25" customHeight="1">
      <c r="A86" s="60" t="s">
        <v>58</v>
      </c>
      <c r="B86" s="68">
        <v>0.1</v>
      </c>
      <c r="C86" s="67">
        <f>K67</f>
        <v>58500</v>
      </c>
      <c r="D86" s="67">
        <f t="shared" si="16"/>
        <v>5850</v>
      </c>
      <c r="I86" s="75" t="s">
        <v>82</v>
      </c>
      <c r="J86" s="68">
        <v>0.01</v>
      </c>
      <c r="K86" s="76">
        <f>$C$12</f>
        <v>51750</v>
      </c>
      <c r="L86" s="67">
        <f t="shared" si="15"/>
        <v>517.5</v>
      </c>
    </row>
    <row r="87" ht="14.25" customHeight="1">
      <c r="A87" s="60" t="s">
        <v>239</v>
      </c>
      <c r="B87" s="68">
        <v>0.015</v>
      </c>
      <c r="C87" s="67">
        <f>K53</f>
        <v>8280</v>
      </c>
      <c r="D87" s="67">
        <f t="shared" si="16"/>
        <v>124.2</v>
      </c>
      <c r="I87" s="75" t="s">
        <v>58</v>
      </c>
      <c r="J87" s="68">
        <v>0.03</v>
      </c>
      <c r="K87" s="76">
        <f>C86</f>
        <v>58500</v>
      </c>
      <c r="L87" s="67">
        <f t="shared" si="15"/>
        <v>1755</v>
      </c>
    </row>
    <row r="88" ht="14.25" customHeight="1">
      <c r="A88" s="75" t="s">
        <v>406</v>
      </c>
      <c r="B88" s="68">
        <v>0.02</v>
      </c>
      <c r="C88" s="76">
        <f>'F&amp;B'!$F$20</f>
        <v>22275</v>
      </c>
      <c r="D88" s="67">
        <f t="shared" si="16"/>
        <v>445.5</v>
      </c>
      <c r="I88" s="75" t="s">
        <v>122</v>
      </c>
      <c r="J88" s="68">
        <v>0.012</v>
      </c>
      <c r="K88" s="76">
        <f>C54</f>
        <v>89820</v>
      </c>
      <c r="L88" s="67">
        <f t="shared" si="15"/>
        <v>1077.84</v>
      </c>
    </row>
    <row r="89" ht="14.25" customHeight="1">
      <c r="A89" s="75" t="s">
        <v>78</v>
      </c>
      <c r="B89" s="68">
        <v>2.5</v>
      </c>
      <c r="C89" s="76"/>
      <c r="D89" s="67">
        <f t="shared" si="16"/>
        <v>0</v>
      </c>
      <c r="I89" s="75" t="s">
        <v>78</v>
      </c>
      <c r="J89" s="180">
        <v>3.75</v>
      </c>
      <c r="K89" s="76"/>
      <c r="L89" s="67">
        <f t="shared" si="15"/>
        <v>0</v>
      </c>
    </row>
    <row r="90" ht="14.25" customHeight="1">
      <c r="A90" s="75" t="s">
        <v>176</v>
      </c>
      <c r="B90" s="68">
        <v>0.15</v>
      </c>
      <c r="C90" s="76">
        <f>K65</f>
        <v>38076.92308</v>
      </c>
      <c r="D90" s="67">
        <f t="shared" si="16"/>
        <v>5711.538462</v>
      </c>
      <c r="I90" s="75" t="s">
        <v>412</v>
      </c>
      <c r="J90" s="68">
        <v>6.0</v>
      </c>
      <c r="K90" s="76">
        <f>'F&amp;B'!$F$42</f>
        <v>24750</v>
      </c>
      <c r="L90" s="67">
        <f t="shared" si="15"/>
        <v>148500</v>
      </c>
    </row>
    <row r="91" ht="14.25" customHeight="1">
      <c r="A91" s="22" t="s">
        <v>84</v>
      </c>
      <c r="B91" s="109"/>
      <c r="C91" s="109"/>
      <c r="D91" s="110">
        <f>IF(SUM(D84:D90)=0,"",SUM(D84:D90))</f>
        <v>47568.73846</v>
      </c>
      <c r="I91" s="22" t="s">
        <v>84</v>
      </c>
      <c r="J91" s="109"/>
      <c r="K91" s="109"/>
      <c r="L91" s="110">
        <f>IF(SUM(L81:L90)=0,"",SUM(L81:L90))</f>
        <v>611226.54</v>
      </c>
    </row>
    <row r="92" ht="14.25" customHeight="1">
      <c r="A92" s="111" t="s">
        <v>102</v>
      </c>
      <c r="B92" s="108">
        <f>IF(D92="","",IF(ISBLANK(C92),"",D92/C92))</f>
        <v>0.02252307692</v>
      </c>
      <c r="C92" s="110">
        <v>40000.0</v>
      </c>
      <c r="D92" s="113">
        <f>D82*0.15</f>
        <v>900.9230769</v>
      </c>
      <c r="I92" s="111" t="s">
        <v>102</v>
      </c>
      <c r="J92" s="108">
        <f>IF(L92="","",IF(ISBLANK(K92),"",L92/K92))</f>
        <v>0.02757744721</v>
      </c>
      <c r="K92" s="110">
        <f>1*90000</f>
        <v>90000</v>
      </c>
      <c r="L92" s="113">
        <f>L79*0.045</f>
        <v>2481.970249</v>
      </c>
    </row>
    <row r="93" ht="14.25" customHeight="1">
      <c r="A93" s="22"/>
      <c r="B93" s="109"/>
      <c r="C93" s="109"/>
      <c r="D93" s="110"/>
      <c r="I93" s="22"/>
      <c r="J93" s="109"/>
      <c r="K93" s="109">
        <v>1.0</v>
      </c>
      <c r="L93" s="110"/>
    </row>
    <row r="94" ht="14.25" customHeight="1"/>
    <row r="95" ht="14.25" customHeight="1">
      <c r="A95" s="22" t="s">
        <v>429</v>
      </c>
      <c r="B95" s="27">
        <v>1.493</v>
      </c>
      <c r="C95" s="27" t="s">
        <v>14</v>
      </c>
      <c r="D95" s="166">
        <f>D104/B95</f>
        <v>59148.02411</v>
      </c>
      <c r="E95" s="58">
        <f>D95/90000</f>
        <v>0.6572002679</v>
      </c>
      <c r="I95" s="22" t="s">
        <v>434</v>
      </c>
      <c r="J95" s="27">
        <v>3.91</v>
      </c>
      <c r="K95" s="27" t="s">
        <v>14</v>
      </c>
      <c r="L95" s="166">
        <f>L104/J95</f>
        <v>24243.14578</v>
      </c>
      <c r="M95" s="58">
        <f>L95/90000</f>
        <v>0.2693682864</v>
      </c>
    </row>
    <row r="96" ht="14.25" customHeight="1">
      <c r="A96" s="52" t="s">
        <v>42</v>
      </c>
      <c r="B96" s="54" t="s">
        <v>3</v>
      </c>
      <c r="C96" s="54" t="s">
        <v>44</v>
      </c>
      <c r="D96" s="56" t="s">
        <v>35</v>
      </c>
      <c r="I96" s="52" t="s">
        <v>42</v>
      </c>
      <c r="J96" s="54" t="s">
        <v>3</v>
      </c>
      <c r="K96" s="54" t="s">
        <v>44</v>
      </c>
      <c r="L96" s="56" t="s">
        <v>35</v>
      </c>
    </row>
    <row r="97" ht="14.25" customHeight="1">
      <c r="A97" s="60" t="s">
        <v>56</v>
      </c>
      <c r="B97" s="68">
        <v>1.0</v>
      </c>
      <c r="C97" s="67">
        <f>$K$81</f>
        <v>58500</v>
      </c>
      <c r="D97" s="67">
        <f t="shared" ref="D97:D99" si="17">B97*C97</f>
        <v>58500</v>
      </c>
      <c r="I97" s="60" t="s">
        <v>267</v>
      </c>
      <c r="J97" s="68">
        <v>1.0</v>
      </c>
      <c r="K97" s="67">
        <f>$K$62</f>
        <v>89100</v>
      </c>
      <c r="L97" s="67">
        <f t="shared" ref="L97:L103" si="18">J97*K97</f>
        <v>89100</v>
      </c>
    </row>
    <row r="98" ht="14.25" customHeight="1">
      <c r="A98" s="60" t="s">
        <v>444</v>
      </c>
      <c r="B98" s="68">
        <v>0.22</v>
      </c>
      <c r="C98" s="67">
        <f>'F&amp;B'!$F$95/5</f>
        <v>27000</v>
      </c>
      <c r="D98" s="67">
        <f t="shared" si="17"/>
        <v>5940</v>
      </c>
      <c r="I98" s="60" t="s">
        <v>214</v>
      </c>
      <c r="J98" s="68">
        <v>0.3</v>
      </c>
      <c r="K98" s="67">
        <f>'F&amp;B'!$F$290</f>
        <v>6300</v>
      </c>
      <c r="L98" s="67">
        <f t="shared" si="18"/>
        <v>1890</v>
      </c>
    </row>
    <row r="99" ht="14.25" customHeight="1">
      <c r="A99" s="60" t="s">
        <v>58</v>
      </c>
      <c r="B99" s="68">
        <v>0.02</v>
      </c>
      <c r="C99" s="67">
        <f>C86</f>
        <v>58500</v>
      </c>
      <c r="D99" s="67">
        <f t="shared" si="17"/>
        <v>1170</v>
      </c>
      <c r="I99" s="60" t="s">
        <v>450</v>
      </c>
      <c r="J99" s="68">
        <v>0.06</v>
      </c>
      <c r="K99" s="67">
        <f>'F&amp;B'!$F$296</f>
        <v>9000</v>
      </c>
      <c r="L99" s="67">
        <f t="shared" si="18"/>
        <v>540</v>
      </c>
    </row>
    <row r="100" ht="14.25" customHeight="1">
      <c r="A100" s="75" t="s">
        <v>453</v>
      </c>
      <c r="B100" s="68">
        <v>0.25</v>
      </c>
      <c r="C100" s="67">
        <f>'F&amp;B'!F287*1.5</f>
        <v>12150</v>
      </c>
      <c r="D100" s="67">
        <f t="shared" ref="D100:D101" si="19">B99*C100</f>
        <v>243</v>
      </c>
      <c r="I100" s="60" t="s">
        <v>457</v>
      </c>
      <c r="J100" s="68">
        <v>0.5</v>
      </c>
      <c r="K100" s="67">
        <f>'F&amp;B'!$F$311</f>
        <v>2970</v>
      </c>
      <c r="L100" s="67">
        <f t="shared" si="18"/>
        <v>1485</v>
      </c>
    </row>
    <row r="101" ht="14.25" customHeight="1">
      <c r="A101" s="75" t="s">
        <v>122</v>
      </c>
      <c r="B101" s="68">
        <v>0.003</v>
      </c>
      <c r="C101" s="76">
        <f>$K$88</f>
        <v>89820</v>
      </c>
      <c r="D101" s="67">
        <f t="shared" si="19"/>
        <v>22455</v>
      </c>
      <c r="I101" s="75" t="s">
        <v>462</v>
      </c>
      <c r="J101" s="68">
        <v>0.01</v>
      </c>
      <c r="K101" s="76">
        <f>'F&amp;B'!$F$158</f>
        <v>81000</v>
      </c>
      <c r="L101" s="67">
        <f t="shared" si="18"/>
        <v>810</v>
      </c>
    </row>
    <row r="102" ht="14.25" customHeight="1">
      <c r="A102" s="75"/>
      <c r="B102" s="68"/>
      <c r="C102" s="76"/>
      <c r="D102" s="67">
        <f>B102*C102</f>
        <v>0</v>
      </c>
      <c r="I102" s="75" t="s">
        <v>466</v>
      </c>
      <c r="J102" s="68">
        <v>0.01</v>
      </c>
      <c r="K102" s="76">
        <f>'F&amp;B'!$F$186</f>
        <v>52020</v>
      </c>
      <c r="L102" s="67">
        <f t="shared" si="18"/>
        <v>520.2</v>
      </c>
    </row>
    <row r="103" ht="14.25" customHeight="1">
      <c r="C103" s="76"/>
      <c r="D103" s="67">
        <f>B101*C103</f>
        <v>0</v>
      </c>
      <c r="I103" s="75" t="s">
        <v>132</v>
      </c>
      <c r="J103" s="68">
        <v>0.03</v>
      </c>
      <c r="K103" s="76">
        <f>'F&amp;B'!$F$41</f>
        <v>14850</v>
      </c>
      <c r="L103" s="67">
        <f t="shared" si="18"/>
        <v>445.5</v>
      </c>
    </row>
    <row r="104" ht="14.25" customHeight="1">
      <c r="A104" s="22" t="s">
        <v>84</v>
      </c>
      <c r="B104" s="109"/>
      <c r="C104" s="109"/>
      <c r="D104" s="110">
        <f>IF(SUM(D97:D103)=0,"",SUM(D97:D103))</f>
        <v>88308</v>
      </c>
      <c r="I104" s="22" t="s">
        <v>84</v>
      </c>
      <c r="J104" s="109"/>
      <c r="K104" s="109"/>
      <c r="L104" s="110">
        <f>IF(SUM(L97:L103)=0,"",SUM(L97:L103))</f>
        <v>94790.7</v>
      </c>
    </row>
    <row r="105" ht="14.25" customHeight="1">
      <c r="A105" s="111" t="s">
        <v>102</v>
      </c>
      <c r="B105" s="108">
        <f>IF(D105="","",IF(ISBLANK(C105),"",D105/C105))</f>
        <v>0.08872203617</v>
      </c>
      <c r="C105" s="110">
        <v>30000.0</v>
      </c>
      <c r="D105" s="113">
        <f>D95*0.045</f>
        <v>2661.661085</v>
      </c>
      <c r="I105" s="111" t="s">
        <v>102</v>
      </c>
      <c r="J105" s="108">
        <f>IF(L105="","",IF(ISBLANK(K105),"",L105/K105))</f>
        <v>0.05454707801</v>
      </c>
      <c r="K105" s="110">
        <v>20000.0</v>
      </c>
      <c r="L105" s="113">
        <f>L95*0.045</f>
        <v>1090.94156</v>
      </c>
    </row>
    <row r="106" ht="14.25" customHeight="1"/>
    <row r="107" ht="14.25" customHeight="1">
      <c r="A107" s="22" t="s">
        <v>482</v>
      </c>
      <c r="B107" s="27">
        <v>8.99</v>
      </c>
      <c r="C107" s="27" t="s">
        <v>14</v>
      </c>
      <c r="D107" s="166">
        <f>D119/B107</f>
        <v>13438.65816</v>
      </c>
      <c r="I107" s="22" t="s">
        <v>485</v>
      </c>
      <c r="J107" s="27">
        <v>4.5</v>
      </c>
      <c r="K107" s="27" t="s">
        <v>14</v>
      </c>
      <c r="L107" s="166">
        <f>L119/J107</f>
        <v>30314.17895</v>
      </c>
      <c r="M107" s="58">
        <f>L107/90000</f>
        <v>0.3368242105</v>
      </c>
    </row>
    <row r="108" ht="14.25" customHeight="1">
      <c r="A108" s="52" t="s">
        <v>42</v>
      </c>
      <c r="B108" s="54" t="s">
        <v>3</v>
      </c>
      <c r="C108" s="54" t="s">
        <v>44</v>
      </c>
      <c r="D108" s="56" t="s">
        <v>35</v>
      </c>
      <c r="I108" s="52" t="s">
        <v>42</v>
      </c>
      <c r="J108" s="54" t="s">
        <v>3</v>
      </c>
      <c r="K108" s="54" t="s">
        <v>44</v>
      </c>
      <c r="L108" s="56" t="s">
        <v>35</v>
      </c>
    </row>
    <row r="109" ht="14.25" customHeight="1">
      <c r="A109" s="60" t="s">
        <v>374</v>
      </c>
      <c r="B109" s="68">
        <v>7.0</v>
      </c>
      <c r="C109" s="67">
        <f>K83</f>
        <v>14040</v>
      </c>
      <c r="D109" s="67">
        <f t="shared" ref="D109:D118" si="20">B109*C109</f>
        <v>98280</v>
      </c>
      <c r="I109" s="60" t="s">
        <v>53</v>
      </c>
      <c r="J109" s="68">
        <v>1.0</v>
      </c>
      <c r="K109" s="67">
        <f>K72</f>
        <v>108900</v>
      </c>
      <c r="L109" s="67">
        <f t="shared" ref="L109:L117" si="21">J109*K109</f>
        <v>108900</v>
      </c>
    </row>
    <row r="110" ht="14.25" customHeight="1">
      <c r="A110" s="60" t="s">
        <v>243</v>
      </c>
      <c r="B110" s="68">
        <v>0.25</v>
      </c>
      <c r="C110" s="67">
        <f>'F&amp;B'!$F$256</f>
        <v>9000</v>
      </c>
      <c r="D110" s="67">
        <f t="shared" si="20"/>
        <v>2250</v>
      </c>
      <c r="I110" s="60" t="s">
        <v>214</v>
      </c>
      <c r="J110" s="68">
        <v>0.25</v>
      </c>
      <c r="K110" s="67">
        <f>K98</f>
        <v>6300</v>
      </c>
      <c r="L110" s="67">
        <f t="shared" si="21"/>
        <v>1575</v>
      </c>
    </row>
    <row r="111" ht="14.25" customHeight="1">
      <c r="A111" s="60" t="s">
        <v>499</v>
      </c>
      <c r="B111" s="68">
        <v>0.25</v>
      </c>
      <c r="C111" s="67">
        <f>'F&amp;B'!$F$257</f>
        <v>10800</v>
      </c>
      <c r="D111" s="67">
        <f t="shared" si="20"/>
        <v>2700</v>
      </c>
      <c r="I111" s="60" t="s">
        <v>161</v>
      </c>
      <c r="J111" s="68">
        <v>0.15</v>
      </c>
      <c r="K111" s="67">
        <f>K38</f>
        <v>135000</v>
      </c>
      <c r="L111" s="67">
        <f t="shared" si="21"/>
        <v>20250</v>
      </c>
    </row>
    <row r="112" ht="14.25" customHeight="1">
      <c r="A112" s="60" t="s">
        <v>214</v>
      </c>
      <c r="B112" s="68">
        <v>0.3</v>
      </c>
      <c r="C112" s="67">
        <f>'F&amp;B'!$F$290</f>
        <v>6300</v>
      </c>
      <c r="D112" s="67">
        <f t="shared" si="20"/>
        <v>1890</v>
      </c>
      <c r="I112" s="60" t="s">
        <v>505</v>
      </c>
      <c r="J112" s="68">
        <v>0.025</v>
      </c>
      <c r="K112" s="67">
        <f>C8</f>
        <v>41684.21053</v>
      </c>
      <c r="L112" s="67">
        <f t="shared" si="21"/>
        <v>1042.105263</v>
      </c>
    </row>
    <row r="113" ht="14.25" customHeight="1">
      <c r="A113" s="75" t="s">
        <v>508</v>
      </c>
      <c r="B113" s="68">
        <v>0.5</v>
      </c>
      <c r="C113" s="76">
        <f>'F&amp;B'!$F$282</f>
        <v>2970</v>
      </c>
      <c r="D113" s="67">
        <f t="shared" si="20"/>
        <v>1485</v>
      </c>
      <c r="I113" s="75" t="s">
        <v>508</v>
      </c>
      <c r="J113" s="68">
        <v>0.25</v>
      </c>
      <c r="K113" s="76">
        <f>C113</f>
        <v>2970</v>
      </c>
      <c r="L113" s="67">
        <f t="shared" si="21"/>
        <v>742.5</v>
      </c>
    </row>
    <row r="114" ht="14.25" customHeight="1">
      <c r="A114" s="75" t="s">
        <v>62</v>
      </c>
      <c r="B114" s="68">
        <v>0.12</v>
      </c>
      <c r="C114" s="76">
        <f>'F&amp;B'!$F$292</f>
        <v>19800</v>
      </c>
      <c r="D114" s="67">
        <f t="shared" si="20"/>
        <v>2376</v>
      </c>
      <c r="I114" s="75" t="s">
        <v>58</v>
      </c>
      <c r="J114" s="68">
        <v>0.02</v>
      </c>
      <c r="K114" s="76">
        <f>C115</f>
        <v>58500</v>
      </c>
      <c r="L114" s="67">
        <f t="shared" si="21"/>
        <v>1170</v>
      </c>
    </row>
    <row r="115" ht="14.25" customHeight="1">
      <c r="A115" s="75" t="s">
        <v>58</v>
      </c>
      <c r="B115" s="68">
        <v>0.04</v>
      </c>
      <c r="C115" s="76">
        <f>C99</f>
        <v>58500</v>
      </c>
      <c r="D115" s="67">
        <f t="shared" si="20"/>
        <v>2340</v>
      </c>
      <c r="I115" s="75" t="s">
        <v>122</v>
      </c>
      <c r="J115" s="68">
        <v>0.01</v>
      </c>
      <c r="K115" s="76">
        <f>C101</f>
        <v>89820</v>
      </c>
      <c r="L115" s="67">
        <f t="shared" si="21"/>
        <v>898.2</v>
      </c>
    </row>
    <row r="116" ht="14.25" customHeight="1">
      <c r="A116" s="75" t="s">
        <v>519</v>
      </c>
      <c r="B116" s="68">
        <v>0.08</v>
      </c>
      <c r="C116" s="76">
        <f>C8</f>
        <v>41684.21053</v>
      </c>
      <c r="D116" s="67">
        <f t="shared" si="20"/>
        <v>3334.736842</v>
      </c>
      <c r="I116" s="75" t="s">
        <v>132</v>
      </c>
      <c r="J116" s="68">
        <v>0.08</v>
      </c>
      <c r="K116" s="76">
        <f>K103</f>
        <v>14850</v>
      </c>
      <c r="L116" s="67">
        <f t="shared" si="21"/>
        <v>1188</v>
      </c>
    </row>
    <row r="117" ht="14.25" customHeight="1">
      <c r="A117" s="75" t="s">
        <v>523</v>
      </c>
      <c r="B117" s="68">
        <v>0.08</v>
      </c>
      <c r="C117" s="76">
        <f>$C$29</f>
        <v>55440</v>
      </c>
      <c r="D117" s="67">
        <f t="shared" si="20"/>
        <v>4435.2</v>
      </c>
      <c r="I117" s="75" t="s">
        <v>499</v>
      </c>
      <c r="J117" s="68">
        <v>0.06</v>
      </c>
      <c r="K117" s="76">
        <f>C111</f>
        <v>10800</v>
      </c>
      <c r="L117" s="67">
        <f t="shared" si="21"/>
        <v>648</v>
      </c>
    </row>
    <row r="118" ht="14.25" customHeight="1">
      <c r="A118" s="75" t="s">
        <v>529</v>
      </c>
      <c r="B118" s="68">
        <v>0.012</v>
      </c>
      <c r="C118" s="76">
        <f>'F&amp;B'!$F$52</f>
        <v>143550</v>
      </c>
      <c r="D118" s="67">
        <f t="shared" si="20"/>
        <v>1722.6</v>
      </c>
      <c r="I118" s="75"/>
      <c r="J118" s="68"/>
      <c r="K118" s="76"/>
      <c r="L118" s="67"/>
    </row>
    <row r="119" ht="14.25" customHeight="1">
      <c r="A119" s="22" t="s">
        <v>84</v>
      </c>
      <c r="B119" s="109"/>
      <c r="C119" s="109"/>
      <c r="D119" s="110">
        <f>IF(SUM(D109:D118)=0,"",SUM(D109:D118))</f>
        <v>120813.5368</v>
      </c>
      <c r="I119" s="22" t="s">
        <v>84</v>
      </c>
      <c r="J119" s="109"/>
      <c r="K119" s="109"/>
      <c r="L119" s="110">
        <f>IF(SUM(L109:L118)=0,"",SUM(L109:L118))</f>
        <v>136413.8053</v>
      </c>
    </row>
    <row r="120" ht="14.25" customHeight="1">
      <c r="I120" s="111" t="s">
        <v>102</v>
      </c>
      <c r="J120" s="108">
        <f>IF(L120="","",IF(ISBLANK(K120),"",L120/K120))</f>
        <v>0.05456552211</v>
      </c>
      <c r="K120" s="110">
        <v>25000.0</v>
      </c>
      <c r="L120" s="173">
        <f>L107*0.045</f>
        <v>1364.138053</v>
      </c>
    </row>
    <row r="121" ht="14.25" customHeight="1"/>
    <row r="122" ht="14.25" customHeight="1">
      <c r="A122" s="22" t="s">
        <v>544</v>
      </c>
      <c r="B122" s="26">
        <v>4.11</v>
      </c>
      <c r="C122" s="27" t="s">
        <v>14</v>
      </c>
      <c r="D122" s="114">
        <f>D132/B122</f>
        <v>44687.33577</v>
      </c>
      <c r="E122" s="58">
        <f>D122/90000</f>
        <v>0.496525953</v>
      </c>
      <c r="I122" s="22" t="s">
        <v>547</v>
      </c>
      <c r="J122" s="27">
        <v>3.13</v>
      </c>
      <c r="K122" s="27" t="s">
        <v>14</v>
      </c>
      <c r="L122" s="114">
        <f>L132/J122</f>
        <v>28970.23839</v>
      </c>
    </row>
    <row r="123" ht="14.25" customHeight="1">
      <c r="A123" s="52" t="s">
        <v>42</v>
      </c>
      <c r="B123" s="54" t="s">
        <v>3</v>
      </c>
      <c r="C123" s="54" t="s">
        <v>44</v>
      </c>
      <c r="D123" s="56" t="s">
        <v>35</v>
      </c>
      <c r="I123" s="52" t="s">
        <v>42</v>
      </c>
      <c r="J123" s="54" t="s">
        <v>3</v>
      </c>
      <c r="K123" s="54" t="s">
        <v>44</v>
      </c>
      <c r="L123" s="56" t="s">
        <v>35</v>
      </c>
    </row>
    <row r="124" ht="14.25" customHeight="1">
      <c r="A124" s="60" t="s">
        <v>550</v>
      </c>
      <c r="B124" s="68">
        <v>0.5</v>
      </c>
      <c r="C124" s="67">
        <f>'F&amp;B'!$F$51</f>
        <v>24750</v>
      </c>
      <c r="D124" s="67">
        <f t="shared" ref="D124:D130" si="22">B124*C124</f>
        <v>12375</v>
      </c>
      <c r="I124" s="60" t="s">
        <v>66</v>
      </c>
      <c r="J124" s="68">
        <v>1.0</v>
      </c>
      <c r="K124" s="67">
        <f>K7</f>
        <v>12150</v>
      </c>
      <c r="L124" s="67">
        <f t="shared" ref="L124:L128" si="23">J124*K124</f>
        <v>12150</v>
      </c>
    </row>
    <row r="125" ht="14.25" customHeight="1">
      <c r="A125" s="60" t="s">
        <v>139</v>
      </c>
      <c r="B125" s="68">
        <v>0.5</v>
      </c>
      <c r="C125" s="67">
        <f>'F&amp;B'!$F$248</f>
        <v>88110</v>
      </c>
      <c r="D125" s="67">
        <f t="shared" si="22"/>
        <v>44055</v>
      </c>
      <c r="I125" s="60" t="s">
        <v>176</v>
      </c>
      <c r="J125" s="68">
        <v>2.0</v>
      </c>
      <c r="K125" s="67">
        <f>C41</f>
        <v>38076.92308</v>
      </c>
      <c r="L125" s="67">
        <f t="shared" si="23"/>
        <v>76153.84615</v>
      </c>
    </row>
    <row r="126" ht="14.25" customHeight="1">
      <c r="A126" s="60" t="s">
        <v>562</v>
      </c>
      <c r="B126" s="68">
        <v>1.0</v>
      </c>
      <c r="C126" s="67">
        <f>K109</f>
        <v>108900</v>
      </c>
      <c r="D126" s="67">
        <f t="shared" si="22"/>
        <v>108900</v>
      </c>
      <c r="I126" s="60" t="s">
        <v>54</v>
      </c>
      <c r="J126" s="68">
        <v>0.1</v>
      </c>
      <c r="K126" s="67">
        <f>C130</f>
        <v>8250</v>
      </c>
      <c r="L126" s="67">
        <f t="shared" si="23"/>
        <v>825</v>
      </c>
    </row>
    <row r="127" ht="14.25" customHeight="1">
      <c r="A127" s="75" t="s">
        <v>567</v>
      </c>
      <c r="B127" s="68">
        <v>0.005</v>
      </c>
      <c r="C127" s="67">
        <f>'F&amp;B'!$F$160</f>
        <v>47340</v>
      </c>
      <c r="D127" s="67">
        <f t="shared" si="22"/>
        <v>236.7</v>
      </c>
      <c r="I127" s="60" t="s">
        <v>569</v>
      </c>
      <c r="J127" s="68">
        <v>0.01</v>
      </c>
      <c r="K127" s="67">
        <f>'F&amp;B'!$F$167</f>
        <v>37800</v>
      </c>
      <c r="L127" s="67">
        <f t="shared" si="23"/>
        <v>378</v>
      </c>
    </row>
    <row r="128" ht="14.25" customHeight="1">
      <c r="A128" s="75" t="s">
        <v>572</v>
      </c>
      <c r="B128" s="68">
        <v>0.1</v>
      </c>
      <c r="C128" s="76">
        <f> 'F&amp;B'!F259</f>
        <v>13867.5</v>
      </c>
      <c r="D128" s="67">
        <f t="shared" si="22"/>
        <v>1386.75</v>
      </c>
      <c r="I128" s="75" t="s">
        <v>576</v>
      </c>
      <c r="J128" s="68">
        <v>0.02</v>
      </c>
      <c r="K128" s="76">
        <f>K114</f>
        <v>58500</v>
      </c>
      <c r="L128" s="67">
        <f t="shared" si="23"/>
        <v>1170</v>
      </c>
    </row>
    <row r="129" ht="14.25" customHeight="1">
      <c r="A129" s="75" t="s">
        <v>332</v>
      </c>
      <c r="B129" s="68">
        <v>0.005</v>
      </c>
      <c r="C129" s="76">
        <f>C76</f>
        <v>42300</v>
      </c>
      <c r="D129" s="67">
        <f t="shared" si="22"/>
        <v>211.5</v>
      </c>
      <c r="I129" s="75"/>
      <c r="J129" s="68"/>
      <c r="K129" s="76"/>
      <c r="L129" s="67"/>
    </row>
    <row r="130" ht="14.25" customHeight="1">
      <c r="A130" s="75" t="s">
        <v>54</v>
      </c>
      <c r="B130" s="220">
        <v>2.0</v>
      </c>
      <c r="C130" s="76">
        <f>C39</f>
        <v>8250</v>
      </c>
      <c r="D130" s="67">
        <f t="shared" si="22"/>
        <v>16500</v>
      </c>
      <c r="I130" s="75"/>
      <c r="J130" s="68"/>
      <c r="K130" s="76"/>
      <c r="L130" s="67"/>
    </row>
    <row r="131" ht="14.25" customHeight="1">
      <c r="B131" s="68"/>
      <c r="C131" s="76"/>
      <c r="D131" s="67"/>
      <c r="I131" s="75"/>
      <c r="J131" s="68"/>
      <c r="K131" s="76"/>
      <c r="L131" s="67"/>
    </row>
    <row r="132" ht="14.25" customHeight="1">
      <c r="A132" s="22" t="s">
        <v>84</v>
      </c>
      <c r="B132" s="109"/>
      <c r="C132" s="109"/>
      <c r="D132" s="110">
        <f>IF(SUM(D124:D131)=0,"",SUM(D124:D131))</f>
        <v>183664.95</v>
      </c>
      <c r="I132" s="22" t="s">
        <v>84</v>
      </c>
      <c r="J132" s="109"/>
      <c r="K132" s="109"/>
      <c r="L132" s="110">
        <f>IF(SUM(L124:L131)=0,"",SUM(L124:L131))</f>
        <v>90676.84615</v>
      </c>
    </row>
    <row r="133" ht="14.25" customHeight="1">
      <c r="A133" s="111" t="s">
        <v>102</v>
      </c>
      <c r="B133" s="108">
        <f>IF(D133="","",IF(ISBLANK(C133),"",D133/C133))</f>
        <v>0.08043720438</v>
      </c>
      <c r="C133" s="110">
        <v>25000.0</v>
      </c>
      <c r="D133" s="173">
        <f>D122*0.045</f>
        <v>2010.930109</v>
      </c>
      <c r="I133" s="111" t="s">
        <v>102</v>
      </c>
      <c r="J133" s="108">
        <f>IF(L133="","",IF(ISBLANK(K133),"",L133/K133))</f>
        <v>0.06518303637</v>
      </c>
      <c r="K133" s="110">
        <v>20000.0</v>
      </c>
      <c r="L133" s="173">
        <f>L122*0.045</f>
        <v>1303.660727</v>
      </c>
    </row>
    <row r="134" ht="14.25" customHeight="1">
      <c r="A134" s="111"/>
      <c r="B134" s="108"/>
      <c r="C134" s="110"/>
      <c r="D134" s="223">
        <f>D133/90000</f>
        <v>0.02234366788</v>
      </c>
      <c r="I134" s="111"/>
      <c r="J134" s="108"/>
      <c r="K134" s="110"/>
      <c r="L134" s="110"/>
    </row>
    <row r="135" ht="14.25" customHeight="1">
      <c r="A135" s="111"/>
      <c r="B135" s="108"/>
      <c r="C135" s="110"/>
      <c r="D135" s="110"/>
      <c r="I135" s="111"/>
      <c r="J135" s="108"/>
      <c r="K135" s="110"/>
      <c r="L135" s="110"/>
    </row>
    <row r="136" ht="14.25" customHeight="1"/>
    <row r="137" ht="14.25" customHeight="1">
      <c r="A137" s="22" t="s">
        <v>598</v>
      </c>
      <c r="B137" s="26">
        <v>22.13</v>
      </c>
      <c r="C137" s="27" t="s">
        <v>14</v>
      </c>
      <c r="D137" s="166">
        <f>D151/B137</f>
        <v>32710.58771</v>
      </c>
      <c r="E137" s="58">
        <f>D137/90000</f>
        <v>0.3634509746</v>
      </c>
    </row>
    <row r="138" ht="14.25" customHeight="1">
      <c r="A138" s="52" t="s">
        <v>42</v>
      </c>
      <c r="B138" s="54" t="s">
        <v>3</v>
      </c>
      <c r="C138" s="54" t="s">
        <v>44</v>
      </c>
      <c r="D138" s="56" t="s">
        <v>35</v>
      </c>
      <c r="I138" s="224" t="s">
        <v>604</v>
      </c>
      <c r="J138" s="27">
        <v>19.0</v>
      </c>
      <c r="K138" s="27" t="s">
        <v>14</v>
      </c>
      <c r="L138" s="166" t="str">
        <f>L145/J138</f>
        <v>#REF!</v>
      </c>
    </row>
    <row r="139" ht="14.25" customHeight="1">
      <c r="A139" s="60" t="s">
        <v>562</v>
      </c>
      <c r="B139" s="68">
        <v>4.0</v>
      </c>
      <c r="C139" s="67">
        <f>C126</f>
        <v>108900</v>
      </c>
      <c r="D139" s="67">
        <f t="shared" ref="D139:D150" si="24">B139*C139</f>
        <v>435600</v>
      </c>
      <c r="I139" s="52" t="s">
        <v>42</v>
      </c>
      <c r="J139" s="54" t="s">
        <v>3</v>
      </c>
      <c r="K139" s="54" t="s">
        <v>44</v>
      </c>
      <c r="L139" s="56" t="s">
        <v>35</v>
      </c>
    </row>
    <row r="140" ht="14.25" customHeight="1">
      <c r="A140" s="60" t="s">
        <v>56</v>
      </c>
      <c r="B140" s="68">
        <v>4.0</v>
      </c>
      <c r="C140" s="67">
        <f>C5</f>
        <v>58500</v>
      </c>
      <c r="D140" s="67">
        <f t="shared" si="24"/>
        <v>234000</v>
      </c>
      <c r="I140" s="60" t="s">
        <v>614</v>
      </c>
      <c r="J140" s="68">
        <v>18.0</v>
      </c>
      <c r="K140" s="67">
        <f>'F&amp;B'!$F$210</f>
        <v>67500</v>
      </c>
      <c r="L140" s="67">
        <f t="shared" ref="L140:L144" si="25">J140*K140</f>
        <v>1215000</v>
      </c>
    </row>
    <row r="141" ht="14.25" customHeight="1">
      <c r="A141" s="60" t="s">
        <v>86</v>
      </c>
      <c r="B141" s="68">
        <v>2.0</v>
      </c>
      <c r="C141" s="67">
        <f>C10</f>
        <v>13050</v>
      </c>
      <c r="D141" s="67">
        <f t="shared" si="24"/>
        <v>26100</v>
      </c>
      <c r="I141" s="60" t="s">
        <v>620</v>
      </c>
      <c r="J141" s="68">
        <v>1.0</v>
      </c>
      <c r="K141" s="67" t="str">
        <f>'[1]F&amp;B'!$F$93</f>
        <v>#REF!</v>
      </c>
      <c r="L141" s="67" t="str">
        <f t="shared" si="25"/>
        <v>#REF!</v>
      </c>
    </row>
    <row r="142" ht="14.25" customHeight="1">
      <c r="A142" s="60" t="s">
        <v>624</v>
      </c>
      <c r="B142" s="68">
        <v>0.03</v>
      </c>
      <c r="C142" s="67">
        <f>'F&amp;B'!$F$182</f>
        <v>52020</v>
      </c>
      <c r="D142" s="67">
        <f t="shared" si="24"/>
        <v>1560.6</v>
      </c>
      <c r="I142" s="60"/>
      <c r="J142" s="68"/>
      <c r="K142" s="67"/>
      <c r="L142" s="67">
        <f t="shared" si="25"/>
        <v>0</v>
      </c>
    </row>
    <row r="143" ht="14.25" customHeight="1">
      <c r="A143" s="75" t="s">
        <v>567</v>
      </c>
      <c r="B143" s="68">
        <v>0.03</v>
      </c>
      <c r="C143" s="76">
        <f>'F&amp;B'!$F$160</f>
        <v>47340</v>
      </c>
      <c r="D143" s="67">
        <f t="shared" si="24"/>
        <v>1420.2</v>
      </c>
      <c r="I143" s="75"/>
      <c r="J143" s="68"/>
      <c r="K143" s="76"/>
      <c r="L143" s="67">
        <f t="shared" si="25"/>
        <v>0</v>
      </c>
    </row>
    <row r="144" ht="14.25" customHeight="1">
      <c r="A144" s="75" t="s">
        <v>82</v>
      </c>
      <c r="B144" s="68">
        <v>0.03</v>
      </c>
      <c r="C144" s="76">
        <f>C12</f>
        <v>51750</v>
      </c>
      <c r="D144" s="67">
        <f t="shared" si="24"/>
        <v>1552.5</v>
      </c>
      <c r="I144" s="75"/>
      <c r="J144" s="68"/>
      <c r="K144" s="76"/>
      <c r="L144" s="67">
        <f t="shared" si="25"/>
        <v>0</v>
      </c>
    </row>
    <row r="145" ht="14.25" customHeight="1">
      <c r="A145" s="75" t="s">
        <v>631</v>
      </c>
      <c r="B145" s="68">
        <v>0.01</v>
      </c>
      <c r="C145" s="76">
        <f>'F&amp;B'!$F$180</f>
        <v>37800</v>
      </c>
      <c r="D145" s="67">
        <f t="shared" si="24"/>
        <v>378</v>
      </c>
      <c r="I145" s="75"/>
      <c r="J145" s="68"/>
      <c r="K145" s="76"/>
      <c r="L145" s="110" t="str">
        <f>IF(SUM(L139:L144)=0,"",SUM(L139:L144))</f>
        <v>#REF!</v>
      </c>
    </row>
    <row r="146" ht="14.25" customHeight="1">
      <c r="A146" s="75" t="s">
        <v>636</v>
      </c>
      <c r="B146" s="68">
        <v>0.5</v>
      </c>
      <c r="C146" s="76">
        <f>'F&amp;B'!$F$311</f>
        <v>2970</v>
      </c>
      <c r="D146" s="67">
        <f t="shared" si="24"/>
        <v>1485</v>
      </c>
      <c r="I146" s="22" t="s">
        <v>637</v>
      </c>
      <c r="J146" s="109" t="s">
        <v>638</v>
      </c>
      <c r="K146" s="109" t="s">
        <v>639</v>
      </c>
      <c r="L146" s="110" t="s">
        <v>44</v>
      </c>
    </row>
    <row r="147" ht="14.25" customHeight="1">
      <c r="A147" s="75" t="s">
        <v>569</v>
      </c>
      <c r="B147" s="68">
        <v>0.05</v>
      </c>
      <c r="C147" s="76">
        <f t="shared" ref="C147:C148" si="26">K127</f>
        <v>37800</v>
      </c>
      <c r="D147" s="67">
        <f t="shared" si="24"/>
        <v>1890</v>
      </c>
      <c r="I147" s="111">
        <v>130.0</v>
      </c>
      <c r="J147" s="233" t="str">
        <f>L138/#REF!</f>
        <v>#REF!</v>
      </c>
      <c r="K147" s="235">
        <f t="shared" ref="K147:K148" si="27">1000/I147</f>
        <v>7.692307692</v>
      </c>
      <c r="L147" s="236" t="str">
        <f>L138/K147</f>
        <v>#REF!</v>
      </c>
    </row>
    <row r="148" ht="14.25" customHeight="1">
      <c r="A148" s="75" t="s">
        <v>58</v>
      </c>
      <c r="B148" s="68">
        <v>0.05</v>
      </c>
      <c r="C148" s="76">
        <f t="shared" si="26"/>
        <v>58500</v>
      </c>
      <c r="D148" s="67">
        <f t="shared" si="24"/>
        <v>2925</v>
      </c>
      <c r="I148" s="111">
        <v>80.0</v>
      </c>
      <c r="J148" s="233" t="str">
        <f>L148/'[1]F&amp;B'!F13</f>
        <v>#REF!</v>
      </c>
      <c r="K148" s="235">
        <f t="shared" si="27"/>
        <v>12.5</v>
      </c>
      <c r="L148" s="236" t="str">
        <f>L138/K148</f>
        <v>#REF!</v>
      </c>
    </row>
    <row r="149" ht="14.25" customHeight="1">
      <c r="A149" s="75" t="s">
        <v>66</v>
      </c>
      <c r="B149" s="68">
        <v>0.18</v>
      </c>
      <c r="C149" s="76">
        <f>K124</f>
        <v>12150</v>
      </c>
      <c r="D149" s="67">
        <f t="shared" si="24"/>
        <v>2187</v>
      </c>
      <c r="I149" s="239" t="s">
        <v>655</v>
      </c>
      <c r="K149" s="111"/>
      <c r="L149" s="240"/>
    </row>
    <row r="150" ht="14.25" customHeight="1">
      <c r="A150" s="75" t="s">
        <v>429</v>
      </c>
      <c r="B150" s="68">
        <v>0.25</v>
      </c>
      <c r="C150" s="76">
        <f>D95</f>
        <v>59148.02411</v>
      </c>
      <c r="D150" s="67">
        <f t="shared" si="24"/>
        <v>14787.00603</v>
      </c>
      <c r="E150" s="58">
        <f>C150/90000</f>
        <v>0.6572002679</v>
      </c>
      <c r="I150" s="241" t="s">
        <v>637</v>
      </c>
      <c r="J150" s="242" t="s">
        <v>638</v>
      </c>
      <c r="K150" s="242" t="s">
        <v>639</v>
      </c>
      <c r="L150" s="243" t="s">
        <v>44</v>
      </c>
    </row>
    <row r="151" ht="14.25" customHeight="1">
      <c r="A151" s="22" t="s">
        <v>84</v>
      </c>
      <c r="B151" s="109"/>
      <c r="C151" s="109"/>
      <c r="D151" s="110">
        <f>IF(SUM(D139:D150)=0,"",SUM(D139:D150))</f>
        <v>723885.306</v>
      </c>
      <c r="I151" s="111">
        <v>120.0</v>
      </c>
      <c r="J151" s="233">
        <f t="shared" ref="J151:J152" si="28">7/K151</f>
        <v>0.84</v>
      </c>
      <c r="K151" s="235">
        <f t="shared" ref="K151:K152" si="29">1000/I151</f>
        <v>8.333333333</v>
      </c>
      <c r="L151" s="236" t="str">
        <f>J151*'[1]F&amp;B'!F13</f>
        <v>#REF!</v>
      </c>
    </row>
    <row r="152" ht="14.25" customHeight="1">
      <c r="A152" s="111" t="s">
        <v>102</v>
      </c>
      <c r="B152" s="108">
        <f>IF(D152="","",IF(ISBLANK(C152),"",D152/C152))</f>
        <v>0.05887905788</v>
      </c>
      <c r="C152" s="110">
        <v>25000.0</v>
      </c>
      <c r="D152" s="236">
        <f>D137*0.045</f>
        <v>1471.976447</v>
      </c>
      <c r="I152" s="111">
        <v>80.0</v>
      </c>
      <c r="J152" s="233">
        <f t="shared" si="28"/>
        <v>0.56</v>
      </c>
      <c r="K152" s="235">
        <f t="shared" si="29"/>
        <v>12.5</v>
      </c>
      <c r="L152" s="236" t="str">
        <f>J152*'[1]F&amp;B'!F13</f>
        <v>#REF!</v>
      </c>
    </row>
    <row r="153" ht="14.25" customHeight="1"/>
    <row r="154" ht="14.25" customHeight="1"/>
    <row r="155" ht="14.25" customHeight="1">
      <c r="A155" s="22" t="s">
        <v>672</v>
      </c>
      <c r="B155" s="27">
        <v>4.92</v>
      </c>
      <c r="C155" s="27" t="s">
        <v>14</v>
      </c>
      <c r="D155" s="166" t="str">
        <f>D169/B155</f>
        <v>#REF!</v>
      </c>
      <c r="I155" s="22" t="s">
        <v>676</v>
      </c>
      <c r="J155" s="27">
        <v>4.02</v>
      </c>
      <c r="K155" s="27" t="s">
        <v>14</v>
      </c>
      <c r="L155" s="166" t="str">
        <f>L169/J155</f>
        <v>#REF!</v>
      </c>
    </row>
    <row r="156" ht="14.25" customHeight="1">
      <c r="A156" s="52" t="s">
        <v>42</v>
      </c>
      <c r="B156" s="54" t="s">
        <v>3</v>
      </c>
      <c r="C156" s="54" t="s">
        <v>44</v>
      </c>
      <c r="D156" s="56" t="s">
        <v>35</v>
      </c>
      <c r="I156" s="52" t="s">
        <v>42</v>
      </c>
      <c r="J156" s="54" t="s">
        <v>3</v>
      </c>
      <c r="K156" s="54" t="s">
        <v>44</v>
      </c>
      <c r="L156" s="56" t="s">
        <v>35</v>
      </c>
    </row>
    <row r="157" ht="14.25" customHeight="1">
      <c r="A157" s="60" t="s">
        <v>58</v>
      </c>
      <c r="B157" s="68">
        <v>0.06</v>
      </c>
      <c r="C157" s="67">
        <f>'F&amp;B'!F143/25</f>
        <v>2340</v>
      </c>
      <c r="D157" s="67">
        <f t="shared" ref="D157:D168" si="30">B157*C157</f>
        <v>140.4</v>
      </c>
      <c r="I157" s="60" t="s">
        <v>58</v>
      </c>
      <c r="J157" s="68">
        <v>0.06</v>
      </c>
      <c r="K157" s="67">
        <f>C157</f>
        <v>2340</v>
      </c>
      <c r="L157" s="67">
        <f t="shared" ref="L157:L168" si="31">J157*K157</f>
        <v>140.4</v>
      </c>
    </row>
    <row r="158" ht="14.25" customHeight="1">
      <c r="A158" s="60" t="s">
        <v>672</v>
      </c>
      <c r="B158" s="68">
        <v>3.0</v>
      </c>
      <c r="C158" s="67">
        <f>'F&amp;B'!F132/25</f>
        <v>1044</v>
      </c>
      <c r="D158" s="67">
        <f t="shared" si="30"/>
        <v>3132</v>
      </c>
      <c r="I158" s="60" t="s">
        <v>684</v>
      </c>
      <c r="J158" s="68">
        <v>3.0</v>
      </c>
      <c r="K158" s="67">
        <f>'F&amp;B'!F312</f>
        <v>16200</v>
      </c>
      <c r="L158" s="67">
        <f t="shared" si="31"/>
        <v>48600</v>
      </c>
    </row>
    <row r="159" ht="14.25" customHeight="1">
      <c r="A159" s="60" t="s">
        <v>687</v>
      </c>
      <c r="B159" s="68">
        <v>0.825</v>
      </c>
      <c r="C159" s="67">
        <f>'F&amp;B'!F61/5</f>
        <v>45000</v>
      </c>
      <c r="D159" s="67">
        <f t="shared" si="30"/>
        <v>37125</v>
      </c>
      <c r="I159" s="60" t="s">
        <v>687</v>
      </c>
      <c r="J159" s="68">
        <v>0.825</v>
      </c>
      <c r="K159" s="67">
        <f t="shared" ref="K159:K160" si="32">C159</f>
        <v>45000</v>
      </c>
      <c r="L159" s="67">
        <f t="shared" si="31"/>
        <v>37125</v>
      </c>
    </row>
    <row r="160" ht="14.25" customHeight="1">
      <c r="A160" s="60" t="s">
        <v>691</v>
      </c>
      <c r="B160" s="68">
        <v>0.035</v>
      </c>
      <c r="C160" s="67">
        <f>'F&amp;B'!F161</f>
        <v>7830</v>
      </c>
      <c r="D160" s="67">
        <f t="shared" si="30"/>
        <v>274.05</v>
      </c>
      <c r="I160" s="60" t="s">
        <v>693</v>
      </c>
      <c r="J160" s="68">
        <v>0.035</v>
      </c>
      <c r="K160" s="67">
        <f t="shared" si="32"/>
        <v>7830</v>
      </c>
      <c r="L160" s="67">
        <f t="shared" si="31"/>
        <v>274.05</v>
      </c>
    </row>
    <row r="161" ht="14.25" customHeight="1">
      <c r="A161" s="75" t="s">
        <v>54</v>
      </c>
      <c r="B161" s="68">
        <v>0.9</v>
      </c>
      <c r="C161" s="76">
        <f>'F&amp;B'!F57/18</f>
        <v>8250</v>
      </c>
      <c r="D161" s="67">
        <f t="shared" si="30"/>
        <v>7425</v>
      </c>
      <c r="I161" s="75" t="s">
        <v>78</v>
      </c>
      <c r="J161" s="68">
        <v>0.1</v>
      </c>
      <c r="K161" s="76"/>
      <c r="L161" s="67">
        <f t="shared" si="31"/>
        <v>0</v>
      </c>
    </row>
    <row r="162" ht="14.25" customHeight="1">
      <c r="A162" s="75" t="s">
        <v>78</v>
      </c>
      <c r="B162" s="68">
        <v>0.1</v>
      </c>
      <c r="C162" s="76"/>
      <c r="D162" s="67">
        <f t="shared" si="30"/>
        <v>0</v>
      </c>
      <c r="I162" s="75" t="s">
        <v>51</v>
      </c>
      <c r="J162" s="68">
        <v>0.12</v>
      </c>
      <c r="K162" s="76" t="str">
        <f>'UTL COST'!E4*#REF!</f>
        <v>#REF!</v>
      </c>
      <c r="L162" s="67" t="str">
        <f t="shared" si="31"/>
        <v>#REF!</v>
      </c>
    </row>
    <row r="163" ht="14.25" customHeight="1">
      <c r="A163" s="75" t="s">
        <v>51</v>
      </c>
      <c r="B163" s="68">
        <v>0.12</v>
      </c>
      <c r="C163" s="76" t="str">
        <f>'UTL COST'!E4*#REF!</f>
        <v>#REF!</v>
      </c>
      <c r="D163" s="67" t="str">
        <f t="shared" si="30"/>
        <v>#REF!</v>
      </c>
      <c r="I163" s="75"/>
      <c r="J163" s="68"/>
      <c r="K163" s="76"/>
      <c r="L163" s="67">
        <f t="shared" si="31"/>
        <v>0</v>
      </c>
    </row>
    <row r="164" ht="14.25" customHeight="1">
      <c r="A164" s="75"/>
      <c r="B164" s="68"/>
      <c r="C164" s="76"/>
      <c r="D164" s="67">
        <f t="shared" si="30"/>
        <v>0</v>
      </c>
      <c r="I164" s="75"/>
      <c r="J164" s="68"/>
      <c r="K164" s="76"/>
      <c r="L164" s="67">
        <f t="shared" si="31"/>
        <v>0</v>
      </c>
    </row>
    <row r="165" ht="14.25" customHeight="1">
      <c r="A165" s="75"/>
      <c r="B165" s="68"/>
      <c r="C165" s="76"/>
      <c r="D165" s="67">
        <f t="shared" si="30"/>
        <v>0</v>
      </c>
      <c r="I165" s="75"/>
      <c r="J165" s="68"/>
      <c r="K165" s="76"/>
      <c r="L165" s="67">
        <f t="shared" si="31"/>
        <v>0</v>
      </c>
    </row>
    <row r="166" ht="14.25" customHeight="1">
      <c r="A166" s="75"/>
      <c r="B166" s="68"/>
      <c r="C166" s="76"/>
      <c r="D166" s="67">
        <f t="shared" si="30"/>
        <v>0</v>
      </c>
      <c r="I166" s="75"/>
      <c r="J166" s="68"/>
      <c r="K166" s="76"/>
      <c r="L166" s="67">
        <f t="shared" si="31"/>
        <v>0</v>
      </c>
    </row>
    <row r="167" ht="14.25" customHeight="1">
      <c r="A167" s="75"/>
      <c r="B167" s="68"/>
      <c r="C167" s="76"/>
      <c r="D167" s="67">
        <f t="shared" si="30"/>
        <v>0</v>
      </c>
      <c r="I167" s="75"/>
      <c r="J167" s="68"/>
      <c r="K167" s="76"/>
      <c r="L167" s="67">
        <f t="shared" si="31"/>
        <v>0</v>
      </c>
    </row>
    <row r="168" ht="14.25" customHeight="1">
      <c r="A168" s="75"/>
      <c r="B168" s="68"/>
      <c r="C168" s="76"/>
      <c r="D168" s="67">
        <f t="shared" si="30"/>
        <v>0</v>
      </c>
      <c r="I168" s="75"/>
      <c r="J168" s="68"/>
      <c r="K168" s="76"/>
      <c r="L168" s="67">
        <f t="shared" si="31"/>
        <v>0</v>
      </c>
    </row>
    <row r="169" ht="14.25" customHeight="1">
      <c r="A169" s="22" t="s">
        <v>84</v>
      </c>
      <c r="B169" s="109"/>
      <c r="C169" s="109"/>
      <c r="D169" s="110" t="str">
        <f>IF(SUM(D157:D168)=0,"",SUM(D157:D168))</f>
        <v>#REF!</v>
      </c>
      <c r="E169" s="58" t="str">
        <f>D169/90000</f>
        <v>#REF!</v>
      </c>
      <c r="I169" s="22" t="s">
        <v>84</v>
      </c>
      <c r="J169" s="109"/>
      <c r="K169" s="109"/>
      <c r="L169" s="110" t="str">
        <f>IF(SUM(L157:L168)=0,"",SUM(L157:L168))</f>
        <v>#REF!</v>
      </c>
      <c r="M169" s="58" t="str">
        <f>L169/90000</f>
        <v>#REF!</v>
      </c>
    </row>
    <row r="170" ht="14.25" customHeight="1">
      <c r="A170" s="111" t="s">
        <v>102</v>
      </c>
      <c r="B170" s="108" t="str">
        <f>IF(D170="","",IF(ISBLANK(C170),"",D170/C170))</f>
        <v>#REF!</v>
      </c>
      <c r="C170" s="110">
        <v>80000.0</v>
      </c>
      <c r="D170" s="236" t="str">
        <f>D155*0.045</f>
        <v>#REF!</v>
      </c>
      <c r="I170" s="111" t="s">
        <v>102</v>
      </c>
      <c r="J170" s="108" t="str">
        <f>IF(L170="","",IF(ISBLANK(K170),"",L170/K170))</f>
        <v>#REF!</v>
      </c>
      <c r="K170" s="110">
        <v>18000.0</v>
      </c>
      <c r="L170" s="236" t="str">
        <f>L155*0.045</f>
        <v>#REF!</v>
      </c>
    </row>
    <row r="171" ht="14.25" customHeight="1"/>
    <row r="172" ht="14.25" customHeight="1">
      <c r="A172" s="22" t="s">
        <v>718</v>
      </c>
      <c r="B172" s="26">
        <v>1.6</v>
      </c>
      <c r="C172" s="27" t="s">
        <v>14</v>
      </c>
      <c r="D172" s="166">
        <f>D182/B172</f>
        <v>65027.16346</v>
      </c>
      <c r="E172" s="58">
        <f>D172/90000</f>
        <v>0.7225240385</v>
      </c>
      <c r="I172" s="22" t="s">
        <v>720</v>
      </c>
      <c r="J172" s="26">
        <v>8.75</v>
      </c>
      <c r="K172" s="27" t="s">
        <v>14</v>
      </c>
      <c r="L172" s="166">
        <f>L182/J172</f>
        <v>37152</v>
      </c>
    </row>
    <row r="173" ht="14.25" customHeight="1">
      <c r="A173" s="52" t="s">
        <v>42</v>
      </c>
      <c r="B173" s="54" t="s">
        <v>3</v>
      </c>
      <c r="C173" s="54" t="s">
        <v>44</v>
      </c>
      <c r="D173" s="56" t="s">
        <v>35</v>
      </c>
      <c r="I173" s="52" t="s">
        <v>42</v>
      </c>
      <c r="J173" s="54" t="s">
        <v>3</v>
      </c>
      <c r="K173" s="54" t="s">
        <v>44</v>
      </c>
      <c r="L173" s="56" t="s">
        <v>35</v>
      </c>
    </row>
    <row r="174" ht="14.25" customHeight="1">
      <c r="A174" s="60" t="s">
        <v>723</v>
      </c>
      <c r="B174" s="68">
        <v>15.0</v>
      </c>
      <c r="C174" s="67">
        <f>'F&amp;B'!F298</f>
        <v>2970</v>
      </c>
      <c r="D174" s="67">
        <f t="shared" ref="D174:D179" si="33">B174*C174</f>
        <v>44550</v>
      </c>
      <c r="I174" s="60" t="s">
        <v>725</v>
      </c>
      <c r="J174" s="68">
        <v>3.75</v>
      </c>
      <c r="K174" s="67">
        <f>'F&amp;B'!$F$258/J174</f>
        <v>55440</v>
      </c>
      <c r="L174" s="67">
        <f t="shared" ref="L174:L176" si="34">J174*K174</f>
        <v>207900</v>
      </c>
    </row>
    <row r="175" ht="14.25" customHeight="1">
      <c r="A175" s="60" t="s">
        <v>372</v>
      </c>
      <c r="B175" s="68">
        <v>0.25</v>
      </c>
      <c r="C175" s="67">
        <f>K81</f>
        <v>58500</v>
      </c>
      <c r="D175" s="67">
        <f t="shared" si="33"/>
        <v>14625</v>
      </c>
      <c r="I175" s="60" t="s">
        <v>728</v>
      </c>
      <c r="J175" s="68">
        <v>2.0</v>
      </c>
      <c r="K175" s="67">
        <f>'F&amp;B'!$F$79/25</f>
        <v>14040</v>
      </c>
      <c r="L175" s="67">
        <f t="shared" si="34"/>
        <v>28080</v>
      </c>
    </row>
    <row r="176" ht="14.25" customHeight="1">
      <c r="A176" s="60" t="s">
        <v>60</v>
      </c>
      <c r="B176" s="68">
        <v>0.1</v>
      </c>
      <c r="C176" s="67">
        <f>'F&amp;B'!$F$103</f>
        <v>148500</v>
      </c>
      <c r="D176" s="67">
        <f t="shared" si="33"/>
        <v>14850</v>
      </c>
      <c r="I176" s="60" t="s">
        <v>733</v>
      </c>
      <c r="J176" s="68">
        <v>6.0</v>
      </c>
      <c r="K176" s="67">
        <f>'F&amp;B'!$F$131</f>
        <v>14850</v>
      </c>
      <c r="L176" s="67">
        <f t="shared" si="34"/>
        <v>89100</v>
      </c>
    </row>
    <row r="177" ht="14.25" customHeight="1">
      <c r="A177" s="60" t="s">
        <v>176</v>
      </c>
      <c r="B177" s="68">
        <v>0.5</v>
      </c>
      <c r="C177" s="67">
        <f>C41</f>
        <v>38076.92308</v>
      </c>
      <c r="D177" s="67">
        <f t="shared" si="33"/>
        <v>19038.46154</v>
      </c>
      <c r="I177" s="60"/>
      <c r="J177" s="68"/>
      <c r="K177" s="67"/>
      <c r="L177" s="67"/>
    </row>
    <row r="178" ht="14.25" customHeight="1">
      <c r="A178" s="75" t="s">
        <v>62</v>
      </c>
      <c r="B178" s="68">
        <v>0.1</v>
      </c>
      <c r="C178" s="76">
        <f>'F&amp;B'!F292</f>
        <v>19800</v>
      </c>
      <c r="D178" s="67">
        <f t="shared" si="33"/>
        <v>1980</v>
      </c>
      <c r="I178" s="75"/>
      <c r="J178" s="68"/>
      <c r="K178" s="76"/>
      <c r="L178" s="67"/>
    </row>
    <row r="179" ht="14.25" customHeight="1">
      <c r="A179" s="75" t="s">
        <v>738</v>
      </c>
      <c r="B179" s="68">
        <v>0.1</v>
      </c>
      <c r="C179" s="76">
        <f>'F&amp;B'!F136</f>
        <v>90000</v>
      </c>
      <c r="D179" s="67">
        <f t="shared" si="33"/>
        <v>9000</v>
      </c>
      <c r="I179" s="75"/>
      <c r="J179" s="68"/>
      <c r="K179" s="76"/>
      <c r="L179" s="67"/>
    </row>
    <row r="180" ht="14.25" customHeight="1">
      <c r="A180" s="75"/>
      <c r="B180" s="68"/>
      <c r="C180" s="76"/>
      <c r="D180" s="67"/>
      <c r="I180" s="75"/>
      <c r="J180" s="68"/>
      <c r="K180" s="76"/>
      <c r="L180" s="67"/>
    </row>
    <row r="181" ht="14.25" customHeight="1">
      <c r="A181" s="75"/>
      <c r="B181" s="68"/>
      <c r="C181" s="76"/>
      <c r="D181" s="67"/>
      <c r="I181" s="75"/>
      <c r="J181" s="68"/>
      <c r="K181" s="76"/>
      <c r="L181" s="67"/>
    </row>
    <row r="182" ht="14.25" customHeight="1">
      <c r="A182" s="22" t="s">
        <v>84</v>
      </c>
      <c r="B182" s="109"/>
      <c r="C182" s="109"/>
      <c r="D182" s="110">
        <f>IF(SUM(D174:D181)=0,"",SUM(D174:D181))</f>
        <v>104043.4615</v>
      </c>
      <c r="I182" s="22" t="s">
        <v>84</v>
      </c>
      <c r="J182" s="109"/>
      <c r="K182" s="109"/>
      <c r="L182" s="110">
        <f>IF(SUM(L174:L181)=0,"",SUM(L174:L181))</f>
        <v>325080</v>
      </c>
    </row>
    <row r="183" ht="14.25" customHeight="1">
      <c r="A183" s="111" t="s">
        <v>102</v>
      </c>
      <c r="B183" s="108">
        <f>IF(D183="","",IF(ISBLANK(C183),"",D183/C183))</f>
        <v>0.1170488942</v>
      </c>
      <c r="C183" s="110">
        <v>25000.0</v>
      </c>
      <c r="D183" s="236">
        <f>D172*0.045</f>
        <v>2926.222356</v>
      </c>
      <c r="I183" s="111" t="s">
        <v>102</v>
      </c>
      <c r="J183" s="108">
        <f>IF(L183="","",IF(ISBLANK(K183),"",L183/K183))</f>
        <v>0.0668736</v>
      </c>
      <c r="K183" s="110">
        <v>25000.0</v>
      </c>
      <c r="L183" s="236">
        <f>L172*0.045</f>
        <v>1671.84</v>
      </c>
    </row>
    <row r="184" ht="14.25" customHeight="1">
      <c r="A184" s="111"/>
      <c r="B184" s="108"/>
      <c r="C184" s="110"/>
      <c r="D184" s="261"/>
      <c r="I184" s="111"/>
      <c r="J184" s="108"/>
      <c r="K184" s="110"/>
      <c r="L184" s="236"/>
    </row>
    <row r="185" ht="14.25" customHeight="1">
      <c r="A185" s="22" t="s">
        <v>760</v>
      </c>
      <c r="B185" s="26">
        <v>4.8</v>
      </c>
      <c r="C185" s="27" t="s">
        <v>14</v>
      </c>
      <c r="D185" s="166">
        <f>D195/B185</f>
        <v>170896.125</v>
      </c>
      <c r="E185" s="58">
        <f>D185/90000</f>
        <v>1.898845833</v>
      </c>
    </row>
    <row r="186" ht="14.25" customHeight="1">
      <c r="A186" s="52" t="s">
        <v>42</v>
      </c>
      <c r="B186" s="54" t="s">
        <v>3</v>
      </c>
      <c r="C186" s="54" t="s">
        <v>44</v>
      </c>
      <c r="D186" s="56" t="s">
        <v>35</v>
      </c>
      <c r="I186" s="22" t="s">
        <v>765</v>
      </c>
      <c r="J186" s="27">
        <v>5.42</v>
      </c>
      <c r="K186" s="27" t="s">
        <v>14</v>
      </c>
      <c r="L186" s="166">
        <f>L196/J186</f>
        <v>37140.77491</v>
      </c>
      <c r="M186" s="58">
        <f>L186/90000</f>
        <v>0.4126752768</v>
      </c>
    </row>
    <row r="187" ht="14.25" customHeight="1">
      <c r="A187" s="60" t="s">
        <v>53</v>
      </c>
      <c r="B187" s="68">
        <v>1.0</v>
      </c>
      <c r="C187" s="67">
        <f>C139</f>
        <v>108900</v>
      </c>
      <c r="D187" s="67">
        <f t="shared" ref="D187:D194" si="35">B187*C187</f>
        <v>108900</v>
      </c>
      <c r="I187" s="52" t="s">
        <v>42</v>
      </c>
      <c r="J187" s="54" t="s">
        <v>3</v>
      </c>
      <c r="K187" s="54" t="s">
        <v>44</v>
      </c>
      <c r="L187" s="56" t="s">
        <v>35</v>
      </c>
    </row>
    <row r="188" ht="14.25" customHeight="1">
      <c r="A188" s="60" t="s">
        <v>773</v>
      </c>
      <c r="B188" s="68">
        <v>2.0</v>
      </c>
      <c r="C188" s="67">
        <f>'F&amp;B'!$F$263*2.08</f>
        <v>350064</v>
      </c>
      <c r="D188" s="67">
        <f t="shared" si="35"/>
        <v>700128</v>
      </c>
      <c r="I188" s="60" t="s">
        <v>53</v>
      </c>
      <c r="J188" s="68">
        <v>3.78</v>
      </c>
      <c r="K188" s="67">
        <f>'F&amp;B'!$F$250/3.78</f>
        <v>28809.52381</v>
      </c>
      <c r="L188" s="67">
        <f t="shared" ref="L188:L195" si="36">J188*K188</f>
        <v>108900</v>
      </c>
    </row>
    <row r="189" ht="14.25" customHeight="1">
      <c r="A189" s="60" t="s">
        <v>567</v>
      </c>
      <c r="B189" s="68">
        <v>0.01</v>
      </c>
      <c r="C189" s="67">
        <f>'F&amp;B'!$F$160</f>
        <v>47340</v>
      </c>
      <c r="D189" s="67">
        <f t="shared" si="35"/>
        <v>473.4</v>
      </c>
      <c r="I189" s="60" t="s">
        <v>765</v>
      </c>
      <c r="J189" s="68">
        <v>1.5</v>
      </c>
      <c r="K189" s="67">
        <f>'F&amp;B'!$F$288</f>
        <v>54000</v>
      </c>
      <c r="L189" s="67">
        <f t="shared" si="36"/>
        <v>81000</v>
      </c>
    </row>
    <row r="190" ht="14.25" customHeight="1">
      <c r="A190" s="60" t="s">
        <v>58</v>
      </c>
      <c r="B190" s="68">
        <v>0.04</v>
      </c>
      <c r="C190" s="67">
        <f>'F&amp;B'!$F$143</f>
        <v>58500</v>
      </c>
      <c r="D190" s="67">
        <f t="shared" si="35"/>
        <v>2340</v>
      </c>
      <c r="I190" s="60" t="s">
        <v>58</v>
      </c>
      <c r="J190" s="68">
        <v>0.02</v>
      </c>
      <c r="K190" s="67">
        <f>SAUCES!C190</f>
        <v>58500</v>
      </c>
      <c r="L190" s="67">
        <f t="shared" si="36"/>
        <v>1170</v>
      </c>
    </row>
    <row r="191" ht="14.25" customHeight="1">
      <c r="A191" s="75" t="s">
        <v>82</v>
      </c>
      <c r="B191" s="68">
        <v>0.02</v>
      </c>
      <c r="C191" s="76">
        <f>'F&amp;B'!$F$148</f>
        <v>51750</v>
      </c>
      <c r="D191" s="67">
        <f t="shared" si="35"/>
        <v>1035</v>
      </c>
      <c r="I191" s="60" t="s">
        <v>122</v>
      </c>
      <c r="J191" s="68">
        <v>0.05</v>
      </c>
      <c r="K191" s="67">
        <f>'F&amp;B'!$F$172</f>
        <v>89820</v>
      </c>
      <c r="L191" s="67">
        <f t="shared" si="36"/>
        <v>4491</v>
      </c>
    </row>
    <row r="192" ht="14.25" customHeight="1">
      <c r="A192" s="75" t="s">
        <v>60</v>
      </c>
      <c r="B192" s="68">
        <v>0.05</v>
      </c>
      <c r="C192" s="76">
        <f>'F&amp;B'!F103</f>
        <v>148500</v>
      </c>
      <c r="D192" s="67">
        <f t="shared" si="35"/>
        <v>7425</v>
      </c>
      <c r="I192" s="75" t="s">
        <v>788</v>
      </c>
      <c r="J192" s="68">
        <v>0.03</v>
      </c>
      <c r="K192" s="76">
        <f>'F&amp;B'!$F$185</f>
        <v>135000</v>
      </c>
      <c r="L192" s="67">
        <f t="shared" si="36"/>
        <v>4050</v>
      </c>
    </row>
    <row r="193" ht="14.25" customHeight="1">
      <c r="A193" s="75"/>
      <c r="B193" s="68"/>
      <c r="C193" s="76"/>
      <c r="D193" s="67">
        <f t="shared" si="35"/>
        <v>0</v>
      </c>
      <c r="I193" s="75" t="s">
        <v>332</v>
      </c>
      <c r="J193" s="68">
        <v>0.04</v>
      </c>
      <c r="K193" s="76">
        <f>'F&amp;B'!$F$168</f>
        <v>42300</v>
      </c>
      <c r="L193" s="67">
        <f t="shared" si="36"/>
        <v>1692</v>
      </c>
    </row>
    <row r="194" ht="14.25" customHeight="1">
      <c r="A194" s="75"/>
      <c r="B194" s="68"/>
      <c r="C194" s="76"/>
      <c r="D194" s="67">
        <f t="shared" si="35"/>
        <v>0</v>
      </c>
      <c r="I194" s="75"/>
      <c r="J194" s="68"/>
      <c r="K194" s="76"/>
      <c r="L194" s="67">
        <f t="shared" si="36"/>
        <v>0</v>
      </c>
    </row>
    <row r="195" ht="14.25" customHeight="1">
      <c r="A195" s="22" t="s">
        <v>84</v>
      </c>
      <c r="B195" s="109"/>
      <c r="C195" s="109"/>
      <c r="D195" s="110">
        <f>IF(SUM(D187:D194)=0,"",SUM(D187:D194))</f>
        <v>820301.4</v>
      </c>
      <c r="I195" s="75"/>
      <c r="J195" s="68"/>
      <c r="K195" s="76"/>
      <c r="L195" s="67">
        <f t="shared" si="36"/>
        <v>0</v>
      </c>
    </row>
    <row r="196" ht="14.25" customHeight="1">
      <c r="A196" s="111" t="s">
        <v>102</v>
      </c>
      <c r="B196" s="108">
        <f>IF(D196="","",IF(ISBLANK(C196),"",D196/C196))</f>
        <v>0.170896125</v>
      </c>
      <c r="C196" s="110">
        <v>45000.0</v>
      </c>
      <c r="D196" s="236">
        <f>D185*0.045</f>
        <v>7690.325625</v>
      </c>
      <c r="I196" s="22" t="s">
        <v>84</v>
      </c>
      <c r="J196" s="109"/>
      <c r="K196" s="109"/>
      <c r="L196" s="110">
        <f>IF(SUM(L188:L195)=0,"",SUM(L188:L195))</f>
        <v>201303</v>
      </c>
    </row>
    <row r="197" ht="14.25" customHeight="1">
      <c r="I197" s="111" t="s">
        <v>102</v>
      </c>
      <c r="J197" s="108">
        <f>IF(L197="","",IF(ISBLANK(K197),"",L197/K197))</f>
        <v>0.06685339483</v>
      </c>
      <c r="K197" s="110">
        <v>25000.0</v>
      </c>
      <c r="L197" s="236">
        <f>L186*0.045</f>
        <v>1671.334871</v>
      </c>
    </row>
    <row r="198" ht="14.25" customHeight="1">
      <c r="A198" s="22" t="s">
        <v>793</v>
      </c>
      <c r="B198" s="27">
        <v>12.0</v>
      </c>
      <c r="C198" s="27" t="s">
        <v>794</v>
      </c>
      <c r="D198" s="166">
        <f>D208/B198</f>
        <v>10893.66346</v>
      </c>
    </row>
    <row r="199" ht="14.25" customHeight="1">
      <c r="A199" s="52" t="s">
        <v>42</v>
      </c>
      <c r="B199" s="54" t="s">
        <v>3</v>
      </c>
      <c r="C199" s="54" t="s">
        <v>44</v>
      </c>
      <c r="D199" s="56" t="s">
        <v>35</v>
      </c>
      <c r="I199" s="221" t="s">
        <v>795</v>
      </c>
      <c r="J199" s="26">
        <v>6.33</v>
      </c>
      <c r="K199" s="26" t="s">
        <v>14</v>
      </c>
      <c r="L199" s="166">
        <f>L209/J199</f>
        <v>30572.18192</v>
      </c>
    </row>
    <row r="200" ht="14.25" customHeight="1">
      <c r="A200" s="60" t="s">
        <v>351</v>
      </c>
      <c r="B200" s="68">
        <v>0.2</v>
      </c>
      <c r="C200" s="67">
        <f>'F&amp;B'!$F$251</f>
        <v>455400</v>
      </c>
      <c r="D200" s="67">
        <f t="shared" ref="D200:D207" si="37">B200*C200</f>
        <v>91080</v>
      </c>
      <c r="I200" s="52" t="s">
        <v>42</v>
      </c>
      <c r="J200" s="54" t="s">
        <v>3</v>
      </c>
      <c r="K200" s="54" t="s">
        <v>44</v>
      </c>
      <c r="L200" s="56" t="s">
        <v>35</v>
      </c>
    </row>
    <row r="201" ht="14.25" customHeight="1">
      <c r="A201" s="60" t="s">
        <v>796</v>
      </c>
      <c r="B201" s="68">
        <v>0.6</v>
      </c>
      <c r="C201" s="67">
        <f>'F&amp;B'!F259</f>
        <v>13867.5</v>
      </c>
      <c r="D201" s="67">
        <f t="shared" si="37"/>
        <v>8320.5</v>
      </c>
      <c r="I201" s="139" t="s">
        <v>797</v>
      </c>
      <c r="J201" s="180">
        <v>2.0</v>
      </c>
      <c r="K201" s="67">
        <f>'F&amp;B'!F46</f>
        <v>89100</v>
      </c>
      <c r="L201" s="67">
        <f t="shared" ref="L201:L208" si="38">J201*K201</f>
        <v>178200</v>
      </c>
    </row>
    <row r="202" ht="14.25" customHeight="1">
      <c r="A202" s="60" t="s">
        <v>723</v>
      </c>
      <c r="B202" s="68">
        <v>3.0</v>
      </c>
      <c r="C202" s="67">
        <f>C174</f>
        <v>2970</v>
      </c>
      <c r="D202" s="67">
        <f t="shared" si="37"/>
        <v>8910</v>
      </c>
      <c r="I202" s="139" t="s">
        <v>273</v>
      </c>
      <c r="J202" s="180">
        <v>1.0</v>
      </c>
      <c r="K202" s="67">
        <f>'F&amp;B'!F283</f>
        <v>9000</v>
      </c>
      <c r="L202" s="67">
        <f t="shared" si="38"/>
        <v>9000</v>
      </c>
    </row>
    <row r="203" ht="14.25" customHeight="1">
      <c r="A203" s="60" t="s">
        <v>58</v>
      </c>
      <c r="B203" s="68">
        <v>0.04</v>
      </c>
      <c r="C203" s="67">
        <f>'F&amp;B'!$F$143</f>
        <v>58500</v>
      </c>
      <c r="D203" s="67">
        <f t="shared" si="37"/>
        <v>2340</v>
      </c>
      <c r="I203" s="139" t="s">
        <v>723</v>
      </c>
      <c r="J203" s="180">
        <v>1.0</v>
      </c>
      <c r="K203" s="67">
        <f>'F&amp;B'!F298</f>
        <v>2970</v>
      </c>
      <c r="L203" s="67">
        <f t="shared" si="38"/>
        <v>2970</v>
      </c>
    </row>
    <row r="204" ht="14.25" customHeight="1">
      <c r="A204" s="75" t="s">
        <v>82</v>
      </c>
      <c r="B204" s="68">
        <v>0.02</v>
      </c>
      <c r="C204" s="76">
        <f>'F&amp;B'!$F$148</f>
        <v>51750</v>
      </c>
      <c r="D204" s="67">
        <f t="shared" si="37"/>
        <v>1035</v>
      </c>
      <c r="I204" s="139" t="s">
        <v>58</v>
      </c>
      <c r="J204" s="180">
        <v>0.03</v>
      </c>
      <c r="K204" s="67">
        <f>C157</f>
        <v>2340</v>
      </c>
      <c r="L204" s="67">
        <f t="shared" si="38"/>
        <v>70.2</v>
      </c>
    </row>
    <row r="205" ht="14.25" customHeight="1">
      <c r="A205" s="60" t="s">
        <v>176</v>
      </c>
      <c r="B205" s="68">
        <v>0.5</v>
      </c>
      <c r="C205" s="67">
        <f>'F&amp;B'!F43/13</f>
        <v>38076.92308</v>
      </c>
      <c r="D205" s="67">
        <f t="shared" si="37"/>
        <v>19038.46154</v>
      </c>
      <c r="I205" s="228" t="s">
        <v>176</v>
      </c>
      <c r="J205" s="180">
        <v>0.045</v>
      </c>
      <c r="K205" s="76">
        <f>C177</f>
        <v>38076.92308</v>
      </c>
      <c r="L205" s="67">
        <f t="shared" si="38"/>
        <v>1713.461538</v>
      </c>
    </row>
    <row r="206" ht="14.25" customHeight="1">
      <c r="A206" s="75"/>
      <c r="B206" s="68"/>
      <c r="C206" s="76"/>
      <c r="D206" s="67">
        <f t="shared" si="37"/>
        <v>0</v>
      </c>
      <c r="I206" s="139" t="s">
        <v>82</v>
      </c>
      <c r="J206" s="180">
        <v>0.015</v>
      </c>
      <c r="K206" s="67">
        <f>C204</f>
        <v>51750</v>
      </c>
      <c r="L206" s="67">
        <f t="shared" si="38"/>
        <v>776.25</v>
      </c>
    </row>
    <row r="207" ht="14.25" customHeight="1">
      <c r="A207" s="75"/>
      <c r="B207" s="68"/>
      <c r="C207" s="76"/>
      <c r="D207" s="67">
        <f t="shared" si="37"/>
        <v>0</v>
      </c>
      <c r="I207" s="228" t="s">
        <v>62</v>
      </c>
      <c r="J207" s="180">
        <v>0.04</v>
      </c>
      <c r="K207" s="76">
        <f>K22</f>
        <v>19800</v>
      </c>
      <c r="L207" s="67">
        <f t="shared" si="38"/>
        <v>792</v>
      </c>
    </row>
    <row r="208" ht="14.25" customHeight="1">
      <c r="A208" s="22" t="s">
        <v>84</v>
      </c>
      <c r="B208" s="109"/>
      <c r="C208" s="109"/>
      <c r="D208" s="110">
        <f>IF(SUM(D200:D207)=0,"",SUM(D200:D207))</f>
        <v>130723.9615</v>
      </c>
      <c r="I208" s="75"/>
      <c r="J208" s="68"/>
      <c r="K208" s="76"/>
      <c r="L208" s="67">
        <f t="shared" si="38"/>
        <v>0</v>
      </c>
    </row>
    <row r="209" ht="14.25" customHeight="1">
      <c r="A209" s="111" t="s">
        <v>102</v>
      </c>
      <c r="B209" s="108">
        <f>IF(D209="","",IF(ISBLANK(C209),"",D209/C209))</f>
        <v>0.01089366346</v>
      </c>
      <c r="C209" s="110">
        <v>45000.0</v>
      </c>
      <c r="D209" s="236">
        <f>D198*0.045</f>
        <v>490.2148558</v>
      </c>
      <c r="I209" s="22" t="s">
        <v>84</v>
      </c>
      <c r="J209" s="109"/>
      <c r="K209" s="109"/>
      <c r="L209" s="110">
        <f>IF(SUM(L201:L208)=0,"",SUM(L201:L208))</f>
        <v>193521.9115</v>
      </c>
    </row>
    <row r="210" ht="15.75" customHeight="1">
      <c r="I210" s="111" t="s">
        <v>102</v>
      </c>
      <c r="J210" s="108">
        <f>IF(L210="","",IF(ISBLANK(K210),"",L210/K210))</f>
        <v>0.03057218192</v>
      </c>
      <c r="K210" s="110">
        <v>45000.0</v>
      </c>
      <c r="L210" s="236">
        <f>L199*0.045</f>
        <v>1375.748186</v>
      </c>
    </row>
    <row r="211" ht="15.75" customHeight="1">
      <c r="A211" s="221" t="s">
        <v>801</v>
      </c>
      <c r="B211" s="26">
        <v>8.2</v>
      </c>
      <c r="C211" s="26" t="s">
        <v>14</v>
      </c>
      <c r="D211" s="166">
        <f>D226/B211</f>
        <v>64646.54878</v>
      </c>
    </row>
    <row r="212" ht="15.75" customHeight="1">
      <c r="A212" s="52" t="s">
        <v>42</v>
      </c>
      <c r="B212" s="54" t="s">
        <v>3</v>
      </c>
      <c r="C212" s="54" t="s">
        <v>44</v>
      </c>
      <c r="D212" s="56" t="s">
        <v>35</v>
      </c>
      <c r="I212" s="221" t="s">
        <v>803</v>
      </c>
      <c r="J212" s="26">
        <v>2.6</v>
      </c>
      <c r="K212" s="26" t="s">
        <v>14</v>
      </c>
      <c r="L212" s="114">
        <f>L226/J212</f>
        <v>40325.92308</v>
      </c>
    </row>
    <row r="213" ht="15.75" customHeight="1">
      <c r="A213" s="139" t="s">
        <v>78</v>
      </c>
      <c r="B213" s="180">
        <v>5.8</v>
      </c>
      <c r="C213" s="270">
        <v>20000.0</v>
      </c>
      <c r="D213" s="67">
        <f t="shared" ref="D213:D225" si="39">B213*C213</f>
        <v>116000</v>
      </c>
      <c r="I213" s="52" t="s">
        <v>42</v>
      </c>
      <c r="J213" s="54" t="s">
        <v>3</v>
      </c>
      <c r="K213" s="54" t="s">
        <v>44</v>
      </c>
      <c r="L213" s="56" t="s">
        <v>35</v>
      </c>
    </row>
    <row r="214" ht="15.75" customHeight="1">
      <c r="A214" s="139" t="s">
        <v>214</v>
      </c>
      <c r="B214" s="180">
        <v>0.04</v>
      </c>
      <c r="C214" s="67">
        <f>K215</f>
        <v>6300</v>
      </c>
      <c r="D214" s="67">
        <f t="shared" si="39"/>
        <v>252</v>
      </c>
      <c r="I214" s="225" t="s">
        <v>806</v>
      </c>
      <c r="J214" s="225">
        <v>0.15</v>
      </c>
      <c r="K214" s="76">
        <f>'F&amp;B'!F304</f>
        <v>7200</v>
      </c>
      <c r="L214" s="67">
        <f t="shared" ref="L214:L222" si="40">J214*K214</f>
        <v>1080</v>
      </c>
    </row>
    <row r="215" ht="15.75" customHeight="1">
      <c r="A215" s="139" t="s">
        <v>714</v>
      </c>
      <c r="B215" s="180">
        <v>0.3</v>
      </c>
      <c r="C215" s="67">
        <f>'F&amp;B'!F309</f>
        <v>22500</v>
      </c>
      <c r="D215" s="67">
        <f t="shared" si="39"/>
        <v>6750</v>
      </c>
      <c r="I215" s="225" t="s">
        <v>214</v>
      </c>
      <c r="J215" s="225">
        <v>0.04</v>
      </c>
      <c r="K215" s="76">
        <f>'F&amp;B'!F290</f>
        <v>6300</v>
      </c>
      <c r="L215" s="67">
        <f t="shared" si="40"/>
        <v>252</v>
      </c>
    </row>
    <row r="216" ht="15.75" customHeight="1">
      <c r="A216" s="139" t="s">
        <v>62</v>
      </c>
      <c r="B216" s="180">
        <v>0.02</v>
      </c>
      <c r="C216" s="67">
        <f>K216</f>
        <v>6300</v>
      </c>
      <c r="D216" s="67">
        <f t="shared" si="39"/>
        <v>126</v>
      </c>
      <c r="I216" s="225" t="s">
        <v>62</v>
      </c>
      <c r="J216" s="225">
        <v>0.015</v>
      </c>
      <c r="K216" s="67">
        <f>Prep!C121</f>
        <v>6300</v>
      </c>
      <c r="L216" s="67">
        <f t="shared" si="40"/>
        <v>94.5</v>
      </c>
    </row>
    <row r="217" ht="15.75" customHeight="1">
      <c r="A217" s="228" t="s">
        <v>809</v>
      </c>
      <c r="B217" s="180">
        <v>0.07</v>
      </c>
      <c r="C217" s="246">
        <f>C233</f>
        <v>7200</v>
      </c>
      <c r="D217" s="67">
        <f t="shared" si="39"/>
        <v>504</v>
      </c>
      <c r="I217" s="225" t="s">
        <v>78</v>
      </c>
      <c r="J217" s="225">
        <v>2.0</v>
      </c>
      <c r="K217" s="246">
        <v>50000.0</v>
      </c>
      <c r="L217" s="67">
        <f t="shared" si="40"/>
        <v>100000</v>
      </c>
    </row>
    <row r="218" ht="15.75" customHeight="1">
      <c r="A218" s="139" t="s">
        <v>332</v>
      </c>
      <c r="B218" s="180">
        <v>0.025</v>
      </c>
      <c r="C218" s="67">
        <f>'F&amp;B'!F168</f>
        <v>42300</v>
      </c>
      <c r="D218" s="67">
        <f t="shared" si="39"/>
        <v>1057.5</v>
      </c>
      <c r="I218" s="225" t="s">
        <v>66</v>
      </c>
      <c r="J218" s="225">
        <v>0.15</v>
      </c>
      <c r="K218" s="76">
        <f>'F&amp;B'!F41</f>
        <v>14850</v>
      </c>
      <c r="L218" s="67">
        <f t="shared" si="40"/>
        <v>2227.5</v>
      </c>
    </row>
    <row r="219" ht="15.75" customHeight="1">
      <c r="A219" s="228" t="s">
        <v>812</v>
      </c>
      <c r="B219" s="180">
        <v>0.04</v>
      </c>
      <c r="C219" s="76">
        <f>'F&amp;B'!F62/1.25</f>
        <v>33660</v>
      </c>
      <c r="D219" s="67">
        <f t="shared" si="39"/>
        <v>1346.4</v>
      </c>
      <c r="I219" s="225" t="s">
        <v>58</v>
      </c>
      <c r="J219" s="225">
        <v>0.03</v>
      </c>
      <c r="K219" s="76">
        <f>K204</f>
        <v>2340</v>
      </c>
      <c r="L219" s="67">
        <f t="shared" si="40"/>
        <v>70.2</v>
      </c>
    </row>
    <row r="220" ht="15.75" customHeight="1">
      <c r="A220" s="228" t="s">
        <v>173</v>
      </c>
      <c r="B220" s="180">
        <v>0.12</v>
      </c>
      <c r="C220" s="76">
        <f>'F&amp;B'!F279</f>
        <v>7200</v>
      </c>
      <c r="D220" s="67">
        <f t="shared" si="39"/>
        <v>864</v>
      </c>
      <c r="I220" s="225" t="s">
        <v>374</v>
      </c>
      <c r="J220" s="225">
        <v>0.08</v>
      </c>
      <c r="K220" s="76">
        <f>C109</f>
        <v>14040</v>
      </c>
      <c r="L220" s="67">
        <f t="shared" si="40"/>
        <v>1123.2</v>
      </c>
    </row>
    <row r="221" ht="15.75" customHeight="1">
      <c r="A221" s="271" t="s">
        <v>815</v>
      </c>
      <c r="B221" s="271">
        <v>1.0</v>
      </c>
      <c r="C221" s="271">
        <v>360000.0</v>
      </c>
      <c r="D221" s="67">
        <f t="shared" si="39"/>
        <v>360000</v>
      </c>
      <c r="I221" s="228"/>
      <c r="J221" s="180"/>
      <c r="K221" s="76"/>
      <c r="L221" s="67">
        <f t="shared" si="40"/>
        <v>0</v>
      </c>
    </row>
    <row r="222" ht="15.75" customHeight="1">
      <c r="A222" s="271" t="s">
        <v>372</v>
      </c>
      <c r="B222" s="271">
        <v>1.0</v>
      </c>
      <c r="C222" s="67">
        <f>'F&amp;B'!F88</f>
        <v>40590</v>
      </c>
      <c r="D222" s="67">
        <f t="shared" si="39"/>
        <v>40590</v>
      </c>
      <c r="I222" s="228"/>
      <c r="J222" s="180"/>
      <c r="K222" s="76"/>
      <c r="L222" s="67">
        <f t="shared" si="40"/>
        <v>0</v>
      </c>
    </row>
    <row r="223" ht="15.75" customHeight="1">
      <c r="A223" s="271" t="s">
        <v>374</v>
      </c>
      <c r="B223" s="271">
        <v>0.12</v>
      </c>
      <c r="C223" s="67">
        <f>K233</f>
        <v>14040</v>
      </c>
      <c r="D223" s="67">
        <f t="shared" si="39"/>
        <v>1684.8</v>
      </c>
      <c r="I223" s="228"/>
      <c r="J223" s="180"/>
      <c r="K223" s="246"/>
      <c r="L223" s="67"/>
    </row>
    <row r="224" ht="15.75" customHeight="1">
      <c r="A224" s="271" t="s">
        <v>817</v>
      </c>
      <c r="B224" s="271">
        <v>0.12</v>
      </c>
      <c r="C224" s="67">
        <f>'F&amp;B'!F293</f>
        <v>6750</v>
      </c>
      <c r="D224" s="67">
        <f t="shared" si="39"/>
        <v>810</v>
      </c>
      <c r="I224" s="228"/>
      <c r="J224" s="180"/>
      <c r="K224" s="246"/>
      <c r="L224" s="67"/>
    </row>
    <row r="225" ht="15.75" customHeight="1">
      <c r="A225" s="271" t="s">
        <v>58</v>
      </c>
      <c r="B225" s="271">
        <v>0.05</v>
      </c>
      <c r="C225" s="76">
        <f>K219</f>
        <v>2340</v>
      </c>
      <c r="D225" s="67">
        <f t="shared" si="39"/>
        <v>117</v>
      </c>
      <c r="I225" s="228"/>
      <c r="J225" s="180"/>
      <c r="K225" s="246"/>
      <c r="L225" s="67">
        <f>J225*K225</f>
        <v>0</v>
      </c>
    </row>
    <row r="226" ht="15.75" customHeight="1">
      <c r="A226" s="22" t="s">
        <v>84</v>
      </c>
      <c r="B226" s="109"/>
      <c r="C226" s="109"/>
      <c r="D226" s="110">
        <f>IF(SUM(D213:D225)=0,"",SUM(D213:D225))</f>
        <v>530101.7</v>
      </c>
      <c r="I226" s="22" t="s">
        <v>84</v>
      </c>
      <c r="J226" s="109"/>
      <c r="K226" s="109"/>
      <c r="L226" s="110">
        <f>IF(SUM(L214:L225)=0,"",SUM(L214:L225))</f>
        <v>104847.4</v>
      </c>
    </row>
    <row r="227" ht="15.75" customHeight="1">
      <c r="A227" s="111" t="s">
        <v>102</v>
      </c>
      <c r="B227" s="108">
        <f>IF(D227="","",IF(ISBLANK(C227),"",D227/C227))</f>
        <v>0.06464654878</v>
      </c>
      <c r="C227" s="110">
        <v>45000.0</v>
      </c>
      <c r="D227" s="236">
        <f>D211*0.045</f>
        <v>2909.094695</v>
      </c>
      <c r="I227" s="111" t="s">
        <v>102</v>
      </c>
      <c r="J227" s="108">
        <f>IF(L227="","",IF(ISBLANK(K227),"",L227/K227))</f>
        <v>0</v>
      </c>
      <c r="K227" s="110">
        <v>45000.0</v>
      </c>
      <c r="L227" s="236">
        <f>L211*0.045</f>
        <v>0</v>
      </c>
    </row>
    <row r="228" ht="15.75" customHeight="1">
      <c r="I228" s="256"/>
      <c r="J228" s="257"/>
      <c r="K228" s="259"/>
      <c r="L228" s="67"/>
    </row>
    <row r="229" ht="15.75" customHeight="1">
      <c r="I229" s="111"/>
      <c r="J229" s="247"/>
      <c r="K229" s="247"/>
      <c r="L229" s="248"/>
    </row>
    <row r="230" ht="15.75" customHeight="1">
      <c r="A230" s="221" t="s">
        <v>838</v>
      </c>
      <c r="B230" s="26">
        <v>7.5</v>
      </c>
      <c r="C230" s="26" t="s">
        <v>14</v>
      </c>
      <c r="D230" s="114">
        <f>D242/B230</f>
        <v>19681.11067</v>
      </c>
      <c r="I230" s="221" t="s">
        <v>840</v>
      </c>
      <c r="J230" s="26">
        <v>4.5</v>
      </c>
      <c r="K230" s="26" t="s">
        <v>14</v>
      </c>
      <c r="L230" s="114">
        <f>L242/J230</f>
        <v>8860</v>
      </c>
    </row>
    <row r="231" ht="15.75" customHeight="1">
      <c r="A231" s="52" t="s">
        <v>42</v>
      </c>
      <c r="B231" s="54" t="s">
        <v>3</v>
      </c>
      <c r="C231" s="54" t="s">
        <v>44</v>
      </c>
      <c r="D231" s="56" t="s">
        <v>35</v>
      </c>
      <c r="I231" s="52" t="s">
        <v>42</v>
      </c>
      <c r="J231" s="54" t="s">
        <v>3</v>
      </c>
      <c r="K231" s="54" t="s">
        <v>44</v>
      </c>
      <c r="L231" s="56" t="s">
        <v>35</v>
      </c>
    </row>
    <row r="232" ht="15.75" customHeight="1">
      <c r="A232" s="225" t="s">
        <v>374</v>
      </c>
      <c r="B232" s="225">
        <v>0.3</v>
      </c>
      <c r="C232" s="76">
        <f>K233</f>
        <v>14040</v>
      </c>
      <c r="D232" s="67">
        <f t="shared" ref="D232:D241" si="41">B232*C232</f>
        <v>4212</v>
      </c>
      <c r="I232" s="225" t="s">
        <v>842</v>
      </c>
      <c r="J232" s="225">
        <v>4.0</v>
      </c>
      <c r="K232" s="76">
        <f>'F&amp;B'!F281</f>
        <v>5400</v>
      </c>
      <c r="L232" s="67">
        <f t="shared" ref="L232:L241" si="42">J232*K232</f>
        <v>21600</v>
      </c>
    </row>
    <row r="233" ht="15.75" customHeight="1">
      <c r="A233" s="225" t="s">
        <v>809</v>
      </c>
      <c r="B233" s="225">
        <v>0.08</v>
      </c>
      <c r="C233" s="76">
        <f>'F&amp;B'!F305</f>
        <v>7200</v>
      </c>
      <c r="D233" s="67">
        <f t="shared" si="41"/>
        <v>576</v>
      </c>
      <c r="I233" s="225" t="s">
        <v>374</v>
      </c>
      <c r="J233" s="225">
        <v>0.1</v>
      </c>
      <c r="K233" s="76">
        <f>K83</f>
        <v>14040</v>
      </c>
      <c r="L233" s="67">
        <f t="shared" si="42"/>
        <v>1404</v>
      </c>
    </row>
    <row r="234" ht="15.75" customHeight="1">
      <c r="A234" s="225" t="s">
        <v>214</v>
      </c>
      <c r="B234" s="225">
        <v>0.1</v>
      </c>
      <c r="C234" s="67">
        <f>K215</f>
        <v>6300</v>
      </c>
      <c r="D234" s="67">
        <f t="shared" si="41"/>
        <v>630</v>
      </c>
      <c r="I234" s="225" t="s">
        <v>122</v>
      </c>
      <c r="J234" s="225">
        <v>0.004</v>
      </c>
      <c r="K234" s="67">
        <f>K115</f>
        <v>89820</v>
      </c>
      <c r="L234" s="67">
        <f t="shared" si="42"/>
        <v>359.28</v>
      </c>
    </row>
    <row r="235" ht="15.75" customHeight="1">
      <c r="A235" s="225" t="s">
        <v>817</v>
      </c>
      <c r="B235" s="225">
        <v>0.08</v>
      </c>
      <c r="C235" s="246">
        <f>'F&amp;B'!F293</f>
        <v>6750</v>
      </c>
      <c r="D235" s="67">
        <f t="shared" si="41"/>
        <v>540</v>
      </c>
      <c r="I235" s="225" t="s">
        <v>58</v>
      </c>
      <c r="J235" s="225">
        <v>0.003</v>
      </c>
      <c r="K235" s="246">
        <f>K219</f>
        <v>2340</v>
      </c>
      <c r="L235" s="67">
        <f t="shared" si="42"/>
        <v>7.02</v>
      </c>
    </row>
    <row r="236" ht="15.75" customHeight="1">
      <c r="A236" s="225" t="s">
        <v>216</v>
      </c>
      <c r="B236" s="225">
        <v>0.05</v>
      </c>
      <c r="C236" s="76">
        <f>'F&amp;B'!F17/50</f>
        <v>5295.6</v>
      </c>
      <c r="D236" s="67">
        <f t="shared" si="41"/>
        <v>264.78</v>
      </c>
      <c r="I236" s="225" t="s">
        <v>850</v>
      </c>
      <c r="J236" s="225">
        <v>0.12</v>
      </c>
      <c r="K236" s="76">
        <f>'F&amp;B'!F99/12</f>
        <v>63000</v>
      </c>
      <c r="L236" s="67">
        <f t="shared" si="42"/>
        <v>7560</v>
      </c>
    </row>
    <row r="237" ht="15.75" customHeight="1">
      <c r="A237" s="225" t="s">
        <v>78</v>
      </c>
      <c r="B237" s="225">
        <v>7.0</v>
      </c>
      <c r="C237" s="246">
        <v>20000.0</v>
      </c>
      <c r="D237" s="67">
        <f t="shared" si="41"/>
        <v>140000</v>
      </c>
      <c r="I237" s="225" t="s">
        <v>852</v>
      </c>
      <c r="J237" s="225">
        <v>0.06</v>
      </c>
      <c r="K237" s="76">
        <f>'F&amp;B'!F103</f>
        <v>148500</v>
      </c>
      <c r="L237" s="67">
        <f t="shared" si="42"/>
        <v>8910</v>
      </c>
    </row>
    <row r="238" ht="15.75" customHeight="1">
      <c r="A238" s="225" t="s">
        <v>855</v>
      </c>
      <c r="B238" s="225">
        <v>0.01</v>
      </c>
      <c r="C238" s="76">
        <f>'F&amp;B'!F153</f>
        <v>27000</v>
      </c>
      <c r="D238" s="67">
        <f t="shared" si="41"/>
        <v>270</v>
      </c>
      <c r="I238" s="225" t="s">
        <v>856</v>
      </c>
      <c r="J238" s="225">
        <v>0.75</v>
      </c>
      <c r="K238" s="76"/>
      <c r="L238" s="67">
        <f t="shared" si="42"/>
        <v>0</v>
      </c>
    </row>
    <row r="239" ht="15.75" customHeight="1">
      <c r="A239" s="228" t="s">
        <v>857</v>
      </c>
      <c r="B239" s="180">
        <v>0.01</v>
      </c>
      <c r="C239" s="76">
        <f>'F&amp;B'!F282</f>
        <v>2970</v>
      </c>
      <c r="D239" s="67">
        <f t="shared" si="41"/>
        <v>29.7</v>
      </c>
      <c r="I239" s="228" t="s">
        <v>859</v>
      </c>
      <c r="J239" s="180">
        <v>0.01</v>
      </c>
      <c r="K239" s="76">
        <f>'F&amp;B'!F286</f>
        <v>2970</v>
      </c>
      <c r="L239" s="67">
        <f t="shared" si="42"/>
        <v>29.7</v>
      </c>
    </row>
    <row r="240" ht="15.75" customHeight="1">
      <c r="A240" s="228" t="s">
        <v>861</v>
      </c>
      <c r="B240" s="180">
        <v>0.015</v>
      </c>
      <c r="C240" s="76">
        <f>'F&amp;B'!F190</f>
        <v>68490</v>
      </c>
      <c r="D240" s="67">
        <f t="shared" si="41"/>
        <v>1027.35</v>
      </c>
      <c r="I240" s="228"/>
      <c r="J240" s="180"/>
      <c r="K240" s="76"/>
      <c r="L240" s="67">
        <f t="shared" si="42"/>
        <v>0</v>
      </c>
    </row>
    <row r="241" ht="15.75" customHeight="1">
      <c r="A241" s="228" t="s">
        <v>58</v>
      </c>
      <c r="B241" s="180">
        <v>0.025</v>
      </c>
      <c r="C241" s="246">
        <f>K219</f>
        <v>2340</v>
      </c>
      <c r="D241" s="67">
        <f t="shared" si="41"/>
        <v>58.5</v>
      </c>
      <c r="I241" s="228"/>
      <c r="J241" s="180"/>
      <c r="K241" s="246"/>
      <c r="L241" s="67">
        <f t="shared" si="42"/>
        <v>0</v>
      </c>
    </row>
    <row r="242" ht="15.75" customHeight="1">
      <c r="A242" s="22" t="s">
        <v>84</v>
      </c>
      <c r="B242" s="109"/>
      <c r="C242" s="109"/>
      <c r="D242" s="110">
        <f>IF(SUM(D232:D241)=0,"",SUM(D232:D241))</f>
        <v>147608.33</v>
      </c>
      <c r="I242" s="22" t="s">
        <v>84</v>
      </c>
      <c r="J242" s="109"/>
      <c r="K242" s="109"/>
      <c r="L242" s="110">
        <f>IF(SUM(L232:L241)=0,"",SUM(L232:L241))</f>
        <v>39870</v>
      </c>
    </row>
    <row r="243" ht="15.75" customHeight="1">
      <c r="A243" s="111" t="s">
        <v>102</v>
      </c>
      <c r="B243" s="108">
        <f>IF(D243="","",IF(ISBLANK(C243),"",D243/C243))</f>
        <v>0</v>
      </c>
      <c r="C243" s="110">
        <v>45000.0</v>
      </c>
      <c r="D243" s="236">
        <f>D229*0.045</f>
        <v>0</v>
      </c>
      <c r="I243" s="111" t="s">
        <v>102</v>
      </c>
      <c r="J243" s="108">
        <f>IF(L243="","",IF(ISBLANK(K243),"",L243/K243))</f>
        <v>0</v>
      </c>
      <c r="K243" s="110">
        <v>45000.0</v>
      </c>
      <c r="L243" s="236">
        <f>L229*0.045</f>
        <v>0</v>
      </c>
    </row>
    <row r="244" ht="15.75" customHeight="1"/>
    <row r="245" ht="15.75" customHeight="1"/>
    <row r="246" ht="15.75" customHeight="1"/>
    <row r="247" ht="15.75" customHeight="1">
      <c r="A247" s="221" t="s">
        <v>812</v>
      </c>
      <c r="B247" s="26">
        <f>SUM(B248:B260)</f>
        <v>3.255</v>
      </c>
      <c r="C247" s="26" t="s">
        <v>14</v>
      </c>
      <c r="D247" s="114">
        <f>D261/B247</f>
        <v>29721.21588</v>
      </c>
      <c r="E247" s="307">
        <f>D247/90000</f>
        <v>0.330235732</v>
      </c>
    </row>
    <row r="248" ht="15.75" customHeight="1">
      <c r="A248" s="52" t="s">
        <v>42</v>
      </c>
      <c r="B248" s="54" t="s">
        <v>3</v>
      </c>
      <c r="C248" s="54" t="s">
        <v>44</v>
      </c>
      <c r="D248" s="56" t="s">
        <v>35</v>
      </c>
    </row>
    <row r="249" ht="15.75" customHeight="1">
      <c r="A249" s="165" t="s">
        <v>873</v>
      </c>
      <c r="B249" s="165">
        <v>2.5</v>
      </c>
      <c r="C249" s="308">
        <f>K62</f>
        <v>89100</v>
      </c>
      <c r="D249" s="309">
        <f>C249</f>
        <v>89100</v>
      </c>
    </row>
    <row r="250" ht="15.75" customHeight="1">
      <c r="A250" s="165" t="s">
        <v>875</v>
      </c>
      <c r="B250" s="165">
        <v>0.25</v>
      </c>
      <c r="C250" s="308">
        <f>C234</f>
        <v>6300</v>
      </c>
      <c r="D250" s="309">
        <f t="shared" ref="D250:D260" si="43">B250*C250</f>
        <v>1575</v>
      </c>
    </row>
    <row r="251" ht="15.75" customHeight="1">
      <c r="A251" s="165" t="s">
        <v>877</v>
      </c>
      <c r="B251" s="165">
        <v>0.025</v>
      </c>
      <c r="C251" s="308">
        <f>C178</f>
        <v>19800</v>
      </c>
      <c r="D251" s="309">
        <f t="shared" si="43"/>
        <v>495</v>
      </c>
    </row>
    <row r="252" ht="15.75" customHeight="1">
      <c r="A252" s="165" t="s">
        <v>879</v>
      </c>
      <c r="B252" s="165">
        <v>0.1</v>
      </c>
      <c r="C252" s="308">
        <f>C235</f>
        <v>6750</v>
      </c>
      <c r="D252" s="309">
        <f t="shared" si="43"/>
        <v>675</v>
      </c>
    </row>
    <row r="253" ht="15.75" customHeight="1">
      <c r="A253" s="165" t="s">
        <v>880</v>
      </c>
      <c r="B253" s="165">
        <v>0.02</v>
      </c>
      <c r="C253" s="308">
        <f>K235</f>
        <v>2340</v>
      </c>
      <c r="D253" s="309">
        <f t="shared" si="43"/>
        <v>46.8</v>
      </c>
    </row>
    <row r="254" ht="15.75" customHeight="1">
      <c r="A254" s="165" t="s">
        <v>883</v>
      </c>
      <c r="B254" s="165">
        <v>0.005</v>
      </c>
      <c r="C254" s="308">
        <f>K206</f>
        <v>51750</v>
      </c>
      <c r="D254" s="309">
        <f t="shared" si="43"/>
        <v>258.75</v>
      </c>
    </row>
    <row r="255" ht="15.75" customHeight="1">
      <c r="A255" s="165" t="s">
        <v>885</v>
      </c>
      <c r="B255" s="165">
        <v>0.03</v>
      </c>
      <c r="C255" s="58">
        <f>'F&amp;B'!F43/13</f>
        <v>38076.92308</v>
      </c>
      <c r="D255" s="309">
        <f t="shared" si="43"/>
        <v>1142.307692</v>
      </c>
    </row>
    <row r="256" ht="15.75" customHeight="1">
      <c r="A256" s="165" t="s">
        <v>888</v>
      </c>
      <c r="B256" s="165">
        <v>0.03</v>
      </c>
      <c r="C256" s="58">
        <f>'F&amp;B'!F57/8</f>
        <v>18562.5</v>
      </c>
      <c r="D256" s="309">
        <f t="shared" si="43"/>
        <v>556.875</v>
      </c>
    </row>
    <row r="257" ht="15.75" customHeight="1">
      <c r="A257" s="165" t="s">
        <v>889</v>
      </c>
      <c r="B257" s="165">
        <v>0.015</v>
      </c>
      <c r="C257" s="308">
        <f>'F&amp;B'!F298</f>
        <v>2970</v>
      </c>
      <c r="D257" s="309">
        <f t="shared" si="43"/>
        <v>44.55</v>
      </c>
    </row>
    <row r="258" ht="15.75" customHeight="1">
      <c r="A258" s="165" t="s">
        <v>891</v>
      </c>
      <c r="B258" s="165">
        <v>0.025</v>
      </c>
      <c r="C258" s="308">
        <f>'F&amp;B'!F56</f>
        <v>22275</v>
      </c>
      <c r="D258" s="309">
        <f t="shared" si="43"/>
        <v>556.875</v>
      </c>
    </row>
    <row r="259" ht="15.75" customHeight="1">
      <c r="A259" s="165" t="s">
        <v>893</v>
      </c>
      <c r="B259" s="165">
        <v>0.005</v>
      </c>
      <c r="C259" s="308">
        <f>'F&amp;B'!F145</f>
        <v>8280</v>
      </c>
      <c r="D259" s="309">
        <f t="shared" si="43"/>
        <v>41.4</v>
      </c>
    </row>
    <row r="260" ht="15.75" customHeight="1">
      <c r="A260" s="165" t="s">
        <v>895</v>
      </c>
      <c r="B260" s="165">
        <v>0.25</v>
      </c>
      <c r="C260" s="308">
        <f>'F&amp;B'!F283</f>
        <v>9000</v>
      </c>
      <c r="D260" s="309">
        <f t="shared" si="43"/>
        <v>2250</v>
      </c>
    </row>
    <row r="261" ht="15.75" customHeight="1">
      <c r="A261" s="312" t="s">
        <v>84</v>
      </c>
      <c r="B261" s="313"/>
      <c r="C261" s="313"/>
      <c r="D261" s="314">
        <f>IF(SUM(D251:D260)=0,"",SUM(D249:D260))</f>
        <v>96742.55769</v>
      </c>
    </row>
    <row r="262" ht="15.75" customHeight="1">
      <c r="A262" s="111" t="s">
        <v>102</v>
      </c>
      <c r="B262" s="108"/>
      <c r="C262" s="110">
        <v>45000.0</v>
      </c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25" right="0.25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/>
  </sheetViews>
  <sheetFormatPr customHeight="1" defaultColWidth="12.63" defaultRowHeight="15.0"/>
  <cols>
    <col customWidth="1" min="1" max="1" width="23.0"/>
    <col customWidth="1" min="2" max="3" width="15.0"/>
    <col customWidth="1" min="4" max="4" width="13.38"/>
    <col customWidth="1" min="5" max="8" width="8.75"/>
    <col customWidth="1" min="9" max="9" width="12.13"/>
    <col customWidth="1" min="10" max="26" width="14.38"/>
  </cols>
  <sheetData>
    <row r="1" ht="14.25" customHeight="1">
      <c r="A1" s="34" t="s">
        <v>17</v>
      </c>
      <c r="B1" s="35"/>
      <c r="C1" s="44" t="str">
        <f>#REF!</f>
        <v>#REF!</v>
      </c>
      <c r="D1" s="35"/>
      <c r="E1" s="49" t="s">
        <v>26</v>
      </c>
    </row>
    <row r="2" ht="14.25" customHeight="1">
      <c r="A2" s="52" t="s">
        <v>31</v>
      </c>
      <c r="B2" s="54"/>
      <c r="C2" s="54"/>
      <c r="D2" s="56" t="s">
        <v>35</v>
      </c>
      <c r="E2" s="59" t="s">
        <v>36</v>
      </c>
      <c r="F2" s="56" t="s">
        <v>3</v>
      </c>
      <c r="G2" s="59" t="s">
        <v>38</v>
      </c>
      <c r="H2" s="56" t="s">
        <v>3</v>
      </c>
      <c r="I2" s="59" t="s">
        <v>39</v>
      </c>
    </row>
    <row r="3" ht="14.25" customHeight="1">
      <c r="A3" s="60" t="s">
        <v>40</v>
      </c>
      <c r="B3" s="67">
        <f>'F&amp;B'!$F$54</f>
        <v>369000</v>
      </c>
      <c r="C3" s="70">
        <v>0.0075</v>
      </c>
      <c r="D3" s="67">
        <f>B3*C3</f>
        <v>2767.5</v>
      </c>
      <c r="E3" s="72"/>
      <c r="F3" s="67"/>
      <c r="G3" s="72"/>
      <c r="H3" s="67"/>
      <c r="I3" s="73"/>
    </row>
    <row r="4" ht="14.25" customHeight="1">
      <c r="A4" s="75" t="s">
        <v>51</v>
      </c>
      <c r="B4" s="76" t="str">
        <f>$I$4*($C$1)</f>
        <v>#REF!</v>
      </c>
      <c r="C4" s="77">
        <v>7000.0</v>
      </c>
      <c r="D4" s="76" t="str">
        <f t="shared" ref="D4:D7" si="1">B4/C4</f>
        <v>#REF!</v>
      </c>
      <c r="E4" s="78">
        <v>13.0</v>
      </c>
      <c r="F4" s="79">
        <v>10.0</v>
      </c>
      <c r="G4" s="78">
        <v>38.0</v>
      </c>
      <c r="H4" s="79">
        <v>30.0</v>
      </c>
      <c r="I4" s="82">
        <f>E4*F4+G4*H4</f>
        <v>1270</v>
      </c>
    </row>
    <row r="5" ht="14.25" customHeight="1">
      <c r="A5" s="75" t="s">
        <v>59</v>
      </c>
      <c r="B5" s="76" t="str">
        <f>3260*C1</f>
        <v>#REF!</v>
      </c>
      <c r="C5" s="77">
        <v>45000.0</v>
      </c>
      <c r="D5" s="76" t="str">
        <f t="shared" si="1"/>
        <v>#REF!</v>
      </c>
      <c r="E5" s="84"/>
      <c r="F5" s="76"/>
      <c r="G5" s="84"/>
      <c r="H5" s="76"/>
      <c r="I5" s="73"/>
    </row>
    <row r="6" ht="14.25" customHeight="1">
      <c r="A6" s="87" t="s">
        <v>64</v>
      </c>
      <c r="B6" s="89" t="str">
        <f>180*C1</f>
        <v>#REF!</v>
      </c>
      <c r="C6" s="90">
        <f>350+175</f>
        <v>525</v>
      </c>
      <c r="D6" s="76" t="str">
        <f t="shared" si="1"/>
        <v>#REF!</v>
      </c>
      <c r="E6" s="84"/>
      <c r="F6" s="76"/>
      <c r="G6" s="84"/>
      <c r="H6" s="76"/>
      <c r="I6" s="91"/>
    </row>
    <row r="7" ht="14.25" customHeight="1">
      <c r="A7" s="93" t="s">
        <v>70</v>
      </c>
      <c r="B7" s="94" t="str">
        <f>I7*$C$1</f>
        <v>#REF!</v>
      </c>
      <c r="C7" s="96">
        <v>450.0</v>
      </c>
      <c r="D7" s="76" t="str">
        <f t="shared" si="1"/>
        <v>#REF!</v>
      </c>
      <c r="E7" s="84"/>
      <c r="F7" s="76"/>
      <c r="G7" s="98">
        <v>35.0</v>
      </c>
      <c r="H7" s="99">
        <v>4.0</v>
      </c>
      <c r="I7" s="82">
        <f>G7*H7</f>
        <v>140</v>
      </c>
    </row>
    <row r="8" ht="14.25" customHeight="1">
      <c r="A8" s="34" t="s">
        <v>84</v>
      </c>
      <c r="B8" s="102"/>
      <c r="C8" s="102"/>
      <c r="D8" s="104" t="str">
        <f>IF(SUM(D3:D6)=0,"",SUM(D3:D6))</f>
        <v>#REF!</v>
      </c>
      <c r="E8" s="105"/>
      <c r="F8" s="104"/>
      <c r="G8" s="105"/>
      <c r="H8" s="104"/>
      <c r="I8" s="105"/>
    </row>
    <row r="9" ht="14.25" customHeight="1">
      <c r="A9" s="93" t="s">
        <v>92</v>
      </c>
      <c r="B9" s="106">
        <v>1.8E8</v>
      </c>
      <c r="C9" s="106">
        <v>22000.0</v>
      </c>
      <c r="D9" s="76">
        <f>B9/C9</f>
        <v>8181.818182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1:I1"/>
  </mergeCells>
  <printOptions/>
  <pageMargins bottom="0.75" footer="0.0" header="0.0" left="0.25" right="0.25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9.13"/>
    <col customWidth="1" min="3" max="3" width="12.13"/>
    <col customWidth="1" min="4" max="4" width="14.38"/>
    <col customWidth="1" min="5" max="6" width="8.75"/>
    <col customWidth="1" min="7" max="7" width="19.0"/>
    <col customWidth="1" min="8" max="8" width="8.75"/>
    <col customWidth="1" min="9" max="9" width="18.13"/>
    <col customWidth="1" min="10" max="10" width="14.63"/>
    <col customWidth="1" min="11" max="11" width="8.75"/>
    <col customWidth="1" min="12" max="26" width="14.38"/>
  </cols>
  <sheetData>
    <row r="1" ht="14.25" customHeight="1">
      <c r="A1" s="22" t="s">
        <v>177</v>
      </c>
      <c r="B1" s="27">
        <v>4.0</v>
      </c>
      <c r="C1" s="27" t="s">
        <v>14</v>
      </c>
      <c r="D1" s="114">
        <f>D13/B1</f>
        <v>0</v>
      </c>
      <c r="G1" s="22" t="s">
        <v>185</v>
      </c>
      <c r="H1" s="27">
        <v>115.0</v>
      </c>
      <c r="I1" s="27" t="s">
        <v>90</v>
      </c>
      <c r="J1" s="114">
        <f>J13/H1</f>
        <v>1482.065145</v>
      </c>
      <c r="K1" s="153" t="str">
        <f>J1/#REF!</f>
        <v>#REF!</v>
      </c>
    </row>
    <row r="2" ht="14.25" customHeight="1">
      <c r="A2" s="52" t="s">
        <v>42</v>
      </c>
      <c r="B2" s="54" t="s">
        <v>3</v>
      </c>
      <c r="C2" s="54" t="s">
        <v>44</v>
      </c>
      <c r="D2" s="56" t="s">
        <v>35</v>
      </c>
      <c r="G2" s="52" t="s">
        <v>42</v>
      </c>
      <c r="H2" s="54" t="s">
        <v>3</v>
      </c>
      <c r="I2" s="54" t="s">
        <v>44</v>
      </c>
      <c r="J2" s="56" t="s">
        <v>35</v>
      </c>
    </row>
    <row r="3" ht="14.25" customHeight="1">
      <c r="A3" s="60"/>
      <c r="B3" s="68"/>
      <c r="C3" s="67"/>
      <c r="D3" s="67"/>
      <c r="G3" s="60" t="s">
        <v>200</v>
      </c>
      <c r="H3" s="68">
        <v>1.5</v>
      </c>
      <c r="I3" s="67">
        <f>SAUCES!D82</f>
        <v>6006.153846</v>
      </c>
      <c r="J3" s="67">
        <f t="shared" ref="J3:J5" si="1">I3*H3</f>
        <v>9009.230769</v>
      </c>
    </row>
    <row r="4" ht="14.25" customHeight="1">
      <c r="A4" s="60"/>
      <c r="B4" s="68"/>
      <c r="C4" s="67"/>
      <c r="D4" s="67"/>
      <c r="G4" s="60" t="s">
        <v>208</v>
      </c>
      <c r="H4" s="68">
        <v>1.5</v>
      </c>
      <c r="I4" s="67">
        <f>'F&amp;B'!F209</f>
        <v>99000</v>
      </c>
      <c r="J4" s="67">
        <f t="shared" si="1"/>
        <v>148500</v>
      </c>
    </row>
    <row r="5" ht="14.25" customHeight="1">
      <c r="A5" s="60"/>
      <c r="B5" s="68"/>
      <c r="C5" s="67"/>
      <c r="D5" s="67"/>
      <c r="G5" s="60" t="s">
        <v>214</v>
      </c>
      <c r="H5" s="68">
        <v>1.5</v>
      </c>
      <c r="I5" s="67">
        <f>'F&amp;B'!F290</f>
        <v>6300</v>
      </c>
      <c r="J5" s="67">
        <f t="shared" si="1"/>
        <v>9450</v>
      </c>
    </row>
    <row r="6" ht="14.25" customHeight="1">
      <c r="A6" s="75"/>
      <c r="B6" s="68"/>
      <c r="C6" s="67"/>
      <c r="D6" s="67"/>
      <c r="G6" s="75" t="s">
        <v>218</v>
      </c>
      <c r="H6" s="68">
        <f>H1</f>
        <v>115</v>
      </c>
      <c r="I6" s="67">
        <v>400000.0</v>
      </c>
      <c r="J6" s="67">
        <f>I6/H6</f>
        <v>3478.26087</v>
      </c>
    </row>
    <row r="7" ht="14.25" customHeight="1">
      <c r="A7" s="75"/>
      <c r="B7" s="68"/>
      <c r="C7" s="76"/>
      <c r="D7" s="67"/>
      <c r="G7" s="75" t="s">
        <v>223</v>
      </c>
      <c r="H7" s="68">
        <v>0.25</v>
      </c>
      <c r="I7" s="76" t="str">
        <f>C6</f>
        <v/>
      </c>
      <c r="J7" s="67">
        <f>H7*I7</f>
        <v>0</v>
      </c>
    </row>
    <row r="8" ht="14.25" customHeight="1">
      <c r="A8" s="75"/>
      <c r="B8" s="68"/>
      <c r="C8" s="76"/>
      <c r="D8" s="67"/>
      <c r="G8" s="75"/>
      <c r="H8" s="68"/>
      <c r="I8" s="76"/>
      <c r="J8" s="67"/>
    </row>
    <row r="9" ht="14.25" customHeight="1">
      <c r="A9" s="75"/>
      <c r="B9" s="68"/>
      <c r="C9" s="76"/>
      <c r="D9" s="67"/>
      <c r="G9" s="75"/>
      <c r="H9" s="68"/>
      <c r="I9" s="76"/>
      <c r="J9" s="67"/>
    </row>
    <row r="10" ht="14.25" customHeight="1">
      <c r="C10" s="76"/>
      <c r="D10" s="67"/>
      <c r="I10" s="76"/>
      <c r="J10" s="67"/>
    </row>
    <row r="11" ht="14.25" customHeight="1">
      <c r="A11" s="75"/>
      <c r="B11" s="68"/>
      <c r="C11" s="76"/>
      <c r="D11" s="67"/>
      <c r="G11" s="75"/>
      <c r="H11" s="68"/>
      <c r="I11" s="76"/>
      <c r="J11" s="67"/>
    </row>
    <row r="12" ht="14.25" customHeight="1">
      <c r="A12" s="75"/>
      <c r="B12" s="68"/>
      <c r="C12" s="76"/>
      <c r="D12" s="67"/>
      <c r="G12" s="75"/>
      <c r="H12" s="68"/>
      <c r="I12" s="76"/>
      <c r="J12" s="67"/>
    </row>
    <row r="13" ht="14.25" customHeight="1">
      <c r="A13" s="22" t="s">
        <v>84</v>
      </c>
      <c r="B13" s="109"/>
      <c r="C13" s="109"/>
      <c r="D13" s="110" t="str">
        <f>IF(SUM(D3:D12)=0,"",SUM(D3:D12))</f>
        <v/>
      </c>
      <c r="G13" s="22" t="s">
        <v>84</v>
      </c>
      <c r="H13" s="109"/>
      <c r="I13" s="109"/>
      <c r="J13" s="110">
        <f>IF(SUM(J3:J12)=0,"",SUM(J3:J12))</f>
        <v>170437.4916</v>
      </c>
    </row>
    <row r="14" ht="14.25" customHeight="1">
      <c r="A14" s="111" t="s">
        <v>102</v>
      </c>
      <c r="B14" s="108">
        <f>IF(D14="","",IF(ISBLANK(C14),"",D14/C14))</f>
        <v>0</v>
      </c>
      <c r="C14" s="110">
        <v>22000.0</v>
      </c>
      <c r="D14" s="173">
        <f>D1*0.045</f>
        <v>0</v>
      </c>
      <c r="G14" s="111" t="s">
        <v>102</v>
      </c>
      <c r="H14" s="108">
        <f>IF(J14="","",IF(ISBLANK(I14),"",J14/I14))</f>
        <v>0.003031496887</v>
      </c>
      <c r="I14" s="110">
        <v>22000.0</v>
      </c>
      <c r="J14" s="173">
        <f>J1*0.045</f>
        <v>66.69293151</v>
      </c>
    </row>
    <row r="15" ht="14.25" customHeight="1"/>
    <row r="16" ht="14.25" customHeight="1"/>
    <row r="17" ht="14.25" customHeight="1">
      <c r="A17" s="22" t="s">
        <v>250</v>
      </c>
      <c r="B17" s="27">
        <v>240.0</v>
      </c>
      <c r="C17" s="27" t="s">
        <v>90</v>
      </c>
      <c r="D17" s="114">
        <f>D29/B17</f>
        <v>2246.702257</v>
      </c>
      <c r="E17" s="153" t="str">
        <f>D17/#REF!</f>
        <v>#REF!</v>
      </c>
      <c r="G17" s="22" t="s">
        <v>255</v>
      </c>
      <c r="H17" s="27">
        <v>115.0</v>
      </c>
      <c r="I17" s="27" t="s">
        <v>90</v>
      </c>
      <c r="J17" s="114">
        <f>J29/H17</f>
        <v>3103.305529</v>
      </c>
      <c r="K17" s="153" t="str">
        <f>J17/#REF!</f>
        <v>#REF!</v>
      </c>
    </row>
    <row r="18" ht="14.25" customHeight="1">
      <c r="A18" s="52" t="s">
        <v>42</v>
      </c>
      <c r="B18" s="54" t="s">
        <v>3</v>
      </c>
      <c r="C18" s="54" t="s">
        <v>44</v>
      </c>
      <c r="D18" s="56" t="s">
        <v>35</v>
      </c>
      <c r="G18" s="52" t="s">
        <v>42</v>
      </c>
      <c r="H18" s="54" t="s">
        <v>3</v>
      </c>
      <c r="I18" s="54" t="s">
        <v>44</v>
      </c>
      <c r="J18" s="56" t="s">
        <v>35</v>
      </c>
    </row>
    <row r="19" ht="14.25" customHeight="1">
      <c r="A19" s="60" t="s">
        <v>208</v>
      </c>
      <c r="B19" s="68">
        <v>5.0</v>
      </c>
      <c r="C19" s="67">
        <f>$I$4</f>
        <v>99000</v>
      </c>
      <c r="D19" s="67">
        <f t="shared" ref="D19:D21" si="2">B19*C19</f>
        <v>495000</v>
      </c>
      <c r="G19" s="60" t="s">
        <v>266</v>
      </c>
      <c r="H19" s="68">
        <v>0.6</v>
      </c>
      <c r="I19" s="67">
        <f>'F&amp;B'!$F$82</f>
        <v>63000</v>
      </c>
      <c r="J19" s="67">
        <f t="shared" ref="J19:J22" si="3">I19*H19</f>
        <v>37800</v>
      </c>
    </row>
    <row r="20" ht="14.25" customHeight="1">
      <c r="A20" s="60" t="s">
        <v>272</v>
      </c>
      <c r="B20" s="68">
        <v>2.5</v>
      </c>
      <c r="C20" s="67">
        <f>'F&amp;B'!F126</f>
        <v>11700</v>
      </c>
      <c r="D20" s="67">
        <f t="shared" si="2"/>
        <v>29250</v>
      </c>
      <c r="G20" s="60" t="s">
        <v>275</v>
      </c>
      <c r="H20" s="68">
        <v>2.0</v>
      </c>
      <c r="I20" s="67">
        <f>'F&amp;B'!$F$99/6</f>
        <v>126000</v>
      </c>
      <c r="J20" s="67">
        <f t="shared" si="3"/>
        <v>252000</v>
      </c>
    </row>
    <row r="21" ht="14.25" customHeight="1">
      <c r="A21" s="60" t="s">
        <v>214</v>
      </c>
      <c r="B21" s="68">
        <v>2.0</v>
      </c>
      <c r="C21" s="67">
        <f>$I$5</f>
        <v>6300</v>
      </c>
      <c r="D21" s="67">
        <f t="shared" si="2"/>
        <v>12600</v>
      </c>
      <c r="G21" s="60" t="s">
        <v>286</v>
      </c>
      <c r="H21" s="68">
        <v>0.2</v>
      </c>
      <c r="I21" s="67">
        <f>'F&amp;B'!$F$86</f>
        <v>44550</v>
      </c>
      <c r="J21" s="67">
        <f t="shared" si="3"/>
        <v>8910</v>
      </c>
    </row>
    <row r="22" ht="14.25" customHeight="1">
      <c r="A22" s="75" t="s">
        <v>218</v>
      </c>
      <c r="B22" s="68">
        <f>B17</f>
        <v>240</v>
      </c>
      <c r="C22" s="67">
        <v>400000.0</v>
      </c>
      <c r="D22" s="67">
        <f>C22/B22</f>
        <v>1666.666667</v>
      </c>
      <c r="G22" s="75" t="s">
        <v>295</v>
      </c>
      <c r="H22" s="68">
        <v>4.0</v>
      </c>
      <c r="I22" s="67">
        <f>'F&amp;B'!$F$21</f>
        <v>13500</v>
      </c>
      <c r="J22" s="67">
        <f t="shared" si="3"/>
        <v>54000</v>
      </c>
    </row>
    <row r="23" ht="14.25" customHeight="1">
      <c r="A23" s="75" t="s">
        <v>223</v>
      </c>
      <c r="B23" s="68">
        <v>0.25</v>
      </c>
      <c r="C23" s="76">
        <f>'UTL COST'!D3</f>
        <v>2767.5</v>
      </c>
      <c r="D23" s="67">
        <f>B23*C23</f>
        <v>691.875</v>
      </c>
      <c r="G23" s="75" t="s">
        <v>218</v>
      </c>
      <c r="H23" s="68">
        <f>H17</f>
        <v>115</v>
      </c>
      <c r="I23" s="67">
        <v>400000.0</v>
      </c>
      <c r="J23" s="67">
        <f>I23/H23</f>
        <v>3478.26087</v>
      </c>
    </row>
    <row r="24" ht="14.25" customHeight="1">
      <c r="A24" s="75"/>
      <c r="B24" s="68"/>
      <c r="C24" s="76"/>
      <c r="D24" s="67"/>
      <c r="G24" s="75" t="s">
        <v>223</v>
      </c>
      <c r="H24" s="68">
        <v>0.25</v>
      </c>
      <c r="I24" s="76">
        <f>C23</f>
        <v>2767.5</v>
      </c>
      <c r="J24" s="67">
        <f>H24*I24</f>
        <v>691.875</v>
      </c>
    </row>
    <row r="25" ht="14.25" customHeight="1">
      <c r="A25" s="75"/>
      <c r="B25" s="68"/>
      <c r="C25" s="76"/>
      <c r="D25" s="67"/>
      <c r="G25" s="75"/>
      <c r="H25" s="68"/>
      <c r="I25" s="76"/>
      <c r="J25" s="67"/>
    </row>
    <row r="26" ht="14.25" customHeight="1">
      <c r="C26" s="76"/>
      <c r="D26" s="67"/>
      <c r="I26" s="76"/>
      <c r="J26" s="67"/>
    </row>
    <row r="27" ht="14.25" customHeight="1">
      <c r="A27" s="75"/>
      <c r="B27" s="68"/>
      <c r="C27" s="76"/>
      <c r="D27" s="67"/>
      <c r="G27" s="75"/>
      <c r="H27" s="68"/>
      <c r="I27" s="76"/>
      <c r="J27" s="67"/>
    </row>
    <row r="28" ht="14.25" customHeight="1">
      <c r="A28" s="75"/>
      <c r="B28" s="68"/>
      <c r="C28" s="76"/>
      <c r="D28" s="67"/>
      <c r="G28" s="75"/>
      <c r="H28" s="68"/>
      <c r="I28" s="76"/>
      <c r="J28" s="67"/>
    </row>
    <row r="29" ht="14.25" customHeight="1">
      <c r="A29" s="22" t="s">
        <v>84</v>
      </c>
      <c r="B29" s="109"/>
      <c r="C29" s="109"/>
      <c r="D29" s="110">
        <f>IF(SUM(D19:D28)=0,"",SUM(D19:D28))</f>
        <v>539208.5417</v>
      </c>
      <c r="G29" s="22" t="s">
        <v>84</v>
      </c>
      <c r="H29" s="109"/>
      <c r="I29" s="109"/>
      <c r="J29" s="110">
        <f>IF(SUM(J19:J28)=0,"",SUM(J19:J28))</f>
        <v>356880.1359</v>
      </c>
    </row>
    <row r="30" ht="14.25" customHeight="1">
      <c r="A30" s="111" t="s">
        <v>102</v>
      </c>
      <c r="B30" s="108">
        <f>IF(D30="","",IF(ISBLANK(C30),"",D30/C30))</f>
        <v>0.004595527344</v>
      </c>
      <c r="C30" s="110">
        <v>22000.0</v>
      </c>
      <c r="D30" s="173">
        <f>D17*0.045</f>
        <v>101.1016016</v>
      </c>
      <c r="G30" s="111" t="s">
        <v>102</v>
      </c>
      <c r="H30" s="108">
        <f>IF(J30="","",IF(ISBLANK(I30),"",J30/I30))</f>
        <v>0.006347670401</v>
      </c>
      <c r="I30" s="110">
        <v>22000.0</v>
      </c>
      <c r="J30" s="173">
        <f>J17*0.045</f>
        <v>139.6487488</v>
      </c>
    </row>
    <row r="31" ht="14.25" customHeight="1"/>
    <row r="32" ht="14.25" customHeight="1">
      <c r="A32" s="22" t="s">
        <v>334</v>
      </c>
      <c r="B32" s="27">
        <v>8.0</v>
      </c>
      <c r="C32" s="27" t="s">
        <v>90</v>
      </c>
      <c r="D32" s="114">
        <f>D44/B32</f>
        <v>12991.335</v>
      </c>
      <c r="E32" s="153" t="str">
        <f>D32/#REF!</f>
        <v>#REF!</v>
      </c>
      <c r="G32" s="22" t="s">
        <v>341</v>
      </c>
      <c r="H32" s="27">
        <v>4.08</v>
      </c>
      <c r="I32" s="27" t="s">
        <v>90</v>
      </c>
      <c r="J32" s="114">
        <f>J44/H32</f>
        <v>30194.11765</v>
      </c>
    </row>
    <row r="33" ht="14.25" customHeight="1">
      <c r="A33" s="52" t="s">
        <v>42</v>
      </c>
      <c r="B33" s="54" t="s">
        <v>3</v>
      </c>
      <c r="C33" s="54" t="s">
        <v>44</v>
      </c>
      <c r="D33" s="56" t="s">
        <v>35</v>
      </c>
      <c r="G33" s="52" t="s">
        <v>42</v>
      </c>
      <c r="H33" s="54" t="s">
        <v>3</v>
      </c>
      <c r="I33" s="54" t="s">
        <v>44</v>
      </c>
      <c r="J33" s="56" t="s">
        <v>35</v>
      </c>
    </row>
    <row r="34" ht="14.25" customHeight="1">
      <c r="A34" s="60" t="s">
        <v>350</v>
      </c>
      <c r="B34" s="68">
        <v>0.55</v>
      </c>
      <c r="C34" s="67">
        <f>'F&amp;B'!$F$101/8</f>
        <v>117450</v>
      </c>
      <c r="D34" s="67">
        <f t="shared" ref="D34:D38" si="4">B34*C34</f>
        <v>64597.5</v>
      </c>
      <c r="G34" s="60" t="s">
        <v>208</v>
      </c>
      <c r="H34" s="68">
        <v>1.0</v>
      </c>
      <c r="I34" s="67">
        <f>'F&amp;B'!$F$209</f>
        <v>99000</v>
      </c>
      <c r="J34" s="67">
        <f t="shared" ref="J34:J39" si="5">I34*H34</f>
        <v>99000</v>
      </c>
    </row>
    <row r="35" ht="14.25" customHeight="1">
      <c r="A35" s="60" t="s">
        <v>225</v>
      </c>
      <c r="B35" s="68">
        <v>4.0</v>
      </c>
      <c r="C35" s="67">
        <f>'F&amp;B'!$F$84/30</f>
        <v>1299</v>
      </c>
      <c r="D35" s="67">
        <f t="shared" si="4"/>
        <v>5196</v>
      </c>
      <c r="G35" s="60" t="s">
        <v>364</v>
      </c>
      <c r="H35" s="68">
        <v>2.0</v>
      </c>
      <c r="I35" s="67">
        <f>'F&amp;B'!$F$279</f>
        <v>7200</v>
      </c>
      <c r="J35" s="67">
        <f t="shared" si="5"/>
        <v>14400</v>
      </c>
    </row>
    <row r="36" ht="14.25" customHeight="1">
      <c r="A36" s="60" t="s">
        <v>239</v>
      </c>
      <c r="B36" s="68">
        <v>0.3</v>
      </c>
      <c r="C36" s="67">
        <f>'F&amp;B'!F145/50</f>
        <v>165.6</v>
      </c>
      <c r="D36" s="67">
        <f t="shared" si="4"/>
        <v>49.68</v>
      </c>
      <c r="G36" s="60" t="s">
        <v>214</v>
      </c>
      <c r="H36" s="68">
        <v>1.0</v>
      </c>
      <c r="I36" s="67">
        <f>'F&amp;B'!$F$290</f>
        <v>6300</v>
      </c>
      <c r="J36" s="67">
        <f t="shared" si="5"/>
        <v>6300</v>
      </c>
    </row>
    <row r="37" ht="14.25" customHeight="1">
      <c r="A37" s="75" t="s">
        <v>372</v>
      </c>
      <c r="B37" s="68">
        <v>0.3</v>
      </c>
      <c r="C37" s="67">
        <f>'F&amp;B'!$F$87</f>
        <v>58500</v>
      </c>
      <c r="D37" s="67">
        <f t="shared" si="4"/>
        <v>17550</v>
      </c>
      <c r="G37" s="75" t="s">
        <v>82</v>
      </c>
      <c r="H37" s="68">
        <v>0.02</v>
      </c>
      <c r="I37" s="67">
        <f>'F&amp;B'!$F$148</f>
        <v>51750</v>
      </c>
      <c r="J37" s="67">
        <f t="shared" si="5"/>
        <v>1035</v>
      </c>
    </row>
    <row r="38" ht="14.25" customHeight="1">
      <c r="A38" s="75" t="s">
        <v>383</v>
      </c>
      <c r="B38" s="68">
        <v>0.05</v>
      </c>
      <c r="C38" s="76">
        <f>'F&amp;B'!$F$178</f>
        <v>330750</v>
      </c>
      <c r="D38" s="67">
        <f t="shared" si="4"/>
        <v>16537.5</v>
      </c>
      <c r="G38" s="75" t="s">
        <v>386</v>
      </c>
      <c r="H38" s="68">
        <v>0.04</v>
      </c>
      <c r="I38" s="67">
        <f>'F&amp;B'!$F$245</f>
        <v>32175</v>
      </c>
      <c r="J38" s="67">
        <f t="shared" si="5"/>
        <v>1287</v>
      </c>
    </row>
    <row r="39" ht="14.25" customHeight="1">
      <c r="A39" s="75"/>
      <c r="B39" s="68"/>
      <c r="C39" s="76"/>
      <c r="D39" s="67"/>
      <c r="G39" s="75" t="s">
        <v>58</v>
      </c>
      <c r="H39" s="68">
        <v>0.02</v>
      </c>
      <c r="I39" s="76">
        <f>'F&amp;B'!$F$143</f>
        <v>58500</v>
      </c>
      <c r="J39" s="67">
        <f t="shared" si="5"/>
        <v>1170</v>
      </c>
    </row>
    <row r="40" ht="14.25" customHeight="1">
      <c r="A40" s="75"/>
      <c r="B40" s="68"/>
      <c r="C40" s="76"/>
      <c r="D40" s="67"/>
      <c r="G40" s="75"/>
      <c r="H40" s="68"/>
      <c r="I40" s="76"/>
      <c r="J40" s="67"/>
    </row>
    <row r="41" ht="14.25" customHeight="1">
      <c r="C41" s="76"/>
      <c r="D41" s="67"/>
      <c r="I41" s="76"/>
      <c r="J41" s="67"/>
    </row>
    <row r="42" ht="14.25" customHeight="1">
      <c r="A42" s="75"/>
      <c r="B42" s="68"/>
      <c r="C42" s="76"/>
      <c r="D42" s="67"/>
      <c r="G42" s="75"/>
      <c r="H42" s="68"/>
      <c r="I42" s="76"/>
      <c r="J42" s="67"/>
    </row>
    <row r="43" ht="14.25" customHeight="1">
      <c r="A43" s="75"/>
      <c r="B43" s="68"/>
      <c r="C43" s="76"/>
      <c r="D43" s="67"/>
      <c r="G43" s="75"/>
      <c r="H43" s="68"/>
      <c r="I43" s="76"/>
      <c r="J43" s="67"/>
    </row>
    <row r="44" ht="14.25" customHeight="1">
      <c r="A44" s="22" t="s">
        <v>84</v>
      </c>
      <c r="B44" s="109"/>
      <c r="C44" s="109"/>
      <c r="D44" s="110">
        <f>IF(SUM(D34:D43)=0,"",SUM(D34:D43))</f>
        <v>103930.68</v>
      </c>
      <c r="G44" s="22" t="s">
        <v>84</v>
      </c>
      <c r="H44" s="109"/>
      <c r="I44" s="109"/>
      <c r="J44" s="110">
        <f>IF(SUM(J34:J43)=0,"",SUM(J34:J43))</f>
        <v>123192</v>
      </c>
    </row>
    <row r="45" ht="14.25" customHeight="1">
      <c r="A45" s="111"/>
      <c r="B45" s="108" t="str">
        <f>IF(D45="","",IF(ISBLANK(C45),"",D45/C45))</f>
        <v/>
      </c>
      <c r="C45" s="110"/>
      <c r="D45" s="173"/>
      <c r="G45" s="111" t="s">
        <v>102</v>
      </c>
      <c r="H45" s="108">
        <f>IF(J45="","",IF(ISBLANK(I45),"",J45/I45))</f>
        <v>0.06176069519</v>
      </c>
      <c r="I45" s="110">
        <v>22000.0</v>
      </c>
      <c r="J45" s="173">
        <f>J32*0.045</f>
        <v>1358.735294</v>
      </c>
    </row>
    <row r="46" ht="14.25" customHeight="1"/>
    <row r="47" ht="14.25" customHeight="1"/>
    <row r="48" ht="14.25" customHeight="1">
      <c r="A48" s="22" t="s">
        <v>417</v>
      </c>
      <c r="B48" s="27">
        <v>215.0</v>
      </c>
      <c r="C48" s="27" t="s">
        <v>419</v>
      </c>
      <c r="D48" s="114">
        <f>B48*C50/1000</f>
        <v>59985</v>
      </c>
      <c r="G48" s="200" t="s">
        <v>423</v>
      </c>
      <c r="H48" s="201">
        <v>14.0</v>
      </c>
      <c r="I48" s="201" t="s">
        <v>90</v>
      </c>
      <c r="J48" s="203" t="str">
        <f>J60/H48</f>
        <v>#REF!</v>
      </c>
    </row>
    <row r="49" ht="14.25" customHeight="1">
      <c r="A49" s="52" t="s">
        <v>42</v>
      </c>
      <c r="B49" s="54" t="s">
        <v>3</v>
      </c>
      <c r="C49" s="54" t="s">
        <v>44</v>
      </c>
      <c r="D49" s="56" t="s">
        <v>35</v>
      </c>
      <c r="G49" s="52" t="s">
        <v>42</v>
      </c>
      <c r="H49" s="54" t="s">
        <v>3</v>
      </c>
      <c r="I49" s="54" t="s">
        <v>44</v>
      </c>
      <c r="J49" s="56" t="s">
        <v>35</v>
      </c>
    </row>
    <row r="50" ht="14.25" customHeight="1">
      <c r="A50" s="60" t="s">
        <v>432</v>
      </c>
      <c r="B50" s="68">
        <v>4.06</v>
      </c>
      <c r="C50" s="67">
        <v>279000.0</v>
      </c>
      <c r="D50" s="67">
        <f>B50*C50</f>
        <v>1132740</v>
      </c>
      <c r="G50" s="60" t="s">
        <v>438</v>
      </c>
      <c r="H50" s="68">
        <v>1.2</v>
      </c>
      <c r="I50" s="76" t="str">
        <f>1.3*#REF!</f>
        <v>#REF!</v>
      </c>
      <c r="J50" s="67" t="str">
        <f t="shared" ref="J50:J57" si="6">H50*I50</f>
        <v>#REF!</v>
      </c>
      <c r="K50" s="205" t="str">
        <f t="shared" ref="K50:K57" si="7">J50/$J$60</f>
        <v>#REF!</v>
      </c>
    </row>
    <row r="51" ht="14.25" customHeight="1">
      <c r="A51" s="60"/>
      <c r="B51" s="68"/>
      <c r="C51" s="67"/>
      <c r="D51" s="67"/>
      <c r="G51" s="60" t="s">
        <v>446</v>
      </c>
      <c r="H51" s="68">
        <v>0.16</v>
      </c>
      <c r="I51" s="76">
        <f>'F&amp;B'!$F$17/25</f>
        <v>10591.2</v>
      </c>
      <c r="J51" s="67">
        <f t="shared" si="6"/>
        <v>1694.592</v>
      </c>
      <c r="K51" s="205" t="str">
        <f t="shared" si="7"/>
        <v>#REF!</v>
      </c>
    </row>
    <row r="52" ht="14.25" customHeight="1">
      <c r="A52" s="60"/>
      <c r="B52" s="68"/>
      <c r="C52" s="67"/>
      <c r="D52" s="67"/>
      <c r="G52" s="60" t="s">
        <v>449</v>
      </c>
      <c r="H52" s="68">
        <v>0.4</v>
      </c>
      <c r="I52" s="67">
        <f>'F&amp;B'!$F$145/50</f>
        <v>165.6</v>
      </c>
      <c r="J52" s="67">
        <f t="shared" si="6"/>
        <v>66.24</v>
      </c>
      <c r="K52" s="205" t="str">
        <f t="shared" si="7"/>
        <v>#REF!</v>
      </c>
    </row>
    <row r="53" ht="14.25" customHeight="1">
      <c r="A53" s="75"/>
      <c r="B53" s="68"/>
      <c r="C53" s="67"/>
      <c r="D53" s="67"/>
      <c r="G53" s="75" t="s">
        <v>452</v>
      </c>
      <c r="H53" s="68">
        <v>2.0</v>
      </c>
      <c r="I53" s="76" t="str">
        <f>0.02*#REF!</f>
        <v>#REF!</v>
      </c>
      <c r="J53" s="67" t="str">
        <f t="shared" si="6"/>
        <v>#REF!</v>
      </c>
      <c r="K53" s="205" t="str">
        <f t="shared" si="7"/>
        <v>#REF!</v>
      </c>
    </row>
    <row r="54" ht="14.25" customHeight="1">
      <c r="A54" s="75"/>
      <c r="B54" s="68"/>
      <c r="C54" s="76"/>
      <c r="D54" s="67"/>
      <c r="G54" s="75" t="s">
        <v>458</v>
      </c>
      <c r="H54" s="68">
        <v>3.0</v>
      </c>
      <c r="I54" s="76">
        <f>'F&amp;B'!$F$96</f>
        <v>13050</v>
      </c>
      <c r="J54" s="67">
        <f t="shared" si="6"/>
        <v>39150</v>
      </c>
      <c r="K54" s="205" t="str">
        <f t="shared" si="7"/>
        <v>#REF!</v>
      </c>
    </row>
    <row r="55" ht="14.25" customHeight="1">
      <c r="A55" s="75"/>
      <c r="B55" s="68"/>
      <c r="C55" s="76"/>
      <c r="D55" s="67"/>
      <c r="G55" s="75" t="s">
        <v>463</v>
      </c>
      <c r="H55" s="68">
        <v>0.05</v>
      </c>
      <c r="I55" s="76" t="str">
        <f t="shared" ref="I55:I56" si="8">0.4*#REF!</f>
        <v>#REF!</v>
      </c>
      <c r="J55" s="67" t="str">
        <f t="shared" si="6"/>
        <v>#REF!</v>
      </c>
      <c r="K55" s="205" t="str">
        <f t="shared" si="7"/>
        <v>#REF!</v>
      </c>
    </row>
    <row r="56" ht="14.25" customHeight="1">
      <c r="A56" s="75"/>
      <c r="B56" s="68"/>
      <c r="C56" s="76"/>
      <c r="D56" s="67"/>
      <c r="G56" s="75" t="s">
        <v>467</v>
      </c>
      <c r="H56" s="68">
        <v>0.03</v>
      </c>
      <c r="I56" s="76" t="str">
        <f t="shared" si="8"/>
        <v>#REF!</v>
      </c>
      <c r="J56" s="67" t="str">
        <f t="shared" si="6"/>
        <v>#REF!</v>
      </c>
      <c r="K56" s="205" t="str">
        <f t="shared" si="7"/>
        <v>#REF!</v>
      </c>
    </row>
    <row r="57" ht="14.25" customHeight="1">
      <c r="C57" s="76"/>
      <c r="D57" s="67"/>
      <c r="G57" s="75" t="s">
        <v>471</v>
      </c>
      <c r="H57" s="68">
        <v>0.4</v>
      </c>
      <c r="I57" s="76">
        <f>'F&amp;B'!$F$79/25</f>
        <v>14040</v>
      </c>
      <c r="J57" s="67">
        <f t="shared" si="6"/>
        <v>5616</v>
      </c>
      <c r="K57" s="205" t="str">
        <f t="shared" si="7"/>
        <v>#REF!</v>
      </c>
    </row>
    <row r="58" ht="14.25" customHeight="1">
      <c r="A58" s="75"/>
      <c r="B58" s="68"/>
      <c r="C58" s="76"/>
      <c r="D58" s="67"/>
      <c r="G58" s="75"/>
      <c r="H58" s="68"/>
      <c r="I58" s="76"/>
      <c r="J58" s="67"/>
    </row>
    <row r="59" ht="14.25" customHeight="1">
      <c r="A59" s="75"/>
      <c r="B59" s="68"/>
      <c r="C59" s="76"/>
      <c r="D59" s="67"/>
      <c r="G59" s="75"/>
      <c r="H59" s="68"/>
      <c r="I59" s="76"/>
      <c r="J59" s="67"/>
    </row>
    <row r="60" ht="14.25" customHeight="1">
      <c r="A60" s="22" t="s">
        <v>84</v>
      </c>
      <c r="B60" s="109"/>
      <c r="C60" s="109"/>
      <c r="D60" s="110">
        <f>IF(SUM(D50:D59)=0,"",SUM(D50:D59))</f>
        <v>1132740</v>
      </c>
      <c r="G60" s="22" t="s">
        <v>84</v>
      </c>
      <c r="H60" s="109"/>
      <c r="I60" s="109"/>
      <c r="J60" s="110" t="str">
        <f>IF(SUM(J50:J59)=0,"",SUM(J50:J59))</f>
        <v>#REF!</v>
      </c>
    </row>
    <row r="61" ht="14.25" customHeight="1">
      <c r="A61" s="111"/>
      <c r="B61" s="108" t="str">
        <f>IF(D61="","",IF(ISBLANK(C61),"",D61/C61))</f>
        <v/>
      </c>
      <c r="C61" s="110"/>
      <c r="D61" s="173"/>
      <c r="G61" s="111" t="s">
        <v>102</v>
      </c>
      <c r="H61" s="108" t="str">
        <f>IF(J61="","",IF(ISBLANK(I61),"",J61/I61))</f>
        <v>#REF!</v>
      </c>
      <c r="I61" s="110">
        <v>22000.0</v>
      </c>
      <c r="J61" s="173" t="str">
        <f>J48*0.045</f>
        <v>#REF!</v>
      </c>
    </row>
    <row r="62" ht="14.25" customHeight="1"/>
    <row r="63" ht="14.25" customHeight="1"/>
    <row r="64" ht="14.25" customHeight="1">
      <c r="A64" s="22" t="s">
        <v>489</v>
      </c>
      <c r="B64" s="27">
        <v>5.0</v>
      </c>
      <c r="C64" s="27" t="s">
        <v>90</v>
      </c>
      <c r="D64" s="114">
        <f>D76/B64</f>
        <v>5964.5532</v>
      </c>
      <c r="E64" s="58">
        <f>D64/90000</f>
        <v>0.06627281333</v>
      </c>
      <c r="G64" s="22" t="s">
        <v>494</v>
      </c>
      <c r="H64" s="27">
        <v>8.0</v>
      </c>
      <c r="I64" s="27" t="s">
        <v>90</v>
      </c>
      <c r="J64" s="114">
        <f>J76/H64</f>
        <v>2138.95</v>
      </c>
      <c r="K64" s="58">
        <f>J64/90000</f>
        <v>0.02376611111</v>
      </c>
    </row>
    <row r="65" ht="14.25" customHeight="1">
      <c r="A65" s="52" t="s">
        <v>42</v>
      </c>
      <c r="B65" s="54" t="s">
        <v>3</v>
      </c>
      <c r="C65" s="54" t="s">
        <v>44</v>
      </c>
      <c r="D65" s="56" t="s">
        <v>35</v>
      </c>
      <c r="G65" s="52" t="s">
        <v>42</v>
      </c>
      <c r="H65" s="54" t="s">
        <v>3</v>
      </c>
      <c r="I65" s="54" t="s">
        <v>44</v>
      </c>
      <c r="J65" s="56" t="s">
        <v>35</v>
      </c>
    </row>
    <row r="66" ht="14.25" customHeight="1">
      <c r="A66" s="60" t="s">
        <v>216</v>
      </c>
      <c r="B66" s="68">
        <f>0.24*2</f>
        <v>0.48</v>
      </c>
      <c r="C66" s="76">
        <f>'F&amp;B'!F17/50</f>
        <v>5295.6</v>
      </c>
      <c r="D66" s="67">
        <f t="shared" ref="D66:D73" si="9">B66*C66</f>
        <v>2541.888</v>
      </c>
      <c r="G66" s="60" t="s">
        <v>216</v>
      </c>
      <c r="H66" s="68">
        <v>0.25</v>
      </c>
      <c r="I66" s="76">
        <f>'F&amp;B'!F17/50</f>
        <v>5295.6</v>
      </c>
      <c r="J66" s="67">
        <f t="shared" ref="J66:J72" si="10">H66*I66</f>
        <v>1323.9</v>
      </c>
    </row>
    <row r="67" ht="14.25" customHeight="1">
      <c r="A67" s="60" t="s">
        <v>58</v>
      </c>
      <c r="B67" s="68">
        <f>4.2/1000</f>
        <v>0.0042</v>
      </c>
      <c r="C67" s="76">
        <f>'F&amp;B'!F143/25</f>
        <v>2340</v>
      </c>
      <c r="D67" s="67">
        <f t="shared" si="9"/>
        <v>9.828</v>
      </c>
      <c r="G67" s="60" t="s">
        <v>225</v>
      </c>
      <c r="H67" s="68">
        <v>3.0</v>
      </c>
      <c r="I67" s="76">
        <f>'F&amp;B'!F84/30</f>
        <v>1299</v>
      </c>
      <c r="J67" s="67">
        <f t="shared" si="10"/>
        <v>3897</v>
      </c>
    </row>
    <row r="68" ht="14.25" customHeight="1">
      <c r="A68" s="60" t="s">
        <v>526</v>
      </c>
      <c r="B68" s="68">
        <f>B67*4</f>
        <v>0.0168</v>
      </c>
      <c r="C68" s="67">
        <f>'F&amp;B'!$F$163</f>
        <v>40500</v>
      </c>
      <c r="D68" s="67">
        <f t="shared" si="9"/>
        <v>680.4</v>
      </c>
      <c r="G68" s="60" t="s">
        <v>86</v>
      </c>
      <c r="H68" s="68">
        <v>0.125</v>
      </c>
      <c r="I68" s="67">
        <f>'F&amp;B'!F96</f>
        <v>13050</v>
      </c>
      <c r="J68" s="67">
        <f t="shared" si="10"/>
        <v>1631.25</v>
      </c>
    </row>
    <row r="69" ht="14.25" customHeight="1">
      <c r="A69" s="75" t="s">
        <v>225</v>
      </c>
      <c r="B69" s="68">
        <v>2.0</v>
      </c>
      <c r="C69" s="76">
        <f>$C$35</f>
        <v>1299</v>
      </c>
      <c r="D69" s="67">
        <f t="shared" si="9"/>
        <v>2598</v>
      </c>
      <c r="G69" s="75" t="s">
        <v>78</v>
      </c>
      <c r="H69" s="68">
        <v>0.125</v>
      </c>
      <c r="I69" s="76">
        <v>10000.0</v>
      </c>
      <c r="J69" s="67">
        <f t="shared" si="10"/>
        <v>1250</v>
      </c>
    </row>
    <row r="70" ht="14.25" customHeight="1">
      <c r="A70" s="75" t="s">
        <v>86</v>
      </c>
      <c r="B70" s="68">
        <f>0.24*1.5</f>
        <v>0.36</v>
      </c>
      <c r="C70" s="76">
        <f>'F&amp;B'!$F$96</f>
        <v>13050</v>
      </c>
      <c r="D70" s="67">
        <f t="shared" si="9"/>
        <v>4698</v>
      </c>
      <c r="G70" s="75" t="s">
        <v>58</v>
      </c>
      <c r="H70" s="68">
        <v>0.05</v>
      </c>
      <c r="I70" s="218">
        <f>'F&amp;B'!F143/25</f>
        <v>2340</v>
      </c>
      <c r="J70" s="67">
        <f t="shared" si="10"/>
        <v>117</v>
      </c>
    </row>
    <row r="71" ht="14.25" customHeight="1">
      <c r="A71" s="75" t="s">
        <v>374</v>
      </c>
      <c r="B71" s="68">
        <f>0.24*0.75</f>
        <v>0.18</v>
      </c>
      <c r="C71" s="76">
        <f>'F&amp;B'!F79/25</f>
        <v>14040</v>
      </c>
      <c r="D71" s="67">
        <f t="shared" si="9"/>
        <v>2527.2</v>
      </c>
      <c r="G71" s="75" t="s">
        <v>374</v>
      </c>
      <c r="H71" s="68">
        <v>0.28</v>
      </c>
      <c r="I71" s="76">
        <f>'F&amp;B'!$F$79/25</f>
        <v>14040</v>
      </c>
      <c r="J71" s="67">
        <f t="shared" si="10"/>
        <v>3931.2</v>
      </c>
    </row>
    <row r="72" ht="14.25" customHeight="1">
      <c r="A72" s="75" t="s">
        <v>559</v>
      </c>
      <c r="B72" s="68">
        <f>B67*3</f>
        <v>0.0126</v>
      </c>
      <c r="C72" s="76">
        <f>$C$38</f>
        <v>330750</v>
      </c>
      <c r="D72" s="67">
        <f t="shared" si="9"/>
        <v>4167.45</v>
      </c>
      <c r="G72" s="75" t="s">
        <v>383</v>
      </c>
      <c r="H72" s="68">
        <v>0.015</v>
      </c>
      <c r="I72" s="76">
        <f>C72</f>
        <v>330750</v>
      </c>
      <c r="J72" s="67">
        <f t="shared" si="10"/>
        <v>4961.25</v>
      </c>
    </row>
    <row r="73" ht="14.25" customHeight="1">
      <c r="A73" s="75" t="s">
        <v>566</v>
      </c>
      <c r="B73" s="68">
        <v>0.1</v>
      </c>
      <c r="C73" s="76">
        <f>'F&amp;B'!F170</f>
        <v>126000</v>
      </c>
      <c r="D73" s="67">
        <f t="shared" si="9"/>
        <v>12600</v>
      </c>
      <c r="G73" s="75"/>
      <c r="H73" s="68"/>
      <c r="I73" s="76"/>
      <c r="J73" s="67"/>
    </row>
    <row r="74" ht="14.25" customHeight="1">
      <c r="A74" s="75"/>
      <c r="B74" s="68"/>
      <c r="C74" s="76"/>
      <c r="D74" s="67"/>
      <c r="G74" s="75"/>
      <c r="H74" s="68"/>
      <c r="I74" s="76"/>
      <c r="J74" s="67"/>
    </row>
    <row r="75" ht="14.25" customHeight="1">
      <c r="A75" s="75"/>
      <c r="B75" s="68"/>
      <c r="C75" s="76"/>
      <c r="D75" s="67"/>
      <c r="G75" s="75"/>
      <c r="H75" s="68"/>
      <c r="I75" s="76"/>
      <c r="J75" s="67"/>
    </row>
    <row r="76" ht="14.25" customHeight="1">
      <c r="A76" s="22" t="s">
        <v>84</v>
      </c>
      <c r="B76" s="109"/>
      <c r="C76" s="109"/>
      <c r="D76" s="110">
        <f>IF(SUM(D66:D75)=0,"",SUM(D66:D75))</f>
        <v>29822.766</v>
      </c>
      <c r="G76" s="22" t="s">
        <v>84</v>
      </c>
      <c r="H76" s="109"/>
      <c r="I76" s="109"/>
      <c r="J76" s="110">
        <f>IF(SUM(J66:J75)=0,"",SUM(J66:J75))</f>
        <v>17111.6</v>
      </c>
    </row>
    <row r="77" ht="14.25" customHeight="1">
      <c r="A77" s="111" t="s">
        <v>102</v>
      </c>
      <c r="B77" s="108">
        <f>IF(D77="","",IF(ISBLANK(C77),"",D77/C77))</f>
        <v>0.01220022245</v>
      </c>
      <c r="C77" s="110">
        <v>22000.0</v>
      </c>
      <c r="D77" s="173">
        <f>D64*0.045</f>
        <v>268.404894</v>
      </c>
      <c r="G77" s="111" t="s">
        <v>102</v>
      </c>
      <c r="H77" s="108" t="str">
        <f>IF(J77="","",IF(ISBLANK(I77),"",J77/I77))</f>
        <v/>
      </c>
      <c r="I77" s="110">
        <v>22000.0</v>
      </c>
      <c r="J77" s="173"/>
    </row>
    <row r="78" ht="14.25" customHeight="1"/>
    <row r="79" ht="14.25" customHeight="1"/>
    <row r="80" ht="14.25" customHeight="1">
      <c r="A80" s="221" t="s">
        <v>587</v>
      </c>
      <c r="B80" s="26">
        <v>1.46</v>
      </c>
      <c r="C80" s="27" t="s">
        <v>90</v>
      </c>
      <c r="D80" s="114">
        <f>D92/B80</f>
        <v>7101.575342</v>
      </c>
      <c r="E80" s="165">
        <v>0.2</v>
      </c>
      <c r="G80" s="221" t="s">
        <v>177</v>
      </c>
      <c r="H80" s="26">
        <v>1.2</v>
      </c>
      <c r="I80" s="27" t="s">
        <v>90</v>
      </c>
      <c r="J80" s="114">
        <f>J92/H80</f>
        <v>71480.65385</v>
      </c>
    </row>
    <row r="81" ht="14.25" customHeight="1">
      <c r="A81" s="52" t="s">
        <v>42</v>
      </c>
      <c r="B81" s="54" t="s">
        <v>3</v>
      </c>
      <c r="C81" s="54" t="s">
        <v>44</v>
      </c>
      <c r="D81" s="56" t="s">
        <v>35</v>
      </c>
      <c r="G81" s="52" t="s">
        <v>42</v>
      </c>
      <c r="H81" s="54" t="s">
        <v>3</v>
      </c>
      <c r="I81" s="54" t="s">
        <v>44</v>
      </c>
      <c r="J81" s="56" t="s">
        <v>35</v>
      </c>
    </row>
    <row r="82" ht="14.25" customHeight="1">
      <c r="A82" s="222" t="s">
        <v>173</v>
      </c>
      <c r="B82" s="222">
        <v>1.0</v>
      </c>
      <c r="C82" s="76">
        <f>'F&amp;B'!F279</f>
        <v>7200</v>
      </c>
      <c r="D82" s="67">
        <f t="shared" ref="D82:D88" si="11">B82*C82</f>
        <v>7200</v>
      </c>
      <c r="G82" s="139" t="s">
        <v>596</v>
      </c>
      <c r="H82" s="180">
        <v>1.0</v>
      </c>
      <c r="I82" s="76">
        <f>'F&amp;B'!F23</f>
        <v>75141</v>
      </c>
      <c r="J82" s="67">
        <f t="shared" ref="J82:J87" si="12">H82*I82</f>
        <v>75141</v>
      </c>
    </row>
    <row r="83" ht="14.25" customHeight="1">
      <c r="A83" s="222" t="s">
        <v>214</v>
      </c>
      <c r="B83" s="222">
        <v>0.1</v>
      </c>
      <c r="C83" s="76">
        <f>'F&amp;B'!F290</f>
        <v>6300</v>
      </c>
      <c r="D83" s="67">
        <f t="shared" si="11"/>
        <v>630</v>
      </c>
      <c r="G83" s="139" t="s">
        <v>176</v>
      </c>
      <c r="H83" s="180">
        <v>0.2</v>
      </c>
      <c r="I83" s="76">
        <f>'F&amp;B'!F43/13</f>
        <v>38076.92308</v>
      </c>
      <c r="J83" s="67">
        <f t="shared" si="12"/>
        <v>7615.384615</v>
      </c>
    </row>
    <row r="84" ht="14.25" customHeight="1">
      <c r="A84" s="225" t="s">
        <v>609</v>
      </c>
      <c r="B84" s="222">
        <v>0.02</v>
      </c>
      <c r="C84" s="67">
        <f>'F&amp;B'!F191</f>
        <v>56700</v>
      </c>
      <c r="D84" s="67">
        <f t="shared" si="11"/>
        <v>1134</v>
      </c>
      <c r="G84" s="139" t="s">
        <v>58</v>
      </c>
      <c r="H84" s="180">
        <v>0.04</v>
      </c>
      <c r="I84" s="67">
        <f>'F&amp;B'!F143/25</f>
        <v>2340</v>
      </c>
      <c r="J84" s="67">
        <f t="shared" si="12"/>
        <v>93.6</v>
      </c>
    </row>
    <row r="85" ht="14.25" customHeight="1">
      <c r="A85" s="222" t="s">
        <v>615</v>
      </c>
      <c r="B85" s="222">
        <v>0.05</v>
      </c>
      <c r="C85" s="76">
        <f>'F&amp;B'!F296</f>
        <v>9000</v>
      </c>
      <c r="D85" s="67">
        <f t="shared" si="11"/>
        <v>450</v>
      </c>
      <c r="G85" s="228" t="s">
        <v>569</v>
      </c>
      <c r="H85" s="180">
        <v>0.03</v>
      </c>
      <c r="I85" s="76">
        <f>'F&amp;B'!F167</f>
        <v>37800</v>
      </c>
      <c r="J85" s="67">
        <f t="shared" si="12"/>
        <v>1134</v>
      </c>
    </row>
    <row r="86" ht="14.25" customHeight="1">
      <c r="A86" s="222" t="s">
        <v>58</v>
      </c>
      <c r="B86" s="222">
        <v>0.02</v>
      </c>
      <c r="C86" s="76">
        <f>C67</f>
        <v>2340</v>
      </c>
      <c r="D86" s="67">
        <f t="shared" si="11"/>
        <v>46.8</v>
      </c>
      <c r="G86" s="228" t="s">
        <v>567</v>
      </c>
      <c r="H86" s="180">
        <v>0.02</v>
      </c>
      <c r="I86" s="76">
        <f>'F&amp;B'!F160</f>
        <v>47340</v>
      </c>
      <c r="J86" s="67">
        <f t="shared" si="12"/>
        <v>946.8</v>
      </c>
    </row>
    <row r="87" ht="14.25" customHeight="1">
      <c r="A87" s="222" t="s">
        <v>54</v>
      </c>
      <c r="B87" s="222">
        <v>0.02</v>
      </c>
      <c r="C87" s="76">
        <f>SAUCES!C39</f>
        <v>8250</v>
      </c>
      <c r="D87" s="67">
        <f t="shared" si="11"/>
        <v>165</v>
      </c>
      <c r="G87" s="228" t="s">
        <v>332</v>
      </c>
      <c r="H87" s="180">
        <v>0.02</v>
      </c>
      <c r="I87" s="76">
        <f>'F&amp;B'!F168</f>
        <v>42300</v>
      </c>
      <c r="J87" s="67">
        <f t="shared" si="12"/>
        <v>846</v>
      </c>
    </row>
    <row r="88" ht="14.25" customHeight="1">
      <c r="A88" s="222" t="s">
        <v>633</v>
      </c>
      <c r="B88" s="222">
        <v>0.25</v>
      </c>
      <c r="C88" s="76">
        <f>'F&amp;B'!F311</f>
        <v>2970</v>
      </c>
      <c r="D88" s="67">
        <f t="shared" si="11"/>
        <v>742.5</v>
      </c>
      <c r="G88" s="75"/>
      <c r="H88" s="68"/>
      <c r="I88" s="76"/>
      <c r="J88" s="67"/>
    </row>
    <row r="89" ht="14.25" customHeight="1">
      <c r="A89" s="75"/>
      <c r="B89" s="68"/>
      <c r="C89" s="76"/>
      <c r="D89" s="67"/>
      <c r="G89" s="75"/>
      <c r="H89" s="68"/>
      <c r="I89" s="76"/>
      <c r="J89" s="67"/>
    </row>
    <row r="90" ht="14.25" customHeight="1">
      <c r="A90" s="75"/>
      <c r="B90" s="68"/>
      <c r="C90" s="76"/>
      <c r="D90" s="67"/>
      <c r="G90" s="75"/>
      <c r="H90" s="68"/>
      <c r="I90" s="76"/>
      <c r="J90" s="67"/>
    </row>
    <row r="91" ht="14.25" customHeight="1">
      <c r="A91" s="75"/>
      <c r="B91" s="68"/>
      <c r="C91" s="76"/>
      <c r="D91" s="67"/>
      <c r="G91" s="75"/>
      <c r="H91" s="68"/>
      <c r="I91" s="76"/>
      <c r="J91" s="67"/>
    </row>
    <row r="92" ht="15.75" customHeight="1">
      <c r="A92" s="22" t="s">
        <v>84</v>
      </c>
      <c r="B92" s="109"/>
      <c r="C92" s="109"/>
      <c r="D92" s="110">
        <f>IF(SUM(D82:D91)=0,"",SUM(D82:D91))</f>
        <v>10368.3</v>
      </c>
      <c r="G92" s="22" t="s">
        <v>84</v>
      </c>
      <c r="H92" s="109"/>
      <c r="I92" s="109"/>
      <c r="J92" s="110">
        <f>IF(SUM(J82:J91)=0,"",SUM(J82:J91))</f>
        <v>85776.78462</v>
      </c>
    </row>
    <row r="93" ht="15.75" customHeight="1">
      <c r="A93" s="111" t="s">
        <v>102</v>
      </c>
      <c r="B93" s="108">
        <f>IF(D93="","",IF(ISBLANK(C93),"",D93/C93))</f>
        <v>0.01452594956</v>
      </c>
      <c r="C93" s="110">
        <v>22000.0</v>
      </c>
      <c r="D93" s="173">
        <f>D80*0.045</f>
        <v>319.5708904</v>
      </c>
      <c r="G93" s="111" t="s">
        <v>102</v>
      </c>
      <c r="H93" s="108">
        <f>IF(J93="","",IF(ISBLANK(I93),"",J93/I93))</f>
        <v>0.1462104283</v>
      </c>
      <c r="I93" s="110">
        <v>22000.0</v>
      </c>
      <c r="J93" s="173">
        <f>J80*0.045</f>
        <v>3216.629423</v>
      </c>
    </row>
    <row r="94" ht="15.75" customHeight="1"/>
    <row r="95" ht="15.75" customHeight="1"/>
    <row r="96" ht="15.75" customHeight="1">
      <c r="A96" s="221" t="s">
        <v>653</v>
      </c>
      <c r="B96" s="26">
        <v>10.0</v>
      </c>
      <c r="C96" s="27" t="s">
        <v>90</v>
      </c>
      <c r="D96" s="114">
        <f>D108/B96</f>
        <v>3941.3592</v>
      </c>
      <c r="G96" s="221" t="s">
        <v>656</v>
      </c>
      <c r="H96" s="26">
        <v>15.0</v>
      </c>
      <c r="I96" s="27" t="s">
        <v>90</v>
      </c>
      <c r="J96" s="114">
        <f>J108/H96</f>
        <v>8925.999</v>
      </c>
    </row>
    <row r="97" ht="15.75" customHeight="1">
      <c r="A97" s="52" t="s">
        <v>42</v>
      </c>
      <c r="B97" s="54" t="s">
        <v>3</v>
      </c>
      <c r="C97" s="54" t="s">
        <v>44</v>
      </c>
      <c r="D97" s="56" t="s">
        <v>35</v>
      </c>
      <c r="G97" s="52" t="s">
        <v>42</v>
      </c>
      <c r="H97" s="54" t="s">
        <v>3</v>
      </c>
      <c r="I97" s="54" t="s">
        <v>44</v>
      </c>
      <c r="J97" s="56" t="s">
        <v>35</v>
      </c>
    </row>
    <row r="98" ht="15.75" customHeight="1">
      <c r="A98" s="225" t="s">
        <v>216</v>
      </c>
      <c r="B98" s="225">
        <v>0.76</v>
      </c>
      <c r="C98" s="76">
        <f>C66</f>
        <v>5295.6</v>
      </c>
      <c r="D98" s="67">
        <f t="shared" ref="D98:D107" si="13">B98*C98</f>
        <v>4024.656</v>
      </c>
      <c r="G98" s="225" t="s">
        <v>661</v>
      </c>
      <c r="H98" s="225">
        <v>0.46</v>
      </c>
      <c r="I98" s="76">
        <f>'F&amp;B'!F107</f>
        <v>166500</v>
      </c>
      <c r="J98" s="67">
        <f t="shared" ref="J98:J105" si="14">H98*I98</f>
        <v>76590</v>
      </c>
    </row>
    <row r="99" ht="15.75" customHeight="1">
      <c r="A99" s="225" t="s">
        <v>526</v>
      </c>
      <c r="B99" s="225">
        <v>0.028</v>
      </c>
      <c r="C99" s="76">
        <f>C68</f>
        <v>40500</v>
      </c>
      <c r="D99" s="67">
        <f t="shared" si="13"/>
        <v>1134</v>
      </c>
      <c r="G99" s="225" t="s">
        <v>374</v>
      </c>
      <c r="H99" s="225">
        <v>0.9</v>
      </c>
      <c r="I99" s="76">
        <f>C104</f>
        <v>14040</v>
      </c>
      <c r="J99" s="67">
        <f t="shared" si="14"/>
        <v>12636</v>
      </c>
    </row>
    <row r="100" ht="15.75" customHeight="1">
      <c r="A100" s="225" t="s">
        <v>58</v>
      </c>
      <c r="B100" s="225">
        <v>0.03</v>
      </c>
      <c r="C100" s="67">
        <f>C67</f>
        <v>2340</v>
      </c>
      <c r="D100" s="67">
        <f t="shared" si="13"/>
        <v>70.2</v>
      </c>
      <c r="G100" s="225" t="s">
        <v>58</v>
      </c>
      <c r="H100" s="225">
        <v>0.015</v>
      </c>
      <c r="I100" s="67">
        <f>I67</f>
        <v>1299</v>
      </c>
      <c r="J100" s="67">
        <f t="shared" si="14"/>
        <v>19.485</v>
      </c>
    </row>
    <row r="101" ht="15.75" customHeight="1">
      <c r="A101" s="225" t="s">
        <v>239</v>
      </c>
      <c r="B101" s="225">
        <v>0.06</v>
      </c>
      <c r="C101" s="76">
        <f>C36</f>
        <v>165.6</v>
      </c>
      <c r="D101" s="67">
        <f t="shared" si="13"/>
        <v>9.936</v>
      </c>
      <c r="G101" s="225" t="s">
        <v>239</v>
      </c>
      <c r="H101" s="225">
        <v>1.8</v>
      </c>
      <c r="I101" s="76">
        <f>I36</f>
        <v>6300</v>
      </c>
      <c r="J101" s="67">
        <f t="shared" si="14"/>
        <v>11340</v>
      </c>
    </row>
    <row r="102" ht="15.75" customHeight="1">
      <c r="A102" s="225" t="s">
        <v>225</v>
      </c>
      <c r="B102" s="225">
        <v>4.0</v>
      </c>
      <c r="C102" s="76">
        <f>I67</f>
        <v>1299</v>
      </c>
      <c r="D102" s="67">
        <f t="shared" si="13"/>
        <v>5196</v>
      </c>
      <c r="G102" s="225" t="s">
        <v>225</v>
      </c>
      <c r="H102" s="225">
        <v>18.0</v>
      </c>
      <c r="I102" s="76">
        <f>C102</f>
        <v>1299</v>
      </c>
      <c r="J102" s="67">
        <f t="shared" si="14"/>
        <v>23382</v>
      </c>
    </row>
    <row r="103" ht="15.75" customHeight="1">
      <c r="A103" s="225" t="s">
        <v>86</v>
      </c>
      <c r="B103" s="225">
        <v>1.2</v>
      </c>
      <c r="C103" s="76">
        <f t="shared" ref="C103:C105" si="15">C70</f>
        <v>13050</v>
      </c>
      <c r="D103" s="67">
        <f t="shared" si="13"/>
        <v>15660</v>
      </c>
      <c r="G103" s="228" t="s">
        <v>559</v>
      </c>
      <c r="H103" s="180">
        <v>0.03</v>
      </c>
      <c r="I103" s="76">
        <f>C105</f>
        <v>330750</v>
      </c>
      <c r="J103" s="67">
        <f t="shared" si="14"/>
        <v>9922.5</v>
      </c>
    </row>
    <row r="104" ht="15.75" customHeight="1">
      <c r="A104" s="225" t="s">
        <v>374</v>
      </c>
      <c r="B104" s="225">
        <v>0.21</v>
      </c>
      <c r="C104" s="76">
        <f t="shared" si="15"/>
        <v>14040</v>
      </c>
      <c r="D104" s="67">
        <f t="shared" si="13"/>
        <v>2948.4</v>
      </c>
      <c r="G104" s="225"/>
      <c r="H104" s="225"/>
      <c r="I104" s="76"/>
      <c r="J104" s="67">
        <f t="shared" si="14"/>
        <v>0</v>
      </c>
    </row>
    <row r="105" ht="15.75" customHeight="1">
      <c r="A105" s="228" t="s">
        <v>559</v>
      </c>
      <c r="B105" s="180">
        <v>0.02</v>
      </c>
      <c r="C105" s="76">
        <f t="shared" si="15"/>
        <v>330750</v>
      </c>
      <c r="D105" s="67">
        <f t="shared" si="13"/>
        <v>6615</v>
      </c>
      <c r="G105" s="228"/>
      <c r="H105" s="180"/>
      <c r="I105" s="76"/>
      <c r="J105" s="67">
        <f t="shared" si="14"/>
        <v>0</v>
      </c>
    </row>
    <row r="106" ht="15.75" customHeight="1">
      <c r="A106" s="228" t="s">
        <v>681</v>
      </c>
      <c r="B106" s="180">
        <v>0.12</v>
      </c>
      <c r="C106" s="76">
        <f>'F&amp;B'!F51*1.22</f>
        <v>30195</v>
      </c>
      <c r="D106" s="67">
        <f t="shared" si="13"/>
        <v>3623.4</v>
      </c>
      <c r="G106" s="228"/>
      <c r="H106" s="180"/>
      <c r="I106" s="76"/>
      <c r="J106" s="67"/>
    </row>
    <row r="107" ht="15.75" customHeight="1">
      <c r="A107" s="228" t="s">
        <v>688</v>
      </c>
      <c r="B107" s="180">
        <v>0.0022</v>
      </c>
      <c r="C107" s="246">
        <v>60000.0</v>
      </c>
      <c r="D107" s="67">
        <f t="shared" si="13"/>
        <v>132</v>
      </c>
      <c r="G107" s="228"/>
      <c r="H107" s="180"/>
      <c r="I107" s="246"/>
      <c r="J107" s="67"/>
    </row>
    <row r="108" ht="15.75" customHeight="1">
      <c r="A108" s="111" t="s">
        <v>84</v>
      </c>
      <c r="B108" s="247"/>
      <c r="C108" s="247"/>
      <c r="D108" s="248">
        <f>IF(SUM(D98:D107)=0,"",SUM(D98:D107))</f>
        <v>39413.592</v>
      </c>
      <c r="G108" s="111" t="s">
        <v>84</v>
      </c>
      <c r="H108" s="247"/>
      <c r="I108" s="247"/>
      <c r="J108" s="248">
        <f>IF(SUM(J98:J107)=0,"",SUM(J98:J107))</f>
        <v>133889.985</v>
      </c>
    </row>
    <row r="109" ht="15.75" customHeight="1">
      <c r="A109" s="111"/>
      <c r="B109" s="108"/>
      <c r="C109" s="110"/>
      <c r="D109" s="110"/>
    </row>
    <row r="110" ht="15.75" customHeight="1"/>
    <row r="111" ht="15.75" customHeight="1"/>
    <row r="112" ht="15.75" customHeight="1">
      <c r="A112" s="221" t="s">
        <v>696</v>
      </c>
      <c r="B112" s="26">
        <v>5.0</v>
      </c>
      <c r="C112" s="26" t="s">
        <v>14</v>
      </c>
      <c r="D112" s="114">
        <f>D127/B112</f>
        <v>85473.90346</v>
      </c>
      <c r="G112" s="221" t="s">
        <v>698</v>
      </c>
      <c r="H112" s="26">
        <v>1.55</v>
      </c>
      <c r="I112" s="26" t="s">
        <v>14</v>
      </c>
      <c r="J112" s="114">
        <f>J129/10</f>
        <v>14106.98289</v>
      </c>
    </row>
    <row r="113" ht="15.75" customHeight="1">
      <c r="A113" s="52" t="s">
        <v>42</v>
      </c>
      <c r="B113" s="54" t="s">
        <v>3</v>
      </c>
      <c r="C113" s="54" t="s">
        <v>44</v>
      </c>
      <c r="D113" s="56" t="s">
        <v>35</v>
      </c>
      <c r="G113" s="52" t="s">
        <v>42</v>
      </c>
      <c r="H113" s="54" t="s">
        <v>3</v>
      </c>
      <c r="I113" s="54" t="s">
        <v>44</v>
      </c>
      <c r="J113" s="56" t="s">
        <v>35</v>
      </c>
    </row>
    <row r="114" ht="15.75" customHeight="1">
      <c r="A114" s="225" t="s">
        <v>216</v>
      </c>
      <c r="B114" s="225">
        <v>0.28</v>
      </c>
      <c r="C114" s="76">
        <f>C82</f>
        <v>7200</v>
      </c>
      <c r="D114" s="67">
        <f t="shared" ref="D114:D126" si="16">B114*C114</f>
        <v>2016</v>
      </c>
      <c r="G114" s="225" t="s">
        <v>703</v>
      </c>
      <c r="H114" s="225">
        <v>1.5</v>
      </c>
      <c r="I114" s="76">
        <f>'F&amp;B'!F228</f>
        <v>81000</v>
      </c>
      <c r="J114" s="67">
        <f t="shared" ref="J114:J128" si="17">H114*I114</f>
        <v>121500</v>
      </c>
    </row>
    <row r="115" ht="15.75" customHeight="1">
      <c r="A115" s="225" t="s">
        <v>374</v>
      </c>
      <c r="B115" s="225">
        <v>0.45</v>
      </c>
      <c r="C115" s="76">
        <f>I99</f>
        <v>14040</v>
      </c>
      <c r="D115" s="67">
        <f t="shared" si="16"/>
        <v>6318</v>
      </c>
      <c r="G115" s="225" t="s">
        <v>708</v>
      </c>
      <c r="H115" s="225">
        <v>0.3</v>
      </c>
      <c r="I115" s="76">
        <f>'F&amp;B'!F296</f>
        <v>9000</v>
      </c>
      <c r="J115" s="67">
        <f t="shared" si="17"/>
        <v>2700</v>
      </c>
    </row>
    <row r="116" ht="15.75" customHeight="1">
      <c r="A116" s="225" t="s">
        <v>176</v>
      </c>
      <c r="B116" s="225">
        <v>0.1</v>
      </c>
      <c r="C116" s="67">
        <f>I83</f>
        <v>38076.92308</v>
      </c>
      <c r="D116" s="67">
        <f t="shared" si="16"/>
        <v>3807.692308</v>
      </c>
      <c r="G116" s="225" t="s">
        <v>714</v>
      </c>
      <c r="H116" s="225">
        <v>0.2</v>
      </c>
      <c r="I116" s="67">
        <f>'F&amp;B'!F309</f>
        <v>22500</v>
      </c>
      <c r="J116" s="67">
        <f t="shared" si="17"/>
        <v>4500</v>
      </c>
    </row>
    <row r="117" ht="15.75" customHeight="1">
      <c r="A117" s="225" t="s">
        <v>214</v>
      </c>
      <c r="B117" s="225">
        <v>0.8</v>
      </c>
      <c r="C117" s="76">
        <f>'F&amp;B'!F290</f>
        <v>6300</v>
      </c>
      <c r="D117" s="67">
        <f t="shared" si="16"/>
        <v>5040</v>
      </c>
      <c r="G117" s="225" t="s">
        <v>716</v>
      </c>
      <c r="H117" s="225">
        <v>0.45</v>
      </c>
      <c r="I117" s="76">
        <f>'F&amp;B'!F290</f>
        <v>6300</v>
      </c>
      <c r="J117" s="67">
        <f t="shared" si="17"/>
        <v>2835</v>
      </c>
    </row>
    <row r="118" ht="15.75" customHeight="1">
      <c r="A118" s="225" t="s">
        <v>62</v>
      </c>
      <c r="B118" s="225">
        <v>0.025</v>
      </c>
      <c r="C118" s="76">
        <f>'F&amp;B'!F292</f>
        <v>19800</v>
      </c>
      <c r="D118" s="67">
        <f t="shared" si="16"/>
        <v>495</v>
      </c>
      <c r="G118" s="225" t="s">
        <v>721</v>
      </c>
      <c r="H118" s="225">
        <v>0.08</v>
      </c>
      <c r="I118" s="76">
        <f>'F&amp;B'!F311</f>
        <v>2970</v>
      </c>
      <c r="J118" s="67">
        <f t="shared" si="17"/>
        <v>237.6</v>
      </c>
    </row>
    <row r="119" ht="15.75" customHeight="1">
      <c r="A119" s="225" t="s">
        <v>372</v>
      </c>
      <c r="B119" s="225">
        <v>1.8</v>
      </c>
      <c r="C119" s="76">
        <f>'F&amp;B'!F87</f>
        <v>58500</v>
      </c>
      <c r="D119" s="67">
        <f t="shared" si="16"/>
        <v>105300</v>
      </c>
      <c r="G119" s="225" t="s">
        <v>54</v>
      </c>
      <c r="H119" s="225">
        <v>0.2</v>
      </c>
      <c r="I119" s="76">
        <f>C87</f>
        <v>8250</v>
      </c>
      <c r="J119" s="67">
        <f t="shared" si="17"/>
        <v>1650</v>
      </c>
    </row>
    <row r="120" ht="15.75" customHeight="1">
      <c r="A120" s="225" t="s">
        <v>58</v>
      </c>
      <c r="B120" s="225">
        <v>0.075</v>
      </c>
      <c r="C120" s="76">
        <f t="shared" ref="C120:C121" si="18">I100</f>
        <v>1299</v>
      </c>
      <c r="D120" s="67">
        <f t="shared" si="16"/>
        <v>97.425</v>
      </c>
      <c r="G120" s="225" t="s">
        <v>58</v>
      </c>
      <c r="H120" s="225">
        <v>0.02</v>
      </c>
      <c r="I120" s="76">
        <f>C100</f>
        <v>2340</v>
      </c>
      <c r="J120" s="67">
        <f t="shared" si="17"/>
        <v>46.8</v>
      </c>
    </row>
    <row r="121" ht="15.75" customHeight="1">
      <c r="A121" s="228" t="s">
        <v>239</v>
      </c>
      <c r="B121" s="180">
        <v>0.03</v>
      </c>
      <c r="C121" s="76">
        <f t="shared" si="18"/>
        <v>6300</v>
      </c>
      <c r="D121" s="67">
        <f t="shared" si="16"/>
        <v>189</v>
      </c>
      <c r="G121" s="228" t="s">
        <v>82</v>
      </c>
      <c r="H121" s="180">
        <v>0.03</v>
      </c>
      <c r="I121" s="76">
        <f>I37</f>
        <v>51750</v>
      </c>
      <c r="J121" s="67">
        <f t="shared" si="17"/>
        <v>1552.5</v>
      </c>
    </row>
    <row r="122" ht="15.75" customHeight="1">
      <c r="A122" s="228" t="s">
        <v>730</v>
      </c>
      <c r="B122" s="180">
        <v>0.06</v>
      </c>
      <c r="C122" s="76">
        <f>'F&amp;B'!F258/3.75</f>
        <v>55440</v>
      </c>
      <c r="D122" s="67">
        <f t="shared" si="16"/>
        <v>3326.4</v>
      </c>
      <c r="G122" s="228" t="s">
        <v>734</v>
      </c>
      <c r="H122" s="180">
        <v>0.05</v>
      </c>
      <c r="I122" s="76">
        <f>'F&amp;B'!F159</f>
        <v>16560</v>
      </c>
      <c r="J122" s="67">
        <f t="shared" si="17"/>
        <v>828</v>
      </c>
    </row>
    <row r="123" ht="15.75" customHeight="1">
      <c r="A123" s="228" t="s">
        <v>60</v>
      </c>
      <c r="B123" s="180">
        <v>0.6</v>
      </c>
      <c r="C123" s="246">
        <f>'F&amp;B'!F103</f>
        <v>148500</v>
      </c>
      <c r="D123" s="67">
        <f t="shared" si="16"/>
        <v>89100</v>
      </c>
      <c r="G123" s="228" t="s">
        <v>332</v>
      </c>
      <c r="H123" s="180">
        <v>0.03</v>
      </c>
      <c r="I123" s="246">
        <f>'F&amp;B'!F168</f>
        <v>42300</v>
      </c>
      <c r="J123" s="67">
        <f t="shared" si="17"/>
        <v>1269</v>
      </c>
    </row>
    <row r="124" ht="15.75" customHeight="1">
      <c r="A124" s="256" t="s">
        <v>66</v>
      </c>
      <c r="B124" s="257">
        <v>0.09</v>
      </c>
      <c r="C124" s="259">
        <f>C107</f>
        <v>60000</v>
      </c>
      <c r="D124" s="67">
        <f t="shared" si="16"/>
        <v>5400</v>
      </c>
      <c r="E124" s="165" t="s">
        <v>12</v>
      </c>
      <c r="G124" s="256" t="s">
        <v>745</v>
      </c>
      <c r="H124" s="257">
        <v>0.01</v>
      </c>
      <c r="I124" s="259">
        <f>'F&amp;B'!F158</f>
        <v>81000</v>
      </c>
      <c r="J124" s="67">
        <f t="shared" si="17"/>
        <v>810</v>
      </c>
    </row>
    <row r="125" ht="15.75" customHeight="1">
      <c r="A125" s="256" t="s">
        <v>749</v>
      </c>
      <c r="B125" s="257">
        <v>2.4</v>
      </c>
      <c r="C125" s="259">
        <f>'F&amp;B'!F306</f>
        <v>7200</v>
      </c>
      <c r="D125" s="67">
        <f t="shared" si="16"/>
        <v>17280</v>
      </c>
      <c r="G125" s="256" t="s">
        <v>753</v>
      </c>
      <c r="H125" s="257">
        <v>0.01</v>
      </c>
      <c r="I125" s="259">
        <f>'F&amp;B'!F164</f>
        <v>35460</v>
      </c>
      <c r="J125" s="67">
        <f t="shared" si="17"/>
        <v>354.6</v>
      </c>
    </row>
    <row r="126" ht="15.75" customHeight="1">
      <c r="A126" s="256" t="s">
        <v>756</v>
      </c>
      <c r="B126" s="257">
        <v>5.0</v>
      </c>
      <c r="C126" s="259">
        <f>'F&amp;B'!F34</f>
        <v>37800</v>
      </c>
      <c r="D126" s="67">
        <f t="shared" si="16"/>
        <v>189000</v>
      </c>
      <c r="G126" s="256" t="s">
        <v>759</v>
      </c>
      <c r="H126" s="257">
        <v>0.05</v>
      </c>
      <c r="I126" s="259">
        <f>'F&amp;B'!F252/3.8</f>
        <v>25401.31579</v>
      </c>
      <c r="J126" s="67">
        <f t="shared" si="17"/>
        <v>1270.065789</v>
      </c>
    </row>
    <row r="127" ht="15.75" customHeight="1">
      <c r="A127" s="111" t="s">
        <v>84</v>
      </c>
      <c r="B127" s="247"/>
      <c r="C127" s="247"/>
      <c r="D127" s="248">
        <f>IF(SUM(D114:D123)=0,"",SUM(D114:D126))</f>
        <v>427369.5173</v>
      </c>
      <c r="G127" s="221" t="s">
        <v>769</v>
      </c>
      <c r="H127" s="262">
        <v>0.025</v>
      </c>
      <c r="I127" s="259">
        <f>'F&amp;B'!F255/5</f>
        <v>35640</v>
      </c>
      <c r="J127" s="67">
        <f t="shared" si="17"/>
        <v>891</v>
      </c>
    </row>
    <row r="128" ht="15.75" customHeight="1">
      <c r="G128" s="221" t="s">
        <v>72</v>
      </c>
      <c r="H128" s="262">
        <v>0.015</v>
      </c>
      <c r="I128" s="259">
        <f>'F&amp;B'!F260/3.8</f>
        <v>41684.21053</v>
      </c>
      <c r="J128" s="67">
        <f t="shared" si="17"/>
        <v>625.2631579</v>
      </c>
    </row>
    <row r="129" ht="15.75" customHeight="1">
      <c r="G129" s="111" t="s">
        <v>84</v>
      </c>
      <c r="H129" s="247"/>
      <c r="I129" s="247"/>
      <c r="J129" s="248">
        <f>sum(J114:J128)</f>
        <v>141069.8289</v>
      </c>
    </row>
    <row r="130" ht="15.75" customHeight="1">
      <c r="G130" s="263" t="s">
        <v>779</v>
      </c>
    </row>
    <row r="131" ht="15.75" customHeight="1"/>
    <row r="132" ht="15.75" customHeight="1"/>
    <row r="133" ht="15.75" customHeight="1">
      <c r="A133" s="221" t="s">
        <v>781</v>
      </c>
      <c r="B133" s="26">
        <v>1.5</v>
      </c>
      <c r="C133" s="26" t="s">
        <v>14</v>
      </c>
      <c r="D133" s="114">
        <f>D140/B133</f>
        <v>41520</v>
      </c>
    </row>
    <row r="134" ht="15.75" customHeight="1">
      <c r="A134" s="52" t="s">
        <v>42</v>
      </c>
      <c r="B134" s="54" t="s">
        <v>3</v>
      </c>
      <c r="C134" s="54" t="s">
        <v>44</v>
      </c>
      <c r="D134" s="56" t="s">
        <v>35</v>
      </c>
    </row>
    <row r="135" ht="15.75" customHeight="1">
      <c r="A135" s="225" t="s">
        <v>239</v>
      </c>
      <c r="B135" s="225">
        <v>0.6</v>
      </c>
      <c r="C135" s="76">
        <f>C121</f>
        <v>6300</v>
      </c>
      <c r="D135" s="67">
        <f t="shared" ref="D135:D139" si="19">B135*C135</f>
        <v>3780</v>
      </c>
    </row>
    <row r="136" ht="15.75" customHeight="1">
      <c r="A136" s="225" t="s">
        <v>56</v>
      </c>
      <c r="B136" s="225">
        <v>1.0</v>
      </c>
      <c r="C136" s="76">
        <f>C37</f>
        <v>58500</v>
      </c>
      <c r="D136" s="67">
        <f t="shared" si="19"/>
        <v>58500</v>
      </c>
    </row>
    <row r="137" ht="15.75" customHeight="1">
      <c r="A137" s="225"/>
      <c r="B137" s="225"/>
      <c r="C137" s="67"/>
      <c r="D137" s="67">
        <f t="shared" si="19"/>
        <v>0</v>
      </c>
    </row>
    <row r="138" ht="15.75" customHeight="1">
      <c r="A138" s="225"/>
      <c r="B138" s="225"/>
      <c r="C138" s="76"/>
      <c r="D138" s="67">
        <f t="shared" si="19"/>
        <v>0</v>
      </c>
    </row>
    <row r="139" ht="15.75" customHeight="1">
      <c r="A139" s="225"/>
      <c r="B139" s="225"/>
      <c r="C139" s="76"/>
      <c r="D139" s="67">
        <f t="shared" si="19"/>
        <v>0</v>
      </c>
    </row>
    <row r="140" ht="15.75" customHeight="1">
      <c r="A140" s="111" t="s">
        <v>84</v>
      </c>
      <c r="B140" s="247"/>
      <c r="C140" s="247"/>
      <c r="D140" s="248">
        <f>SUM(D135:D139)</f>
        <v>62280</v>
      </c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923C"/>
    <outlinePr summaryBelow="0" summaryRight="0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1.75"/>
    <col customWidth="1" min="5" max="5" width="4.75"/>
    <col customWidth="1" min="6" max="6" width="5.13"/>
  </cols>
  <sheetData>
    <row r="1">
      <c r="A1" s="274" t="s">
        <v>822</v>
      </c>
      <c r="K1" s="276"/>
      <c r="L1" s="276"/>
    </row>
    <row r="2">
      <c r="A2" s="277" t="s">
        <v>827</v>
      </c>
      <c r="B2" s="276"/>
      <c r="C2" s="276"/>
      <c r="D2" s="276"/>
      <c r="E2" s="276"/>
      <c r="F2" s="276"/>
      <c r="G2" s="276"/>
      <c r="H2" s="276"/>
      <c r="I2" s="276"/>
      <c r="J2" s="276"/>
      <c r="K2" s="276"/>
      <c r="L2" s="276"/>
    </row>
    <row r="3">
      <c r="A3" s="279"/>
      <c r="B3" s="281" t="s">
        <v>831</v>
      </c>
      <c r="C3" s="281" t="s">
        <v>833</v>
      </c>
      <c r="D3" s="281" t="s">
        <v>834</v>
      </c>
      <c r="E3" s="276"/>
      <c r="F3" s="276"/>
      <c r="G3" s="279"/>
      <c r="H3" s="282" t="s">
        <v>835</v>
      </c>
      <c r="I3" s="282" t="s">
        <v>836</v>
      </c>
      <c r="J3" s="282" t="s">
        <v>837</v>
      </c>
      <c r="K3" s="276"/>
      <c r="L3" s="276"/>
    </row>
    <row r="4">
      <c r="A4" s="277" t="s">
        <v>67</v>
      </c>
      <c r="B4" s="284">
        <v>2.5</v>
      </c>
      <c r="C4" s="284" t="str">
        <f t="shared" ref="C4:C6" si="2">#REF!</f>
        <v>#REF!</v>
      </c>
      <c r="D4" s="276"/>
      <c r="E4" s="276"/>
      <c r="F4" s="276"/>
      <c r="G4" s="276"/>
      <c r="H4" s="289">
        <f t="shared" ref="H4:I4" si="1">50000/90000</f>
        <v>0.5555555556</v>
      </c>
      <c r="I4" s="289">
        <f t="shared" si="1"/>
        <v>0.5555555556</v>
      </c>
      <c r="J4" s="290">
        <v>0.35</v>
      </c>
      <c r="K4" s="276"/>
      <c r="L4" s="276"/>
    </row>
    <row r="5">
      <c r="A5" s="277" t="s">
        <v>843</v>
      </c>
      <c r="B5" s="284">
        <v>7.5</v>
      </c>
      <c r="C5" s="284" t="str">
        <f t="shared" si="2"/>
        <v>#REF!</v>
      </c>
      <c r="D5" s="276"/>
      <c r="E5" s="276"/>
      <c r="F5" s="276"/>
      <c r="G5" s="276"/>
      <c r="H5" s="276"/>
      <c r="I5" s="276"/>
      <c r="J5" s="276"/>
      <c r="K5" s="276"/>
      <c r="L5" s="276"/>
    </row>
    <row r="6">
      <c r="A6" s="277" t="s">
        <v>845</v>
      </c>
      <c r="B6" s="284">
        <v>10.5</v>
      </c>
      <c r="C6" s="284" t="str">
        <f t="shared" si="2"/>
        <v>#REF!</v>
      </c>
      <c r="D6" s="276"/>
      <c r="E6" s="276"/>
      <c r="F6" s="276"/>
      <c r="G6" s="276"/>
      <c r="H6" s="276"/>
      <c r="I6" s="276"/>
      <c r="J6" s="276"/>
      <c r="K6" s="276"/>
      <c r="L6" s="276"/>
    </row>
    <row r="7">
      <c r="A7" s="277" t="s">
        <v>847</v>
      </c>
      <c r="B7" s="284">
        <v>3.6</v>
      </c>
      <c r="C7" s="284">
        <f>I4*2</f>
        <v>1.111111111</v>
      </c>
      <c r="D7" s="276"/>
      <c r="E7" s="276"/>
      <c r="F7" s="276"/>
      <c r="G7" s="276"/>
      <c r="H7" s="276"/>
      <c r="I7" s="276"/>
      <c r="J7" s="276"/>
      <c r="K7" s="276"/>
      <c r="L7" s="276"/>
    </row>
    <row r="8">
      <c r="A8" s="296">
        <v>-0.09</v>
      </c>
      <c r="B8" s="298">
        <v>24.1</v>
      </c>
      <c r="C8" s="298">
        <v>5.47</v>
      </c>
      <c r="D8" s="298">
        <v>22.0</v>
      </c>
      <c r="E8" s="276"/>
      <c r="F8" s="276"/>
      <c r="G8" s="300"/>
      <c r="H8" s="279"/>
      <c r="I8" s="279"/>
      <c r="J8" s="279"/>
      <c r="K8" s="276"/>
      <c r="L8" s="276"/>
    </row>
    <row r="9">
      <c r="A9" s="276"/>
      <c r="B9" s="301">
        <v>0.23</v>
      </c>
      <c r="C9" s="284">
        <v>-2.1</v>
      </c>
      <c r="D9" s="302">
        <f>C8/D8</f>
        <v>0.2486363636</v>
      </c>
      <c r="E9" s="276"/>
      <c r="F9" s="276"/>
      <c r="G9" s="276"/>
      <c r="H9" s="276"/>
      <c r="I9" s="276"/>
      <c r="J9" s="276"/>
      <c r="K9" s="276"/>
      <c r="L9" s="276"/>
    </row>
    <row r="10">
      <c r="A10" s="276"/>
      <c r="B10" s="276"/>
      <c r="C10" s="276"/>
      <c r="D10" s="276"/>
      <c r="E10" s="276"/>
      <c r="F10" s="276"/>
      <c r="G10" s="276"/>
      <c r="H10" s="276"/>
      <c r="I10" s="276"/>
      <c r="J10" s="276"/>
      <c r="K10" s="276"/>
      <c r="L10" s="276"/>
    </row>
    <row r="11">
      <c r="A11" s="277" t="s">
        <v>827</v>
      </c>
      <c r="B11" s="276"/>
      <c r="C11" s="276"/>
      <c r="D11" s="276"/>
      <c r="E11" s="276"/>
      <c r="F11" s="276"/>
      <c r="G11" s="277" t="s">
        <v>827</v>
      </c>
      <c r="H11" s="276"/>
      <c r="I11" s="276"/>
      <c r="J11" s="276"/>
      <c r="K11" s="276"/>
      <c r="L11" s="276"/>
    </row>
    <row r="12">
      <c r="A12" s="279"/>
      <c r="B12" s="281" t="s">
        <v>831</v>
      </c>
      <c r="C12" s="281" t="s">
        <v>833</v>
      </c>
      <c r="D12" s="281" t="s">
        <v>834</v>
      </c>
      <c r="E12" s="276"/>
      <c r="F12" s="276"/>
      <c r="G12" s="279"/>
      <c r="H12" s="281" t="s">
        <v>831</v>
      </c>
      <c r="I12" s="281" t="s">
        <v>833</v>
      </c>
      <c r="J12" s="281" t="s">
        <v>834</v>
      </c>
      <c r="K12" s="276"/>
      <c r="L12" s="276"/>
    </row>
    <row r="13">
      <c r="A13" s="277" t="s">
        <v>865</v>
      </c>
      <c r="B13" s="284">
        <v>2.5</v>
      </c>
      <c r="C13" s="284" t="str">
        <f>#REF!/2</f>
        <v>#REF!</v>
      </c>
      <c r="D13" s="276"/>
      <c r="E13" s="276"/>
      <c r="F13" s="276"/>
      <c r="G13" s="277" t="s">
        <v>865</v>
      </c>
      <c r="H13" s="284">
        <v>2.5</v>
      </c>
      <c r="I13" s="284" t="str">
        <f>C13</f>
        <v>#REF!</v>
      </c>
      <c r="J13" s="276"/>
      <c r="K13" s="276"/>
      <c r="L13" s="276"/>
    </row>
    <row r="14">
      <c r="A14" s="277" t="s">
        <v>869</v>
      </c>
      <c r="B14" s="284">
        <v>13.5</v>
      </c>
      <c r="C14" s="284" t="str">
        <f>#REF!-H4</f>
        <v>#REF!</v>
      </c>
      <c r="D14" s="277" t="s">
        <v>871</v>
      </c>
      <c r="E14" s="276"/>
      <c r="F14" s="276"/>
      <c r="G14" s="277" t="s">
        <v>872</v>
      </c>
      <c r="H14" s="284">
        <v>11.0</v>
      </c>
      <c r="I14" s="284" t="str">
        <f>#REF!</f>
        <v>#REF!</v>
      </c>
      <c r="J14" s="276"/>
      <c r="K14" s="276"/>
      <c r="L14" s="276"/>
    </row>
    <row r="15">
      <c r="A15" s="277" t="s">
        <v>878</v>
      </c>
      <c r="B15" s="284">
        <v>10.0</v>
      </c>
      <c r="C15" s="284" t="str">
        <f>#REF!-H4</f>
        <v>#REF!</v>
      </c>
      <c r="D15" s="277" t="s">
        <v>871</v>
      </c>
      <c r="E15" s="276"/>
      <c r="F15" s="276"/>
      <c r="G15" s="277" t="s">
        <v>843</v>
      </c>
      <c r="H15" s="284">
        <v>7.5</v>
      </c>
      <c r="I15" s="284" t="str">
        <f>C5</f>
        <v>#REF!</v>
      </c>
      <c r="J15" s="276"/>
      <c r="K15" s="276"/>
      <c r="L15" s="276"/>
    </row>
    <row r="16">
      <c r="A16" s="277" t="s">
        <v>884</v>
      </c>
      <c r="B16" s="284">
        <v>4.0</v>
      </c>
      <c r="C16" s="284" t="str">
        <f>#REF!</f>
        <v>#REF!</v>
      </c>
      <c r="D16" s="276"/>
      <c r="E16" s="276"/>
      <c r="F16" s="276"/>
      <c r="G16" s="277" t="s">
        <v>884</v>
      </c>
      <c r="H16" s="284">
        <v>4.0</v>
      </c>
      <c r="I16" s="284" t="str">
        <f>C16</f>
        <v>#REF!</v>
      </c>
      <c r="J16" s="276"/>
      <c r="K16" s="276"/>
      <c r="L16" s="276"/>
    </row>
    <row r="17">
      <c r="A17" s="277" t="s">
        <v>847</v>
      </c>
      <c r="B17" s="284">
        <v>3.6</v>
      </c>
      <c r="C17" s="284">
        <f>I4*2</f>
        <v>1.111111111</v>
      </c>
      <c r="D17" s="276"/>
      <c r="E17" s="276"/>
      <c r="F17" s="276"/>
      <c r="G17" s="277" t="s">
        <v>847</v>
      </c>
      <c r="H17" s="284">
        <v>3.6</v>
      </c>
      <c r="I17" s="284">
        <f>I4*2</f>
        <v>1.111111111</v>
      </c>
      <c r="J17" s="276"/>
      <c r="K17" s="276"/>
      <c r="L17" s="276"/>
    </row>
    <row r="18">
      <c r="A18" s="296">
        <v>-0.35</v>
      </c>
      <c r="B18" s="298">
        <v>33.6</v>
      </c>
      <c r="C18" s="298">
        <v>9.38</v>
      </c>
      <c r="D18" s="298">
        <v>25.0</v>
      </c>
      <c r="E18" s="276"/>
      <c r="F18" s="276"/>
      <c r="G18" s="296">
        <v>-0.23</v>
      </c>
      <c r="H18" s="298">
        <v>28.6</v>
      </c>
      <c r="I18" s="298">
        <v>7.63</v>
      </c>
      <c r="J18" s="298">
        <v>22.0</v>
      </c>
      <c r="K18" s="276"/>
      <c r="L18" s="276"/>
    </row>
    <row r="19">
      <c r="A19" s="276"/>
      <c r="B19" s="301">
        <v>0.28</v>
      </c>
      <c r="C19" s="284">
        <v>-11.6</v>
      </c>
      <c r="D19" s="302">
        <f>C18/D18</f>
        <v>0.3752</v>
      </c>
      <c r="E19" s="276"/>
      <c r="F19" s="276"/>
      <c r="G19" s="276"/>
      <c r="H19" s="301">
        <v>0.27</v>
      </c>
      <c r="I19" s="284">
        <v>-6.6</v>
      </c>
      <c r="J19" s="302">
        <f>I18/J18</f>
        <v>0.3468181818</v>
      </c>
      <c r="K19" s="276"/>
      <c r="L19" s="276"/>
    </row>
    <row r="20">
      <c r="A20" s="276"/>
      <c r="B20" s="276"/>
      <c r="C20" s="276"/>
      <c r="D20" s="276"/>
      <c r="E20" s="276"/>
      <c r="F20" s="276"/>
      <c r="G20" s="276"/>
      <c r="H20" s="276"/>
      <c r="I20" s="276"/>
      <c r="J20" s="276"/>
      <c r="K20" s="276"/>
      <c r="L20" s="276"/>
    </row>
    <row r="21">
      <c r="A21" s="276"/>
      <c r="B21" s="276"/>
      <c r="C21" s="276"/>
      <c r="D21" s="276"/>
      <c r="E21" s="276"/>
      <c r="F21" s="276"/>
      <c r="G21" s="276"/>
      <c r="H21" s="276"/>
      <c r="I21" s="276"/>
      <c r="J21" s="276"/>
      <c r="K21" s="276"/>
      <c r="L21" s="276"/>
    </row>
    <row r="22">
      <c r="A22" s="277" t="s">
        <v>896</v>
      </c>
      <c r="B22" s="276"/>
      <c r="C22" s="276"/>
      <c r="D22" s="276"/>
      <c r="E22" s="276"/>
      <c r="F22" s="276"/>
      <c r="G22" s="277" t="s">
        <v>896</v>
      </c>
      <c r="H22" s="276"/>
      <c r="I22" s="276"/>
      <c r="J22" s="276"/>
      <c r="K22" s="276"/>
      <c r="L22" s="276"/>
    </row>
    <row r="23">
      <c r="A23" s="279"/>
      <c r="B23" s="281" t="s">
        <v>831</v>
      </c>
      <c r="C23" s="281" t="s">
        <v>833</v>
      </c>
      <c r="D23" s="281" t="s">
        <v>834</v>
      </c>
      <c r="E23" s="276"/>
      <c r="F23" s="276"/>
      <c r="G23" s="279"/>
      <c r="H23" s="281" t="s">
        <v>831</v>
      </c>
      <c r="I23" s="281" t="s">
        <v>833</v>
      </c>
      <c r="J23" s="281" t="s">
        <v>834</v>
      </c>
      <c r="K23" s="276"/>
      <c r="L23" s="276"/>
    </row>
    <row r="24">
      <c r="A24" s="277" t="s">
        <v>898</v>
      </c>
      <c r="B24" s="284">
        <v>3.5</v>
      </c>
      <c r="C24" s="284" t="str">
        <f>#REF!</f>
        <v>#REF!</v>
      </c>
      <c r="D24" s="276"/>
      <c r="E24" s="276"/>
      <c r="F24" s="276"/>
      <c r="G24" s="277" t="s">
        <v>898</v>
      </c>
      <c r="H24" s="284">
        <v>3.5</v>
      </c>
      <c r="I24" s="284" t="str">
        <f>C24</f>
        <v>#REF!</v>
      </c>
      <c r="J24" s="276"/>
      <c r="K24" s="276"/>
      <c r="L24" s="276"/>
    </row>
    <row r="25">
      <c r="A25" s="277" t="s">
        <v>900</v>
      </c>
      <c r="B25" s="284">
        <v>11.5</v>
      </c>
      <c r="C25" s="284" t="str">
        <f>#REF!-H4</f>
        <v>#REF!</v>
      </c>
      <c r="D25" s="277" t="s">
        <v>871</v>
      </c>
      <c r="E25" s="276"/>
      <c r="F25" s="276"/>
      <c r="G25" s="277" t="s">
        <v>901</v>
      </c>
      <c r="H25" s="284">
        <v>11.0</v>
      </c>
      <c r="I25" s="284" t="str">
        <f>I14</f>
        <v>#REF!</v>
      </c>
      <c r="J25" s="276"/>
      <c r="K25" s="276"/>
      <c r="L25" s="276"/>
    </row>
    <row r="26">
      <c r="A26" s="277" t="s">
        <v>878</v>
      </c>
      <c r="B26" s="284">
        <v>10.0</v>
      </c>
      <c r="C26" s="284" t="str">
        <f>C15</f>
        <v>#REF!</v>
      </c>
      <c r="D26" s="277" t="s">
        <v>871</v>
      </c>
      <c r="E26" s="276"/>
      <c r="F26" s="276"/>
      <c r="G26" s="277" t="s">
        <v>878</v>
      </c>
      <c r="H26" s="284">
        <v>10.0</v>
      </c>
      <c r="I26" s="284" t="str">
        <f>C26</f>
        <v>#REF!</v>
      </c>
      <c r="J26" s="277" t="s">
        <v>871</v>
      </c>
      <c r="K26" s="276"/>
      <c r="L26" s="276"/>
    </row>
    <row r="27">
      <c r="A27" s="277" t="s">
        <v>905</v>
      </c>
      <c r="B27" s="284">
        <v>5.4</v>
      </c>
      <c r="C27" s="284">
        <f>I4*3</f>
        <v>1.666666667</v>
      </c>
      <c r="D27" s="276"/>
      <c r="E27" s="276"/>
      <c r="F27" s="276"/>
      <c r="G27" s="277" t="s">
        <v>905</v>
      </c>
      <c r="H27" s="284">
        <v>5.4</v>
      </c>
      <c r="I27" s="284">
        <f>I4*3</f>
        <v>1.666666667</v>
      </c>
      <c r="J27" s="276"/>
      <c r="K27" s="276"/>
      <c r="L27" s="276"/>
    </row>
    <row r="28">
      <c r="A28" s="277" t="s">
        <v>907</v>
      </c>
      <c r="B28" s="284">
        <v>11.5</v>
      </c>
      <c r="C28" s="284" t="str">
        <f>#REF!-H4</f>
        <v>#REF!</v>
      </c>
      <c r="D28" s="277" t="s">
        <v>871</v>
      </c>
      <c r="E28" s="276"/>
      <c r="F28" s="276"/>
      <c r="G28" s="277" t="s">
        <v>843</v>
      </c>
      <c r="H28" s="284">
        <v>7.5</v>
      </c>
      <c r="I28" s="284" t="str">
        <f>C5</f>
        <v>#REF!</v>
      </c>
      <c r="J28" s="276"/>
      <c r="K28" s="276"/>
      <c r="L28" s="276"/>
    </row>
    <row r="29">
      <c r="A29" s="296">
        <v>-0.21</v>
      </c>
      <c r="B29" s="298">
        <v>41.9</v>
      </c>
      <c r="C29" s="298">
        <v>11.34</v>
      </c>
      <c r="D29" s="298">
        <v>33.0</v>
      </c>
      <c r="E29" s="276"/>
      <c r="F29" s="276"/>
      <c r="G29" s="296">
        <v>-0.12</v>
      </c>
      <c r="H29" s="298">
        <v>37.4</v>
      </c>
      <c r="I29" s="298">
        <v>10.31</v>
      </c>
      <c r="J29" s="298">
        <v>33.0</v>
      </c>
      <c r="K29" s="276"/>
      <c r="L29" s="276"/>
    </row>
    <row r="30">
      <c r="A30" s="276"/>
      <c r="B30" s="301">
        <v>0.27</v>
      </c>
      <c r="C30" s="284">
        <v>-8.9</v>
      </c>
      <c r="D30" s="302">
        <f>C29/D29</f>
        <v>0.3436363636</v>
      </c>
      <c r="E30" s="276"/>
      <c r="F30" s="276"/>
      <c r="G30" s="276"/>
      <c r="H30" s="301">
        <v>0.28</v>
      </c>
      <c r="I30" s="284">
        <v>-4.4</v>
      </c>
      <c r="J30" s="302">
        <f>I29/J29</f>
        <v>0.3124242424</v>
      </c>
      <c r="K30" s="276"/>
      <c r="L30" s="276"/>
    </row>
    <row r="31">
      <c r="A31" s="276"/>
      <c r="B31" s="276"/>
      <c r="C31" s="276"/>
      <c r="D31" s="276"/>
      <c r="E31" s="276"/>
      <c r="F31" s="276"/>
      <c r="G31" s="276"/>
      <c r="H31" s="276"/>
      <c r="I31" s="276"/>
      <c r="J31" s="276"/>
      <c r="K31" s="276"/>
      <c r="L31" s="276"/>
    </row>
    <row r="32">
      <c r="A32" s="276"/>
      <c r="B32" s="276"/>
      <c r="C32" s="276"/>
      <c r="D32" s="276"/>
      <c r="E32" s="276"/>
      <c r="F32" s="276"/>
      <c r="G32" s="276"/>
      <c r="H32" s="276"/>
      <c r="I32" s="276"/>
      <c r="J32" s="276"/>
      <c r="K32" s="276"/>
      <c r="L32" s="276"/>
    </row>
    <row r="33">
      <c r="A33" s="277" t="s">
        <v>911</v>
      </c>
      <c r="B33" s="276"/>
      <c r="C33" s="276"/>
      <c r="D33" s="276"/>
      <c r="E33" s="276"/>
      <c r="F33" s="276"/>
      <c r="G33" s="277" t="s">
        <v>911</v>
      </c>
      <c r="H33" s="276"/>
      <c r="I33" s="276"/>
      <c r="J33" s="276"/>
      <c r="K33" s="276"/>
      <c r="L33" s="276"/>
    </row>
    <row r="34">
      <c r="A34" s="279"/>
      <c r="B34" s="281" t="s">
        <v>831</v>
      </c>
      <c r="C34" s="281" t="s">
        <v>833</v>
      </c>
      <c r="D34" s="281" t="s">
        <v>834</v>
      </c>
      <c r="E34" s="276"/>
      <c r="F34" s="276"/>
      <c r="G34" s="279"/>
      <c r="H34" s="281" t="s">
        <v>831</v>
      </c>
      <c r="I34" s="281" t="s">
        <v>833</v>
      </c>
      <c r="J34" s="281" t="s">
        <v>834</v>
      </c>
      <c r="K34" s="276"/>
      <c r="L34" s="276"/>
    </row>
    <row r="35">
      <c r="A35" s="277" t="s">
        <v>912</v>
      </c>
      <c r="B35" s="284">
        <v>17.0</v>
      </c>
      <c r="C35" s="317" t="str">
        <f>#REF!/2.5</f>
        <v>#REF!</v>
      </c>
      <c r="D35" s="277" t="s">
        <v>913</v>
      </c>
      <c r="E35" s="276"/>
      <c r="F35" s="276"/>
      <c r="G35" s="277" t="s">
        <v>912</v>
      </c>
      <c r="H35" s="284">
        <v>17.0</v>
      </c>
      <c r="I35" s="318" t="str">
        <f>C35</f>
        <v>#REF!</v>
      </c>
      <c r="J35" s="277" t="s">
        <v>913</v>
      </c>
      <c r="K35" s="276"/>
      <c r="L35" s="276"/>
    </row>
    <row r="36">
      <c r="A36" s="277" t="s">
        <v>869</v>
      </c>
      <c r="B36" s="284">
        <v>13.5</v>
      </c>
      <c r="C36" s="284" t="str">
        <f>C14</f>
        <v>#REF!</v>
      </c>
      <c r="D36" s="277" t="s">
        <v>871</v>
      </c>
      <c r="E36" s="276"/>
      <c r="F36" s="276"/>
      <c r="G36" s="277" t="s">
        <v>843</v>
      </c>
      <c r="H36" s="284">
        <v>7.5</v>
      </c>
      <c r="I36" s="284" t="str">
        <f>I28</f>
        <v>#REF!</v>
      </c>
      <c r="J36" s="276"/>
      <c r="K36" s="276"/>
      <c r="L36" s="276"/>
    </row>
    <row r="37">
      <c r="A37" s="277" t="s">
        <v>915</v>
      </c>
      <c r="B37" s="284">
        <v>8.5</v>
      </c>
      <c r="C37" s="284" t="str">
        <f>#REF!-H4</f>
        <v>#REF!</v>
      </c>
      <c r="D37" s="277" t="s">
        <v>871</v>
      </c>
      <c r="E37" s="276"/>
      <c r="F37" s="276"/>
      <c r="G37" s="277" t="s">
        <v>916</v>
      </c>
      <c r="H37" s="284">
        <v>11.5</v>
      </c>
      <c r="I37" s="284" t="str">
        <f t="shared" ref="I37:I38" si="3">#REF!</f>
        <v>#REF!</v>
      </c>
      <c r="J37" s="276"/>
      <c r="K37" s="276"/>
      <c r="L37" s="276"/>
    </row>
    <row r="38">
      <c r="A38" s="277" t="s">
        <v>878</v>
      </c>
      <c r="B38" s="284">
        <v>10.0</v>
      </c>
      <c r="C38" s="284" t="str">
        <f>C15</f>
        <v>#REF!</v>
      </c>
      <c r="D38" s="277" t="s">
        <v>871</v>
      </c>
      <c r="E38" s="276"/>
      <c r="F38" s="276"/>
      <c r="G38" s="277" t="s">
        <v>917</v>
      </c>
      <c r="H38" s="284">
        <v>11.0</v>
      </c>
      <c r="I38" s="284" t="str">
        <f t="shared" si="3"/>
        <v>#REF!</v>
      </c>
      <c r="J38" s="276"/>
      <c r="K38" s="276"/>
      <c r="L38" s="276"/>
    </row>
    <row r="39">
      <c r="A39" s="277" t="s">
        <v>918</v>
      </c>
      <c r="B39" s="284">
        <v>7.2</v>
      </c>
      <c r="C39" s="284">
        <f>I4*4</f>
        <v>2.222222222</v>
      </c>
      <c r="D39" s="276"/>
      <c r="E39" s="276"/>
      <c r="F39" s="276"/>
      <c r="G39" s="277" t="s">
        <v>918</v>
      </c>
      <c r="H39" s="284">
        <v>7.2</v>
      </c>
      <c r="I39" s="284">
        <f>I4*4</f>
        <v>2.222222222</v>
      </c>
      <c r="J39" s="276"/>
      <c r="K39" s="276"/>
      <c r="L39" s="276"/>
    </row>
    <row r="40">
      <c r="A40" s="277" t="s">
        <v>907</v>
      </c>
      <c r="B40" s="284">
        <v>11.5</v>
      </c>
      <c r="C40" s="284" t="str">
        <f>C28</f>
        <v>#REF!</v>
      </c>
      <c r="D40" s="277" t="s">
        <v>871</v>
      </c>
      <c r="E40" s="276"/>
      <c r="F40" s="276"/>
      <c r="G40" s="277" t="s">
        <v>872</v>
      </c>
      <c r="H40" s="284">
        <v>11.0</v>
      </c>
      <c r="I40" s="284" t="str">
        <f>I25</f>
        <v>#REF!</v>
      </c>
      <c r="J40" s="276"/>
      <c r="K40" s="276"/>
      <c r="L40" s="276"/>
    </row>
    <row r="41">
      <c r="A41" s="296">
        <v>-0.35</v>
      </c>
      <c r="B41" s="298">
        <v>67.7</v>
      </c>
      <c r="C41" s="298">
        <v>16.78</v>
      </c>
      <c r="D41" s="298">
        <v>44.0</v>
      </c>
      <c r="E41" s="276"/>
      <c r="F41" s="276"/>
      <c r="G41" s="296">
        <v>-0.33</v>
      </c>
      <c r="H41" s="298">
        <v>65.2</v>
      </c>
      <c r="I41" s="298">
        <v>17.64</v>
      </c>
      <c r="J41" s="298">
        <v>44.0</v>
      </c>
      <c r="K41" s="276"/>
      <c r="L41" s="276"/>
    </row>
    <row r="42">
      <c r="A42" s="276"/>
      <c r="B42" s="301">
        <v>0.25</v>
      </c>
      <c r="C42" s="284">
        <v>-23.7</v>
      </c>
      <c r="D42" s="302">
        <f>C41/D41</f>
        <v>0.3813636364</v>
      </c>
      <c r="E42" s="276"/>
      <c r="F42" s="276"/>
      <c r="G42" s="276"/>
      <c r="H42" s="301">
        <v>0.27</v>
      </c>
      <c r="I42" s="284">
        <v>-21.2</v>
      </c>
      <c r="J42" s="302">
        <f>I41/J41</f>
        <v>0.4009090909</v>
      </c>
      <c r="K42" s="276"/>
      <c r="L42" s="276"/>
    </row>
    <row r="43">
      <c r="A43" s="300"/>
      <c r="B43" s="276"/>
      <c r="C43" s="276"/>
      <c r="D43" s="276"/>
      <c r="E43" s="276"/>
      <c r="F43" s="276"/>
      <c r="G43" s="276"/>
      <c r="H43" s="276"/>
      <c r="I43" s="276"/>
      <c r="J43" s="276"/>
      <c r="K43" s="276"/>
      <c r="L43" s="276"/>
    </row>
    <row r="44">
      <c r="A44" s="276"/>
      <c r="B44" s="276"/>
      <c r="C44" s="276"/>
      <c r="D44" s="276"/>
      <c r="E44" s="276"/>
      <c r="F44" s="276"/>
      <c r="G44" s="276"/>
      <c r="H44" s="276"/>
      <c r="I44" s="276"/>
      <c r="J44" s="276"/>
      <c r="K44" s="276"/>
      <c r="L44" s="276"/>
    </row>
    <row r="45">
      <c r="A45" s="277" t="s">
        <v>921</v>
      </c>
      <c r="B45" s="276"/>
      <c r="C45" s="276"/>
      <c r="D45" s="276"/>
      <c r="E45" s="276"/>
      <c r="F45" s="276"/>
      <c r="G45" s="277" t="s">
        <v>921</v>
      </c>
      <c r="H45" s="276"/>
      <c r="I45" s="276"/>
      <c r="J45" s="276"/>
      <c r="K45" s="276"/>
      <c r="L45" s="276"/>
    </row>
    <row r="46">
      <c r="A46" s="279"/>
      <c r="B46" s="281" t="s">
        <v>831</v>
      </c>
      <c r="C46" s="281" t="s">
        <v>833</v>
      </c>
      <c r="D46" s="281" t="s">
        <v>834</v>
      </c>
      <c r="E46" s="276"/>
      <c r="F46" s="276"/>
      <c r="G46" s="279"/>
      <c r="H46" s="281" t="s">
        <v>831</v>
      </c>
      <c r="I46" s="281" t="s">
        <v>833</v>
      </c>
      <c r="J46" s="281" t="s">
        <v>834</v>
      </c>
      <c r="K46" s="276"/>
      <c r="L46" s="276"/>
    </row>
    <row r="47">
      <c r="A47" s="277" t="s">
        <v>865</v>
      </c>
      <c r="B47" s="284">
        <v>2.5</v>
      </c>
      <c r="C47" s="284" t="str">
        <f>C13</f>
        <v>#REF!</v>
      </c>
      <c r="D47" s="276"/>
      <c r="E47" s="276"/>
      <c r="F47" s="276"/>
      <c r="G47" s="277" t="s">
        <v>865</v>
      </c>
      <c r="H47" s="284">
        <v>2.5</v>
      </c>
      <c r="I47" s="284" t="str">
        <f>C13</f>
        <v>#REF!</v>
      </c>
      <c r="J47" s="276"/>
      <c r="K47" s="276"/>
      <c r="L47" s="276"/>
    </row>
    <row r="48">
      <c r="A48" s="277" t="s">
        <v>924</v>
      </c>
      <c r="B48" s="284">
        <v>8.0</v>
      </c>
      <c r="C48" s="284" t="str">
        <f>#REF!</f>
        <v>#REF!</v>
      </c>
      <c r="D48" s="276"/>
      <c r="E48" s="276"/>
      <c r="F48" s="276"/>
      <c r="G48" s="277" t="s">
        <v>924</v>
      </c>
      <c r="H48" s="284">
        <v>8.0</v>
      </c>
      <c r="I48" s="284" t="str">
        <f>C48</f>
        <v>#REF!</v>
      </c>
      <c r="J48" s="276"/>
      <c r="K48" s="276"/>
      <c r="L48" s="276"/>
    </row>
    <row r="49">
      <c r="A49" s="277" t="s">
        <v>912</v>
      </c>
      <c r="B49" s="284">
        <v>17.0</v>
      </c>
      <c r="C49" s="318" t="str">
        <f>C35</f>
        <v>#REF!</v>
      </c>
      <c r="D49" s="277" t="s">
        <v>913</v>
      </c>
      <c r="E49" s="276"/>
      <c r="F49" s="276"/>
      <c r="G49" s="277" t="s">
        <v>912</v>
      </c>
      <c r="H49" s="284">
        <v>17.0</v>
      </c>
      <c r="I49" s="318" t="str">
        <f>C35</f>
        <v>#REF!</v>
      </c>
      <c r="J49" s="277" t="s">
        <v>913</v>
      </c>
      <c r="K49" s="276"/>
      <c r="L49" s="276"/>
    </row>
    <row r="50">
      <c r="A50" s="277" t="s">
        <v>926</v>
      </c>
      <c r="B50" s="284">
        <v>8.5</v>
      </c>
      <c r="C50" s="284" t="str">
        <f>C37</f>
        <v>#REF!</v>
      </c>
      <c r="D50" s="277" t="s">
        <v>871</v>
      </c>
      <c r="E50" s="276"/>
      <c r="F50" s="276"/>
      <c r="G50" s="277" t="s">
        <v>917</v>
      </c>
      <c r="H50" s="284">
        <v>11.0</v>
      </c>
      <c r="I50" s="284" t="str">
        <f>I38</f>
        <v>#REF!</v>
      </c>
      <c r="J50" s="276"/>
      <c r="K50" s="276"/>
      <c r="L50" s="276"/>
    </row>
    <row r="51">
      <c r="A51" s="277" t="s">
        <v>878</v>
      </c>
      <c r="B51" s="284">
        <v>10.0</v>
      </c>
      <c r="C51" s="284" t="str">
        <f>C26</f>
        <v>#REF!</v>
      </c>
      <c r="D51" s="277" t="s">
        <v>871</v>
      </c>
      <c r="E51" s="276"/>
      <c r="F51" s="276"/>
      <c r="G51" s="277" t="s">
        <v>872</v>
      </c>
      <c r="H51" s="284">
        <v>11.0</v>
      </c>
      <c r="I51" s="284" t="str">
        <f>I40</f>
        <v>#REF!</v>
      </c>
      <c r="J51" s="276"/>
      <c r="K51" s="276"/>
      <c r="L51" s="276"/>
    </row>
    <row r="52">
      <c r="A52" s="277" t="s">
        <v>837</v>
      </c>
      <c r="B52" s="284">
        <v>1.8</v>
      </c>
      <c r="C52" s="284">
        <f>J4</f>
        <v>0.35</v>
      </c>
      <c r="D52" s="276"/>
      <c r="E52" s="276"/>
      <c r="F52" s="276"/>
      <c r="G52" s="277" t="s">
        <v>837</v>
      </c>
      <c r="H52" s="284">
        <v>1.8</v>
      </c>
      <c r="I52" s="284">
        <f>J4</f>
        <v>0.35</v>
      </c>
      <c r="J52" s="276"/>
      <c r="K52" s="276"/>
      <c r="L52" s="276"/>
    </row>
    <row r="53">
      <c r="A53" s="277" t="s">
        <v>918</v>
      </c>
      <c r="B53" s="284">
        <v>3.6</v>
      </c>
      <c r="C53" s="317">
        <f>I4*4</f>
        <v>2.222222222</v>
      </c>
      <c r="D53" s="276"/>
      <c r="E53" s="276"/>
      <c r="F53" s="276"/>
      <c r="G53" s="277" t="s">
        <v>847</v>
      </c>
      <c r="H53" s="284">
        <v>3.6</v>
      </c>
      <c r="I53" s="284">
        <f>I4*4</f>
        <v>2.222222222</v>
      </c>
      <c r="J53" s="276"/>
      <c r="K53" s="276"/>
      <c r="L53" s="276"/>
    </row>
    <row r="54">
      <c r="A54" s="296">
        <v>-0.36</v>
      </c>
      <c r="B54" s="298">
        <v>51.4</v>
      </c>
      <c r="C54" s="298">
        <v>10.38</v>
      </c>
      <c r="D54" s="298">
        <v>33.0</v>
      </c>
      <c r="E54" s="276"/>
      <c r="F54" s="276"/>
      <c r="G54" s="296">
        <v>-0.4</v>
      </c>
      <c r="H54" s="298">
        <v>54.9</v>
      </c>
      <c r="I54" s="298">
        <v>12.74</v>
      </c>
      <c r="J54" s="298">
        <v>33.0</v>
      </c>
      <c r="K54" s="276"/>
      <c r="L54" s="276"/>
    </row>
    <row r="55">
      <c r="A55" s="276"/>
      <c r="B55" s="301">
        <v>0.2</v>
      </c>
      <c r="C55" s="284">
        <v>-18.4</v>
      </c>
      <c r="D55" s="302">
        <f>C54/D54</f>
        <v>0.3145454545</v>
      </c>
      <c r="E55" s="276"/>
      <c r="F55" s="276"/>
      <c r="G55" s="276"/>
      <c r="H55" s="301">
        <v>0.23</v>
      </c>
      <c r="I55" s="284">
        <v>-21.9</v>
      </c>
      <c r="J55" s="302">
        <f>I54/J54</f>
        <v>0.3860606061</v>
      </c>
      <c r="K55" s="276"/>
      <c r="L55" s="276"/>
    </row>
  </sheetData>
  <mergeCells count="1">
    <mergeCell ref="A1:J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9.63"/>
    <col customWidth="1" min="3" max="3" width="11.88"/>
    <col customWidth="1" hidden="1" min="4" max="4" width="11.88"/>
    <col customWidth="1" min="5" max="5" width="8.0"/>
    <col customWidth="1" min="6" max="6" width="10.63"/>
    <col customWidth="1" min="7" max="7" width="9.0"/>
    <col customWidth="1" min="8" max="8" width="8.75"/>
    <col customWidth="1" min="9" max="9" width="10.0"/>
    <col customWidth="1" min="10" max="10" width="10.38"/>
    <col customWidth="1" min="11" max="11" width="7.75"/>
    <col customWidth="1" min="12" max="12" width="8.88"/>
    <col customWidth="1" min="13" max="13" width="8.75"/>
    <col customWidth="1" min="14" max="14" width="15.88"/>
    <col customWidth="1" min="15" max="15" width="9.0"/>
    <col customWidth="1" min="16" max="16" width="13.38"/>
    <col customWidth="1" min="17" max="17" width="13.63"/>
    <col customWidth="1" min="18" max="24" width="8.75"/>
    <col customWidth="1" min="25" max="25" width="12.0"/>
    <col customWidth="1" min="26" max="26" width="15.0"/>
  </cols>
  <sheetData>
    <row r="1" ht="20.25" customHeight="1">
      <c r="A1" s="272" t="s">
        <v>819</v>
      </c>
      <c r="B1" s="272" t="s">
        <v>821</v>
      </c>
      <c r="C1" s="273" t="str">
        <f>#REF!</f>
        <v>#REF!</v>
      </c>
      <c r="D1" s="275" t="s">
        <v>823</v>
      </c>
      <c r="E1" s="275" t="s">
        <v>824</v>
      </c>
      <c r="F1" s="275" t="s">
        <v>44</v>
      </c>
      <c r="G1" s="275" t="s">
        <v>825</v>
      </c>
      <c r="H1" s="275" t="s">
        <v>826</v>
      </c>
      <c r="I1" s="275" t="s">
        <v>44</v>
      </c>
      <c r="J1" s="275" t="s">
        <v>828</v>
      </c>
      <c r="K1" s="278" t="s">
        <v>829</v>
      </c>
      <c r="L1" s="32"/>
      <c r="P1" s="280" t="str">
        <f>#REF!</f>
        <v>#REF!</v>
      </c>
    </row>
    <row r="2">
      <c r="A2" s="222" t="s">
        <v>832</v>
      </c>
      <c r="B2" s="283">
        <f t="shared" ref="B2:B3" si="1">3.3*1.1</f>
        <v>3.63</v>
      </c>
      <c r="C2" s="285" t="str">
        <f t="shared" ref="C2:C8" si="2">B2*$C$1</f>
        <v>#REF!</v>
      </c>
      <c r="D2" s="285">
        <f t="shared" ref="D2:D3" si="3">77*1515</f>
        <v>116655</v>
      </c>
      <c r="E2" s="286">
        <v>12.0</v>
      </c>
      <c r="F2" s="287" t="str">
        <f t="shared" ref="F2:F8" si="4">(C2/E2)/$C$1</f>
        <v>#REF!</v>
      </c>
      <c r="G2" s="287" t="str">
        <f>'UTL COST'!$D$5/$C$1</f>
        <v>#REF!</v>
      </c>
      <c r="H2" s="287"/>
      <c r="I2" s="287" t="str">
        <f t="shared" ref="I2:I22" si="5">F2+G2+H2</f>
        <v>#REF!</v>
      </c>
      <c r="J2" s="291">
        <v>1.25</v>
      </c>
      <c r="K2" s="292" t="str">
        <f t="shared" ref="K2:K22" si="6">I2/J2</f>
        <v>#REF!</v>
      </c>
      <c r="L2" s="293">
        <f>30*B2</f>
        <v>108.9</v>
      </c>
      <c r="N2" s="294" t="s">
        <v>848</v>
      </c>
      <c r="O2" s="294"/>
      <c r="P2" s="295" t="str">
        <f>Q2/$P$1</f>
        <v>#REF!</v>
      </c>
      <c r="Q2" s="297" t="str">
        <f>Q4+Q5</f>
        <v>#REF!</v>
      </c>
    </row>
    <row r="3">
      <c r="A3" s="222" t="s">
        <v>849</v>
      </c>
      <c r="B3" s="283">
        <f t="shared" si="1"/>
        <v>3.63</v>
      </c>
      <c r="C3" s="285" t="str">
        <f t="shared" si="2"/>
        <v>#REF!</v>
      </c>
      <c r="D3" s="285">
        <f t="shared" si="3"/>
        <v>116655</v>
      </c>
      <c r="E3" s="286">
        <v>24.0</v>
      </c>
      <c r="F3" s="287" t="str">
        <f t="shared" si="4"/>
        <v>#REF!</v>
      </c>
      <c r="G3" s="287" t="str">
        <f>'UTL COST'!$D$5/$C$1</f>
        <v>#REF!</v>
      </c>
      <c r="H3" s="287"/>
      <c r="I3" s="287" t="str">
        <f t="shared" si="5"/>
        <v>#REF!</v>
      </c>
      <c r="J3" s="291">
        <v>0.75</v>
      </c>
      <c r="K3" s="292" t="str">
        <f t="shared" si="6"/>
        <v>#REF!</v>
      </c>
      <c r="L3" s="293">
        <f>20*B3</f>
        <v>72.6</v>
      </c>
      <c r="N3" s="299"/>
      <c r="O3" s="299" t="s">
        <v>3</v>
      </c>
      <c r="P3" s="299" t="s">
        <v>44</v>
      </c>
      <c r="Q3" s="299" t="s">
        <v>39</v>
      </c>
    </row>
    <row r="4">
      <c r="A4" s="222" t="s">
        <v>853</v>
      </c>
      <c r="B4" s="283">
        <f>4.75*1.1</f>
        <v>5.225</v>
      </c>
      <c r="C4" s="285" t="str">
        <f t="shared" si="2"/>
        <v>#REF!</v>
      </c>
      <c r="D4" s="285">
        <v>178000.0</v>
      </c>
      <c r="E4" s="286">
        <v>12.0</v>
      </c>
      <c r="F4" s="287" t="str">
        <f t="shared" si="4"/>
        <v>#REF!</v>
      </c>
      <c r="G4" s="287" t="str">
        <f>'UTL COST'!$D$5/$C$1</f>
        <v>#REF!</v>
      </c>
      <c r="H4" s="287"/>
      <c r="I4" s="287" t="str">
        <f t="shared" si="5"/>
        <v>#REF!</v>
      </c>
      <c r="J4" s="291">
        <v>1.25</v>
      </c>
      <c r="K4" s="292" t="str">
        <f t="shared" si="6"/>
        <v>#REF!</v>
      </c>
      <c r="L4" s="293">
        <f>B4*30</f>
        <v>156.75</v>
      </c>
      <c r="N4" s="294" t="s">
        <v>860</v>
      </c>
      <c r="O4" s="294">
        <v>1.0</v>
      </c>
      <c r="P4" s="297" t="str">
        <f>$F$12</f>
        <v>#REF!</v>
      </c>
      <c r="Q4" s="297" t="str">
        <f t="shared" ref="Q4:Q5" si="7">P4*O4</f>
        <v>#REF!</v>
      </c>
      <c r="Y4" s="303"/>
      <c r="Z4" s="304"/>
    </row>
    <row r="5">
      <c r="A5" s="222" t="s">
        <v>862</v>
      </c>
      <c r="B5" s="305">
        <v>8.0</v>
      </c>
      <c r="C5" s="285" t="str">
        <f t="shared" si="2"/>
        <v>#REF!</v>
      </c>
      <c r="D5" s="285">
        <v>580000.0</v>
      </c>
      <c r="E5" s="286">
        <v>24.0</v>
      </c>
      <c r="F5" s="287" t="str">
        <f t="shared" si="4"/>
        <v>#REF!</v>
      </c>
      <c r="G5" s="287" t="str">
        <f>'UTL COST'!$D$5/$C$1</f>
        <v>#REF!</v>
      </c>
      <c r="H5" s="287"/>
      <c r="I5" s="287" t="str">
        <f t="shared" si="5"/>
        <v>#REF!</v>
      </c>
      <c r="J5" s="291">
        <v>1.5</v>
      </c>
      <c r="K5" s="292" t="str">
        <f t="shared" si="6"/>
        <v>#REF!</v>
      </c>
      <c r="L5" s="293">
        <f>B5*2</f>
        <v>16</v>
      </c>
      <c r="N5" s="294" t="s">
        <v>86</v>
      </c>
      <c r="O5" s="294">
        <v>0.375</v>
      </c>
      <c r="P5" s="306">
        <f>'F&amp;B'!$F$96</f>
        <v>13050</v>
      </c>
      <c r="Q5" s="306">
        <f t="shared" si="7"/>
        <v>4893.75</v>
      </c>
      <c r="Y5" s="303"/>
      <c r="Z5" s="304"/>
    </row>
    <row r="6">
      <c r="A6" s="222" t="s">
        <v>866</v>
      </c>
      <c r="B6" s="283">
        <v>4.01</v>
      </c>
      <c r="C6" s="285" t="str">
        <f t="shared" si="2"/>
        <v>#REF!</v>
      </c>
      <c r="D6" s="285">
        <v>250000.0</v>
      </c>
      <c r="E6" s="286">
        <v>35.0</v>
      </c>
      <c r="F6" s="287" t="str">
        <f t="shared" si="4"/>
        <v>#REF!</v>
      </c>
      <c r="G6" s="287" t="str">
        <f>'UTL COST'!$D$5/$C$1</f>
        <v>#REF!</v>
      </c>
      <c r="H6" s="287"/>
      <c r="I6" s="287" t="str">
        <f t="shared" si="5"/>
        <v>#REF!</v>
      </c>
      <c r="J6" s="291">
        <v>1.0</v>
      </c>
      <c r="K6" s="292" t="str">
        <f t="shared" si="6"/>
        <v>#REF!</v>
      </c>
      <c r="L6" s="293">
        <f>B6*10</f>
        <v>40.1</v>
      </c>
      <c r="N6" s="294"/>
      <c r="O6" s="294"/>
      <c r="P6" s="294"/>
      <c r="Q6" s="294"/>
      <c r="Y6" s="303"/>
      <c r="Z6" s="304"/>
    </row>
    <row r="7">
      <c r="A7" s="222" t="s">
        <v>876</v>
      </c>
      <c r="B7" s="305">
        <v>3.03</v>
      </c>
      <c r="C7" s="285" t="str">
        <f t="shared" si="2"/>
        <v>#REF!</v>
      </c>
      <c r="D7" s="285">
        <v>115000.0</v>
      </c>
      <c r="E7" s="286">
        <v>100.0</v>
      </c>
      <c r="F7" s="287" t="str">
        <f t="shared" si="4"/>
        <v>#REF!</v>
      </c>
      <c r="G7" s="287" t="str">
        <f>'UTL COST'!$D$5/$C$1</f>
        <v>#REF!</v>
      </c>
      <c r="H7" s="287"/>
      <c r="I7" s="287" t="str">
        <f t="shared" si="5"/>
        <v>#REF!</v>
      </c>
      <c r="J7" s="291">
        <v>1.0</v>
      </c>
      <c r="K7" s="292" t="str">
        <f t="shared" si="6"/>
        <v>#REF!</v>
      </c>
      <c r="L7" s="293">
        <f t="shared" ref="L7:L11" si="8">B7*2</f>
        <v>6.06</v>
      </c>
      <c r="N7" s="294"/>
      <c r="O7" s="294"/>
      <c r="P7" s="294"/>
      <c r="Q7" s="294"/>
      <c r="Y7" s="303"/>
      <c r="Z7" s="304"/>
    </row>
    <row r="8">
      <c r="A8" s="222" t="s">
        <v>881</v>
      </c>
      <c r="B8" s="305">
        <v>1.58</v>
      </c>
      <c r="C8" s="285" t="str">
        <f t="shared" si="2"/>
        <v>#REF!</v>
      </c>
      <c r="D8" s="285">
        <v>60000.0</v>
      </c>
      <c r="E8" s="286">
        <v>20.0</v>
      </c>
      <c r="F8" s="287" t="str">
        <f t="shared" si="4"/>
        <v>#REF!</v>
      </c>
      <c r="G8" s="287" t="str">
        <f>'UTL COST'!$D$5/$C$1</f>
        <v>#REF!</v>
      </c>
      <c r="H8" s="287"/>
      <c r="I8" s="287" t="str">
        <f t="shared" si="5"/>
        <v>#REF!</v>
      </c>
      <c r="J8" s="291">
        <v>1.0</v>
      </c>
      <c r="K8" s="292" t="str">
        <f t="shared" si="6"/>
        <v>#REF!</v>
      </c>
      <c r="L8" s="293">
        <f t="shared" si="8"/>
        <v>3.16</v>
      </c>
      <c r="N8" s="294" t="s">
        <v>886</v>
      </c>
      <c r="O8" s="294"/>
      <c r="P8" s="295" t="str">
        <f>Q8/$P$1</f>
        <v>#REF!</v>
      </c>
      <c r="Q8" s="297" t="str">
        <f>Q10+Q12+Q11</f>
        <v>#REF!</v>
      </c>
      <c r="Y8" s="303"/>
      <c r="Z8" s="304"/>
    </row>
    <row r="9">
      <c r="A9" s="222" t="s">
        <v>848</v>
      </c>
      <c r="B9" s="311">
        <f t="shared" ref="B9:B11" si="9">D9/38000</f>
        <v>0</v>
      </c>
      <c r="C9" s="285" t="s">
        <v>892</v>
      </c>
      <c r="D9" s="285">
        <v>0.0</v>
      </c>
      <c r="E9" s="286">
        <v>0.0</v>
      </c>
      <c r="F9" s="287" t="str">
        <f>$Q$2/$C$1</f>
        <v>#REF!</v>
      </c>
      <c r="G9" s="287" t="str">
        <f>'UTL COST'!$D$5/$C$1</f>
        <v>#REF!</v>
      </c>
      <c r="H9" s="287"/>
      <c r="I9" s="287" t="str">
        <f t="shared" si="5"/>
        <v>#REF!</v>
      </c>
      <c r="J9" s="291">
        <v>1.5</v>
      </c>
      <c r="K9" s="292" t="str">
        <f t="shared" si="6"/>
        <v>#REF!</v>
      </c>
      <c r="L9" s="293">
        <f t="shared" si="8"/>
        <v>0</v>
      </c>
      <c r="N9" s="299"/>
      <c r="O9" s="299" t="s">
        <v>3</v>
      </c>
      <c r="P9" s="299" t="s">
        <v>44</v>
      </c>
      <c r="Q9" s="299" t="s">
        <v>39</v>
      </c>
      <c r="Y9" s="303"/>
      <c r="Z9" s="304"/>
    </row>
    <row r="10">
      <c r="A10" s="222" t="s">
        <v>886</v>
      </c>
      <c r="B10" s="311">
        <f t="shared" si="9"/>
        <v>0</v>
      </c>
      <c r="C10" s="285" t="s">
        <v>892</v>
      </c>
      <c r="D10" s="285">
        <v>0.0</v>
      </c>
      <c r="E10" s="286">
        <v>0.0</v>
      </c>
      <c r="F10" s="287" t="str">
        <f>$Q$8/$C$1</f>
        <v>#REF!</v>
      </c>
      <c r="G10" s="287" t="str">
        <f>'UTL COST'!$D$5/$C$1</f>
        <v>#REF!</v>
      </c>
      <c r="H10" s="287"/>
      <c r="I10" s="287" t="str">
        <f t="shared" si="5"/>
        <v>#REF!</v>
      </c>
      <c r="J10" s="291">
        <v>2.0</v>
      </c>
      <c r="K10" s="292" t="str">
        <f t="shared" si="6"/>
        <v>#REF!</v>
      </c>
      <c r="L10" s="293">
        <f t="shared" si="8"/>
        <v>0</v>
      </c>
      <c r="N10" s="294" t="s">
        <v>860</v>
      </c>
      <c r="O10" s="294">
        <v>1.0</v>
      </c>
      <c r="P10" s="297" t="str">
        <f>$F$12</f>
        <v>#REF!</v>
      </c>
      <c r="Q10" s="297" t="str">
        <f t="shared" ref="Q10:Q12" si="10">P10*O10</f>
        <v>#REF!</v>
      </c>
      <c r="Y10" s="315"/>
      <c r="Z10" s="316"/>
    </row>
    <row r="11">
      <c r="A11" s="222" t="s">
        <v>903</v>
      </c>
      <c r="B11" s="311">
        <f t="shared" si="9"/>
        <v>0</v>
      </c>
      <c r="C11" s="285" t="s">
        <v>892</v>
      </c>
      <c r="D11" s="285">
        <v>0.0</v>
      </c>
      <c r="E11" s="286">
        <v>0.0</v>
      </c>
      <c r="F11" s="287" t="str">
        <f>$Q$14/$C$1</f>
        <v>#REF!</v>
      </c>
      <c r="G11" s="287" t="str">
        <f>'UTL COST'!$D$5/$C$1</f>
        <v>#REF!</v>
      </c>
      <c r="H11" s="287"/>
      <c r="I11" s="287" t="str">
        <f t="shared" si="5"/>
        <v>#REF!</v>
      </c>
      <c r="J11" s="291">
        <v>1.75</v>
      </c>
      <c r="K11" s="292" t="str">
        <f t="shared" si="6"/>
        <v>#REF!</v>
      </c>
      <c r="L11" s="293">
        <f t="shared" si="8"/>
        <v>0</v>
      </c>
      <c r="N11" s="294" t="s">
        <v>904</v>
      </c>
      <c r="O11" s="294">
        <v>0.03</v>
      </c>
      <c r="P11" s="297">
        <f>'F&amp;B'!$F$111/1.2</f>
        <v>56250</v>
      </c>
      <c r="Q11" s="297">
        <f t="shared" si="10"/>
        <v>1687.5</v>
      </c>
      <c r="Y11" s="315"/>
      <c r="Z11" s="304"/>
    </row>
    <row r="12">
      <c r="A12" s="222" t="s">
        <v>860</v>
      </c>
      <c r="B12" s="283">
        <v>12.0</v>
      </c>
      <c r="C12" s="285" t="str">
        <f t="shared" ref="C12:C18" si="11">B12*$C$1</f>
        <v>#REF!</v>
      </c>
      <c r="D12" s="285">
        <v>480000.0</v>
      </c>
      <c r="E12" s="286">
        <v>70.0</v>
      </c>
      <c r="F12" s="287" t="str">
        <f t="shared" ref="F12:F18" si="12">(C12/E12)/$C$1</f>
        <v>#REF!</v>
      </c>
      <c r="G12" s="287" t="str">
        <f>'UTL COST'!$D$5/$C$1</f>
        <v>#REF!</v>
      </c>
      <c r="H12" s="287"/>
      <c r="I12" s="287" t="str">
        <f t="shared" si="5"/>
        <v>#REF!</v>
      </c>
      <c r="J12" s="291">
        <v>0.75</v>
      </c>
      <c r="K12" s="292" t="str">
        <f t="shared" si="6"/>
        <v>#REF!</v>
      </c>
      <c r="L12" s="293">
        <f>B12*5</f>
        <v>60</v>
      </c>
      <c r="N12" s="294" t="s">
        <v>86</v>
      </c>
      <c r="O12" s="294">
        <v>0.375</v>
      </c>
      <c r="P12" s="306">
        <f>'F&amp;B'!$F$96</f>
        <v>13050</v>
      </c>
      <c r="Q12" s="306">
        <f t="shared" si="10"/>
        <v>4893.75</v>
      </c>
    </row>
    <row r="13">
      <c r="A13" s="222" t="s">
        <v>908</v>
      </c>
      <c r="B13" s="305">
        <v>8.42</v>
      </c>
      <c r="C13" s="285" t="str">
        <f t="shared" si="11"/>
        <v>#REF!</v>
      </c>
      <c r="D13" s="285">
        <v>320000.0</v>
      </c>
      <c r="E13" s="286">
        <v>100.0</v>
      </c>
      <c r="F13" s="287" t="str">
        <f t="shared" si="12"/>
        <v>#REF!</v>
      </c>
      <c r="G13" s="287" t="str">
        <f>'UTL COST'!$D$5/$C$1</f>
        <v>#REF!</v>
      </c>
      <c r="H13" s="287"/>
      <c r="I13" s="287" t="str">
        <f t="shared" si="5"/>
        <v>#REF!</v>
      </c>
      <c r="J13" s="291">
        <v>0.75</v>
      </c>
      <c r="K13" s="292" t="str">
        <f t="shared" si="6"/>
        <v>#REF!</v>
      </c>
      <c r="L13" s="293">
        <f>B13*2</f>
        <v>16.84</v>
      </c>
      <c r="N13" s="32"/>
      <c r="O13" s="32"/>
      <c r="P13" s="32"/>
      <c r="Q13" s="32"/>
    </row>
    <row r="14">
      <c r="A14" s="222" t="s">
        <v>910</v>
      </c>
      <c r="B14" s="283">
        <f>17.5*1.1</f>
        <v>19.25</v>
      </c>
      <c r="C14" s="285" t="str">
        <f t="shared" si="11"/>
        <v>#REF!</v>
      </c>
      <c r="D14" s="285">
        <v>640000.0</v>
      </c>
      <c r="E14" s="286">
        <v>24.0</v>
      </c>
      <c r="F14" s="287" t="str">
        <f t="shared" si="12"/>
        <v>#REF!</v>
      </c>
      <c r="G14" s="287" t="str">
        <f>'UTL COST'!$D$5/$C$1</f>
        <v>#REF!</v>
      </c>
      <c r="H14" s="287">
        <f>$B$18</f>
        <v>0.18</v>
      </c>
      <c r="I14" s="287" t="str">
        <f t="shared" si="5"/>
        <v>#REF!</v>
      </c>
      <c r="J14" s="291">
        <v>2.0</v>
      </c>
      <c r="K14" s="292" t="str">
        <f t="shared" si="6"/>
        <v>#REF!</v>
      </c>
      <c r="L14" s="293">
        <f>B14*3</f>
        <v>57.75</v>
      </c>
      <c r="N14" s="294" t="s">
        <v>903</v>
      </c>
      <c r="O14" s="294"/>
      <c r="P14" s="294" t="str">
        <f>Q14/P1</f>
        <v>#REF!</v>
      </c>
      <c r="Q14" s="297" t="str">
        <f>Q16+Q18+Q17</f>
        <v>#REF!</v>
      </c>
    </row>
    <row r="15">
      <c r="A15" s="222" t="s">
        <v>914</v>
      </c>
      <c r="B15" s="283">
        <f>17.01*1.1</f>
        <v>18.711</v>
      </c>
      <c r="C15" s="285" t="str">
        <f t="shared" si="11"/>
        <v>#REF!</v>
      </c>
      <c r="D15" s="285">
        <v>590000.0</v>
      </c>
      <c r="E15" s="286">
        <v>24.0</v>
      </c>
      <c r="F15" s="287" t="str">
        <f t="shared" si="12"/>
        <v>#REF!</v>
      </c>
      <c r="G15" s="287" t="str">
        <f>'UTL COST'!$D$5/$C$1</f>
        <v>#REF!</v>
      </c>
      <c r="H15" s="287"/>
      <c r="I15" s="287" t="str">
        <f t="shared" si="5"/>
        <v>#REF!</v>
      </c>
      <c r="J15" s="291">
        <v>2.0</v>
      </c>
      <c r="K15" s="292" t="str">
        <f t="shared" si="6"/>
        <v>#REF!</v>
      </c>
      <c r="L15" s="293">
        <f>B15*2</f>
        <v>37.422</v>
      </c>
      <c r="N15" s="299"/>
      <c r="O15" s="299" t="s">
        <v>3</v>
      </c>
      <c r="P15" s="299" t="s">
        <v>44</v>
      </c>
      <c r="Q15" s="299" t="s">
        <v>39</v>
      </c>
    </row>
    <row r="16">
      <c r="A16" s="222" t="s">
        <v>919</v>
      </c>
      <c r="B16" s="305">
        <v>12.63</v>
      </c>
      <c r="C16" s="285" t="str">
        <f t="shared" si="11"/>
        <v>#REF!</v>
      </c>
      <c r="D16" s="285">
        <v>480000.0</v>
      </c>
      <c r="E16" s="286">
        <v>24.0</v>
      </c>
      <c r="F16" s="287" t="str">
        <f t="shared" si="12"/>
        <v>#REF!</v>
      </c>
      <c r="G16" s="287" t="str">
        <f>'UTL COST'!$D$5/$C$1</f>
        <v>#REF!</v>
      </c>
      <c r="H16" s="287">
        <f>$B$18</f>
        <v>0.18</v>
      </c>
      <c r="I16" s="287" t="str">
        <f t="shared" si="5"/>
        <v>#REF!</v>
      </c>
      <c r="J16" s="291">
        <v>2.0</v>
      </c>
      <c r="K16" s="292" t="str">
        <f t="shared" si="6"/>
        <v>#REF!</v>
      </c>
      <c r="L16" s="293">
        <f>B16*0.5</f>
        <v>6.315</v>
      </c>
      <c r="N16" s="294" t="s">
        <v>920</v>
      </c>
      <c r="O16" s="294">
        <v>0.02</v>
      </c>
      <c r="P16" s="319" t="str">
        <f>(15.9*1.1)*C1</f>
        <v>#REF!</v>
      </c>
      <c r="Q16" s="297" t="str">
        <f t="shared" ref="Q16:Q18" si="13">P16*O16</f>
        <v>#REF!</v>
      </c>
    </row>
    <row r="17">
      <c r="A17" s="222" t="s">
        <v>923</v>
      </c>
      <c r="B17" s="283">
        <f>3.07*4*1.1</f>
        <v>13.508</v>
      </c>
      <c r="C17" s="285" t="str">
        <f t="shared" si="11"/>
        <v>#REF!</v>
      </c>
      <c r="D17" s="285">
        <v>440000.0</v>
      </c>
      <c r="E17" s="286">
        <v>24.0</v>
      </c>
      <c r="F17" s="287" t="str">
        <f t="shared" si="12"/>
        <v>#REF!</v>
      </c>
      <c r="G17" s="287" t="str">
        <f>'UTL COST'!$D$5/$C$1</f>
        <v>#REF!</v>
      </c>
      <c r="H17" s="287"/>
      <c r="I17" s="287" t="str">
        <f t="shared" si="5"/>
        <v>#REF!</v>
      </c>
      <c r="J17" s="291">
        <v>1.5</v>
      </c>
      <c r="K17" s="292" t="str">
        <f t="shared" si="6"/>
        <v>#REF!</v>
      </c>
      <c r="L17" s="293">
        <f>B17*2</f>
        <v>27.016</v>
      </c>
      <c r="N17" s="294" t="s">
        <v>904</v>
      </c>
      <c r="O17" s="294">
        <v>0.03</v>
      </c>
      <c r="P17" s="297">
        <f>'F&amp;B'!$F$111/1.2</f>
        <v>56250</v>
      </c>
      <c r="Q17" s="297">
        <f t="shared" si="13"/>
        <v>1687.5</v>
      </c>
    </row>
    <row r="18">
      <c r="A18" s="222" t="s">
        <v>925</v>
      </c>
      <c r="B18" s="305">
        <v>0.18</v>
      </c>
      <c r="C18" s="285" t="str">
        <f t="shared" si="11"/>
        <v>#REF!</v>
      </c>
      <c r="D18" s="285">
        <v>7000.0</v>
      </c>
      <c r="E18" s="286">
        <v>1.0</v>
      </c>
      <c r="F18" s="287" t="str">
        <f t="shared" si="12"/>
        <v>#REF!</v>
      </c>
      <c r="G18" s="287" t="str">
        <f>'UTL COST'!$D$5/$C$1</f>
        <v>#REF!</v>
      </c>
      <c r="H18" s="287"/>
      <c r="I18" s="287" t="str">
        <f t="shared" si="5"/>
        <v>#REF!</v>
      </c>
      <c r="J18" s="291">
        <v>0.75</v>
      </c>
      <c r="K18" s="292" t="str">
        <f t="shared" si="6"/>
        <v>#REF!</v>
      </c>
      <c r="L18" s="293">
        <f>B18*100</f>
        <v>18</v>
      </c>
      <c r="N18" s="294" t="s">
        <v>86</v>
      </c>
      <c r="O18" s="294">
        <v>0.375</v>
      </c>
      <c r="P18" s="306">
        <f>'F&amp;B'!$F$96</f>
        <v>13050</v>
      </c>
      <c r="Q18" s="306">
        <f t="shared" si="13"/>
        <v>4893.75</v>
      </c>
    </row>
    <row r="19">
      <c r="A19" s="32" t="s">
        <v>927</v>
      </c>
      <c r="B19" s="311"/>
      <c r="C19" s="285" t="s">
        <v>892</v>
      </c>
      <c r="D19" s="285"/>
      <c r="E19" s="286"/>
      <c r="F19" s="287" t="str">
        <f>Q20/$C$1</f>
        <v>#REF!</v>
      </c>
      <c r="G19" s="287" t="str">
        <f>'UTL COST'!$D$5/$C$1</f>
        <v>#REF!</v>
      </c>
      <c r="H19" s="287"/>
      <c r="I19" s="287" t="str">
        <f t="shared" si="5"/>
        <v>#REF!</v>
      </c>
      <c r="J19" s="291">
        <v>2.0</v>
      </c>
      <c r="K19" s="292" t="str">
        <f t="shared" si="6"/>
        <v>#REF!</v>
      </c>
      <c r="L19" s="293">
        <f t="shared" ref="L19:L20" si="14">B19*2</f>
        <v>0</v>
      </c>
    </row>
    <row r="20">
      <c r="A20" s="32" t="s">
        <v>929</v>
      </c>
      <c r="B20" s="311"/>
      <c r="C20" s="285" t="s">
        <v>892</v>
      </c>
      <c r="D20" s="285"/>
      <c r="E20" s="286"/>
      <c r="F20" s="287" t="str">
        <f>Q26/$C$1</f>
        <v>#REF!</v>
      </c>
      <c r="G20" s="287" t="str">
        <f>'UTL COST'!$D$5/$C$1</f>
        <v>#REF!</v>
      </c>
      <c r="H20" s="287"/>
      <c r="I20" s="287" t="str">
        <f t="shared" si="5"/>
        <v>#REF!</v>
      </c>
      <c r="J20" s="291">
        <v>2.0</v>
      </c>
      <c r="K20" s="292" t="str">
        <f t="shared" si="6"/>
        <v>#REF!</v>
      </c>
      <c r="L20" s="293">
        <f t="shared" si="14"/>
        <v>0</v>
      </c>
      <c r="N20" s="294" t="s">
        <v>930</v>
      </c>
      <c r="O20" s="294"/>
      <c r="P20" s="295" t="str">
        <f>Q20/$P$1</f>
        <v>#REF!</v>
      </c>
      <c r="Q20" s="297" t="str">
        <f>Q22+Q23+Q24</f>
        <v>#REF!</v>
      </c>
    </row>
    <row r="21" ht="15.75" customHeight="1">
      <c r="A21" s="222" t="s">
        <v>932</v>
      </c>
      <c r="B21" s="283">
        <f>19.49*1.1</f>
        <v>21.439</v>
      </c>
      <c r="C21" s="285" t="str">
        <f t="shared" ref="C21:C22" si="15">B21*$C$1</f>
        <v>#REF!</v>
      </c>
      <c r="D21" s="285">
        <v>590000.0</v>
      </c>
      <c r="E21" s="286">
        <v>12.0</v>
      </c>
      <c r="F21" s="287" t="str">
        <f t="shared" ref="F21:F22" si="16">(C21/E21)/$C$1</f>
        <v>#REF!</v>
      </c>
      <c r="G21" s="287" t="str">
        <f>'UTL COST'!$D$5/$C$1</f>
        <v>#REF!</v>
      </c>
      <c r="H21" s="287"/>
      <c r="I21" s="287" t="str">
        <f t="shared" si="5"/>
        <v>#REF!</v>
      </c>
      <c r="J21" s="291">
        <v>5.0</v>
      </c>
      <c r="K21" s="292" t="str">
        <f t="shared" si="6"/>
        <v>#REF!</v>
      </c>
      <c r="L21" s="293">
        <f t="shared" ref="L21:L22" si="17">B21*1</f>
        <v>21.439</v>
      </c>
      <c r="N21" s="299"/>
      <c r="O21" s="299" t="s">
        <v>3</v>
      </c>
      <c r="P21" s="299" t="s">
        <v>44</v>
      </c>
      <c r="Q21" s="299" t="s">
        <v>39</v>
      </c>
    </row>
    <row r="22" ht="15.75" customHeight="1">
      <c r="A22" s="222" t="s">
        <v>938</v>
      </c>
      <c r="B22" s="283">
        <v>33.0</v>
      </c>
      <c r="C22" s="285" t="str">
        <f t="shared" si="15"/>
        <v>#REF!</v>
      </c>
      <c r="D22" s="285">
        <v>590000.0</v>
      </c>
      <c r="E22" s="286">
        <v>55.0</v>
      </c>
      <c r="F22" s="287" t="str">
        <f t="shared" si="16"/>
        <v>#REF!</v>
      </c>
      <c r="G22" s="287" t="str">
        <f>'UTL COST'!$D$5/$C$1</f>
        <v>#REF!</v>
      </c>
      <c r="H22" s="287"/>
      <c r="I22" s="287" t="str">
        <f t="shared" si="5"/>
        <v>#REF!</v>
      </c>
      <c r="J22" s="291">
        <v>2.0</v>
      </c>
      <c r="K22" s="292" t="str">
        <f t="shared" si="6"/>
        <v>#REF!</v>
      </c>
      <c r="L22" s="293">
        <f t="shared" si="17"/>
        <v>33</v>
      </c>
      <c r="N22" s="294" t="s">
        <v>940</v>
      </c>
      <c r="O22" s="294">
        <v>0.02</v>
      </c>
      <c r="P22" s="319" t="str">
        <f>7.6*1.1*($P$1)</f>
        <v>#REF!</v>
      </c>
      <c r="Q22" s="297" t="str">
        <f t="shared" ref="Q22:Q24" si="18">P22*O22</f>
        <v>#REF!</v>
      </c>
    </row>
    <row r="23" ht="15.75" customHeight="1">
      <c r="L23" s="32"/>
      <c r="N23" s="294" t="s">
        <v>941</v>
      </c>
      <c r="O23" s="294">
        <v>0.06</v>
      </c>
      <c r="P23" s="297">
        <v>170000.0</v>
      </c>
      <c r="Q23" s="306">
        <f t="shared" si="18"/>
        <v>10200</v>
      </c>
    </row>
    <row r="24" ht="15.75" customHeight="1">
      <c r="L24" s="32"/>
      <c r="N24" s="294" t="s">
        <v>942</v>
      </c>
      <c r="O24" s="294">
        <v>0.06</v>
      </c>
      <c r="P24" s="297">
        <f>$P$23</f>
        <v>170000</v>
      </c>
      <c r="Q24" s="306">
        <f t="shared" si="18"/>
        <v>10200</v>
      </c>
    </row>
    <row r="25" ht="15.75" customHeight="1">
      <c r="L25" s="32"/>
    </row>
    <row r="26" ht="15.75" customHeight="1">
      <c r="L26" s="32"/>
      <c r="N26" s="294" t="s">
        <v>943</v>
      </c>
      <c r="O26" s="294"/>
      <c r="P26" s="295" t="str">
        <f>Q26/$P$1</f>
        <v>#REF!</v>
      </c>
      <c r="Q26" s="297" t="str">
        <f>Q28+Q29+Q30+Q31</f>
        <v>#REF!</v>
      </c>
    </row>
    <row r="27" ht="15.75" customHeight="1">
      <c r="L27" s="32"/>
      <c r="N27" s="299"/>
      <c r="O27" s="299" t="s">
        <v>3</v>
      </c>
      <c r="P27" s="299" t="s">
        <v>44</v>
      </c>
      <c r="Q27" s="299" t="s">
        <v>39</v>
      </c>
    </row>
    <row r="28" ht="15.75" customHeight="1">
      <c r="L28" s="32"/>
      <c r="N28" s="294" t="s">
        <v>940</v>
      </c>
      <c r="O28" s="294">
        <v>0.02</v>
      </c>
      <c r="P28" s="297" t="str">
        <f>P22</f>
        <v>#REF!</v>
      </c>
      <c r="Q28" s="297" t="str">
        <f t="shared" ref="Q28:Q31" si="19">P28*O28</f>
        <v>#REF!</v>
      </c>
    </row>
    <row r="29" ht="15.75" customHeight="1">
      <c r="L29" s="32"/>
      <c r="N29" s="294" t="s">
        <v>941</v>
      </c>
      <c r="O29" s="294">
        <v>0.06</v>
      </c>
      <c r="P29" s="297">
        <f t="shared" ref="P29:P30" si="20">$P$23</f>
        <v>170000</v>
      </c>
      <c r="Q29" s="306">
        <f t="shared" si="19"/>
        <v>10200</v>
      </c>
    </row>
    <row r="30" ht="15.75" customHeight="1">
      <c r="L30" s="32"/>
      <c r="N30" s="294" t="s">
        <v>942</v>
      </c>
      <c r="O30" s="294">
        <v>0.06</v>
      </c>
      <c r="P30" s="297">
        <f t="shared" si="20"/>
        <v>170000</v>
      </c>
      <c r="Q30" s="306">
        <f t="shared" si="19"/>
        <v>10200</v>
      </c>
    </row>
    <row r="31" ht="15.75" customHeight="1">
      <c r="L31" s="32"/>
      <c r="N31" s="294" t="s">
        <v>940</v>
      </c>
      <c r="O31" s="294">
        <v>0.02</v>
      </c>
      <c r="P31" s="297" t="str">
        <f>P28</f>
        <v>#REF!</v>
      </c>
      <c r="Q31" s="297" t="str">
        <f t="shared" si="19"/>
        <v>#REF!</v>
      </c>
    </row>
    <row r="32" ht="15.75" customHeight="1">
      <c r="L32" s="32"/>
    </row>
    <row r="33" ht="15.75" customHeight="1">
      <c r="L33" s="32"/>
    </row>
    <row r="34" ht="15.75" customHeight="1">
      <c r="L34" s="32"/>
    </row>
    <row r="35" ht="15.75" customHeight="1">
      <c r="L35" s="32"/>
    </row>
    <row r="36" ht="15.75" customHeight="1">
      <c r="L36" s="32"/>
    </row>
    <row r="37" ht="15.75" customHeight="1">
      <c r="L37" s="32"/>
    </row>
    <row r="38" ht="15.75" customHeight="1">
      <c r="L38" s="32"/>
    </row>
    <row r="39" ht="15.75" customHeight="1">
      <c r="L39" s="32"/>
    </row>
    <row r="40" ht="15.75" customHeight="1">
      <c r="L40" s="32"/>
    </row>
    <row r="41" ht="15.75" customHeight="1">
      <c r="L41" s="32"/>
    </row>
    <row r="42" ht="15.75" customHeight="1">
      <c r="L42" s="32"/>
    </row>
    <row r="43" ht="15.75" customHeight="1">
      <c r="L43" s="32"/>
    </row>
    <row r="44" ht="15.75" customHeight="1">
      <c r="L44" s="32"/>
    </row>
    <row r="45" ht="15.75" customHeight="1">
      <c r="L45" s="32"/>
    </row>
    <row r="46" ht="15.75" customHeight="1">
      <c r="L46" s="32"/>
    </row>
    <row r="47" ht="15.75" customHeight="1">
      <c r="L47" s="32"/>
    </row>
    <row r="48" ht="15.75" customHeight="1">
      <c r="L48" s="32"/>
    </row>
    <row r="49" ht="15.75" customHeight="1">
      <c r="L49" s="32"/>
    </row>
    <row r="50" ht="15.75" customHeight="1">
      <c r="L50" s="32"/>
    </row>
    <row r="51" ht="15.75" customHeight="1">
      <c r="L51" s="32"/>
    </row>
    <row r="52" ht="15.75" customHeight="1">
      <c r="L52" s="32"/>
    </row>
    <row r="53" ht="15.75" customHeight="1">
      <c r="L53" s="32"/>
    </row>
    <row r="54" ht="15.75" customHeight="1">
      <c r="L54" s="32"/>
    </row>
    <row r="55" ht="15.75" customHeight="1">
      <c r="L55" s="32"/>
    </row>
    <row r="56" ht="15.75" customHeight="1">
      <c r="L56" s="32"/>
    </row>
    <row r="57" ht="15.75" customHeight="1">
      <c r="L57" s="32"/>
    </row>
    <row r="58" ht="15.75" customHeight="1">
      <c r="L58" s="32"/>
    </row>
    <row r="59" ht="15.75" customHeight="1">
      <c r="L59" s="32"/>
    </row>
    <row r="60" ht="15.75" customHeight="1">
      <c r="L60" s="32"/>
    </row>
    <row r="61" ht="15.75" customHeight="1">
      <c r="L61" s="32"/>
    </row>
    <row r="62" ht="15.75" customHeight="1">
      <c r="L62" s="32"/>
    </row>
    <row r="63" ht="15.75" customHeight="1">
      <c r="L63" s="32"/>
    </row>
    <row r="64" ht="15.75" customHeight="1">
      <c r="L64" s="32"/>
    </row>
    <row r="65" ht="15.75" customHeight="1">
      <c r="L65" s="32"/>
    </row>
    <row r="66" ht="15.75" customHeight="1">
      <c r="L66" s="32"/>
    </row>
    <row r="67" ht="15.75" customHeight="1">
      <c r="L67" s="32"/>
    </row>
    <row r="68" ht="15.75" customHeight="1">
      <c r="L68" s="32"/>
    </row>
    <row r="69" ht="15.75" customHeight="1">
      <c r="L69" s="32"/>
    </row>
    <row r="70" ht="15.75" customHeight="1">
      <c r="L70" s="32"/>
    </row>
    <row r="71" ht="15.75" customHeight="1">
      <c r="L71" s="32"/>
    </row>
    <row r="72" ht="15.75" customHeight="1">
      <c r="L72" s="32"/>
    </row>
    <row r="73" ht="15.75" customHeight="1">
      <c r="L73" s="32"/>
    </row>
    <row r="74" ht="15.75" customHeight="1">
      <c r="L74" s="32"/>
    </row>
    <row r="75" ht="15.75" customHeight="1">
      <c r="L75" s="32"/>
    </row>
    <row r="76" ht="15.75" customHeight="1">
      <c r="L76" s="32"/>
    </row>
    <row r="77" ht="15.75" customHeight="1">
      <c r="L77" s="32"/>
    </row>
    <row r="78" ht="15.75" customHeight="1">
      <c r="L78" s="32"/>
    </row>
    <row r="79" ht="15.75" customHeight="1">
      <c r="L79" s="32"/>
    </row>
    <row r="80" ht="15.75" customHeight="1">
      <c r="L80" s="32"/>
    </row>
    <row r="81" ht="15.75" customHeight="1">
      <c r="L81" s="32"/>
    </row>
    <row r="82" ht="15.75" customHeight="1">
      <c r="L82" s="32"/>
    </row>
    <row r="83" ht="15.75" customHeight="1">
      <c r="L83" s="32"/>
    </row>
    <row r="84" ht="15.75" customHeight="1">
      <c r="L84" s="32"/>
    </row>
    <row r="85" ht="15.75" customHeight="1">
      <c r="L85" s="32"/>
    </row>
    <row r="86" ht="15.75" customHeight="1">
      <c r="L86" s="32"/>
    </row>
    <row r="87" ht="15.75" customHeight="1">
      <c r="L87" s="32"/>
    </row>
    <row r="88" ht="15.75" customHeight="1">
      <c r="L88" s="32"/>
    </row>
    <row r="89" ht="15.75" customHeight="1">
      <c r="L89" s="32"/>
    </row>
    <row r="90" ht="15.75" customHeight="1">
      <c r="L90" s="32"/>
    </row>
    <row r="91" ht="15.75" customHeight="1">
      <c r="L91" s="32"/>
    </row>
    <row r="92" ht="15.75" customHeight="1">
      <c r="L92" s="32"/>
    </row>
    <row r="93" ht="15.75" customHeight="1">
      <c r="L93" s="32"/>
    </row>
    <row r="94" ht="15.75" customHeight="1">
      <c r="L94" s="32"/>
    </row>
    <row r="95" ht="15.75" customHeight="1">
      <c r="L95" s="32"/>
    </row>
    <row r="96" ht="15.75" customHeight="1">
      <c r="L96" s="32"/>
    </row>
    <row r="97" ht="15.75" customHeight="1">
      <c r="L97" s="32"/>
    </row>
    <row r="98" ht="15.75" customHeight="1">
      <c r="L98" s="32"/>
    </row>
    <row r="99" ht="15.75" customHeight="1">
      <c r="L99" s="32"/>
    </row>
    <row r="100" ht="15.75" customHeight="1">
      <c r="L100" s="3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K2:K22">
    <cfRule type="cellIs" dxfId="0" priority="1" operator="greaterThan">
      <formula>0.3</formula>
    </cfRule>
  </conditionalFormatting>
  <conditionalFormatting sqref="K2:K22">
    <cfRule type="cellIs" dxfId="1" priority="2" operator="greaterThan">
      <formula>30</formula>
    </cfRule>
  </conditionalFormatting>
  <conditionalFormatting sqref="K2:K22">
    <cfRule type="cellIs" dxfId="0" priority="3" operator="greaterThan">
      <formula>35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DE8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75"/>
    <col customWidth="1" min="9" max="9" width="22.38"/>
    <col customWidth="1" min="12" max="12" width="14.25"/>
  </cols>
  <sheetData>
    <row r="1" ht="43.5" customHeight="1">
      <c r="A1" s="320" t="s">
        <v>928</v>
      </c>
      <c r="B1" s="321"/>
      <c r="C1" s="321"/>
      <c r="D1" s="321"/>
      <c r="E1" s="321"/>
      <c r="F1" s="321"/>
    </row>
    <row r="3">
      <c r="A3" s="322"/>
      <c r="B3" s="322"/>
      <c r="C3" s="322"/>
      <c r="D3" s="322"/>
      <c r="E3" s="323"/>
      <c r="F3" s="324"/>
      <c r="H3" s="322"/>
      <c r="I3" s="325"/>
      <c r="J3" s="322"/>
      <c r="K3" s="322"/>
      <c r="L3" s="323"/>
      <c r="M3" s="326"/>
    </row>
    <row r="4">
      <c r="A4" s="322"/>
      <c r="B4" s="325"/>
      <c r="C4" s="322"/>
      <c r="D4" s="322"/>
      <c r="E4" s="323"/>
      <c r="F4" s="326"/>
      <c r="H4" s="322"/>
      <c r="I4" s="327" t="s">
        <v>931</v>
      </c>
      <c r="J4" s="328" t="s">
        <v>120</v>
      </c>
      <c r="K4" s="329"/>
      <c r="L4" s="323"/>
      <c r="M4" s="326"/>
    </row>
    <row r="5">
      <c r="A5" s="322"/>
      <c r="B5" s="327" t="s">
        <v>931</v>
      </c>
      <c r="C5" s="330" t="s">
        <v>934</v>
      </c>
      <c r="D5" s="329"/>
      <c r="E5" s="323"/>
      <c r="F5" s="326"/>
      <c r="H5" s="322"/>
      <c r="I5" s="325"/>
      <c r="J5" s="322"/>
      <c r="K5" s="322"/>
      <c r="L5" s="323"/>
      <c r="M5" s="326"/>
    </row>
    <row r="6">
      <c r="A6" s="322"/>
      <c r="B6" s="325"/>
      <c r="C6" s="322"/>
      <c r="D6" s="322"/>
      <c r="E6" s="323"/>
      <c r="F6" s="326"/>
      <c r="H6" s="322"/>
      <c r="I6" s="327" t="s">
        <v>935</v>
      </c>
      <c r="J6" s="331">
        <v>120000.0</v>
      </c>
      <c r="K6" s="329"/>
      <c r="L6" s="323"/>
      <c r="M6" s="326"/>
    </row>
    <row r="7">
      <c r="A7" s="322"/>
      <c r="B7" s="327" t="s">
        <v>935</v>
      </c>
      <c r="C7" s="331">
        <f>3.5*100000</f>
        <v>350000</v>
      </c>
      <c r="D7" s="329"/>
      <c r="E7" s="323"/>
      <c r="F7" s="326"/>
      <c r="H7" s="322"/>
      <c r="I7" s="327"/>
      <c r="J7" s="332"/>
      <c r="K7" s="332"/>
      <c r="L7" s="323"/>
      <c r="M7" s="326"/>
    </row>
    <row r="8">
      <c r="A8" s="322"/>
      <c r="B8" s="327"/>
      <c r="C8" s="332"/>
      <c r="D8" s="332"/>
      <c r="E8" s="323"/>
      <c r="F8" s="326"/>
      <c r="H8" s="322"/>
      <c r="I8" s="327" t="s">
        <v>939</v>
      </c>
      <c r="J8" s="333" t="str">
        <f>IF(SUM(L20,L35,L43)=0,"",SUM(L20,L35,L43))</f>
        <v>#REF!</v>
      </c>
      <c r="K8" s="321"/>
      <c r="L8" s="323" t="str">
        <f>J8/90000</f>
        <v>#REF!</v>
      </c>
      <c r="M8" s="326"/>
    </row>
    <row r="9">
      <c r="A9" s="322"/>
      <c r="B9" s="327" t="s">
        <v>939</v>
      </c>
      <c r="C9" s="333" t="str">
        <f>IF(SUM(E21,E36,E44)=0,"",SUM(E21,E36,E44))</f>
        <v>#REF!</v>
      </c>
      <c r="D9" s="321"/>
      <c r="E9" s="323" t="str">
        <f>C9/90000</f>
        <v>#REF!</v>
      </c>
      <c r="F9" s="326"/>
      <c r="H9" s="322"/>
      <c r="I9" s="327"/>
      <c r="J9" s="334"/>
      <c r="K9" s="334"/>
      <c r="L9" s="323"/>
      <c r="M9" s="326"/>
    </row>
    <row r="10">
      <c r="A10" s="322"/>
      <c r="B10" s="327"/>
      <c r="C10" s="334"/>
      <c r="D10" s="334"/>
      <c r="E10" s="323"/>
      <c r="F10" s="326"/>
      <c r="H10" s="322"/>
      <c r="I10" s="327" t="s">
        <v>946</v>
      </c>
      <c r="J10" s="335" t="str">
        <f>IF(J8="","",IF(ISBLANK(J6),"",J8/J6))</f>
        <v>#REF!</v>
      </c>
      <c r="K10" s="321"/>
      <c r="L10" s="323"/>
      <c r="M10" s="326"/>
    </row>
    <row r="11">
      <c r="A11" s="322"/>
      <c r="B11" s="327" t="s">
        <v>946</v>
      </c>
      <c r="C11" s="335" t="str">
        <f>IF(C9="","",IF(ISBLANK(C7),"",C9/C7))</f>
        <v>#REF!</v>
      </c>
      <c r="D11" s="321"/>
      <c r="E11" s="323"/>
      <c r="F11" s="326"/>
      <c r="H11" s="322"/>
      <c r="I11" s="327"/>
      <c r="J11" s="334"/>
      <c r="K11" s="334"/>
      <c r="L11" s="323"/>
      <c r="M11" s="326"/>
    </row>
    <row r="12">
      <c r="A12" s="322"/>
      <c r="B12" s="327"/>
      <c r="C12" s="334"/>
      <c r="D12" s="334"/>
      <c r="E12" s="323"/>
      <c r="F12" s="326"/>
      <c r="H12" s="322"/>
      <c r="I12" s="327" t="s">
        <v>950</v>
      </c>
      <c r="J12" s="333" t="str">
        <f>J6-J8</f>
        <v>#REF!</v>
      </c>
      <c r="K12" s="321"/>
      <c r="L12" s="323"/>
      <c r="M12" s="326"/>
    </row>
    <row r="13">
      <c r="A13" s="322"/>
      <c r="B13" s="327" t="s">
        <v>950</v>
      </c>
      <c r="C13" s="333" t="str">
        <f>C7-C9</f>
        <v>#REF!</v>
      </c>
      <c r="D13" s="321"/>
      <c r="E13" s="323"/>
      <c r="F13" s="326"/>
      <c r="H13" s="322"/>
      <c r="I13" s="322"/>
      <c r="J13" s="322"/>
      <c r="K13" s="322"/>
      <c r="L13" s="323"/>
      <c r="M13" s="324"/>
    </row>
    <row r="14">
      <c r="A14" s="322"/>
      <c r="B14" s="322"/>
      <c r="C14" s="322"/>
      <c r="D14" s="322"/>
      <c r="E14" s="323"/>
      <c r="F14" s="324"/>
      <c r="H14" s="322"/>
      <c r="I14" s="322"/>
      <c r="J14" s="322"/>
      <c r="K14" s="322"/>
      <c r="L14" s="337"/>
      <c r="M14" s="324"/>
    </row>
    <row r="15">
      <c r="A15" s="322"/>
      <c r="B15" s="322"/>
      <c r="C15" s="322"/>
      <c r="D15" s="322"/>
      <c r="E15" s="337"/>
      <c r="F15" s="324"/>
      <c r="H15" s="322"/>
      <c r="I15" s="338" t="s">
        <v>951</v>
      </c>
      <c r="J15" s="339"/>
      <c r="K15" s="339"/>
      <c r="L15" s="339"/>
      <c r="M15" s="324"/>
    </row>
    <row r="16">
      <c r="A16" s="322"/>
      <c r="B16" s="338" t="s">
        <v>951</v>
      </c>
      <c r="C16" s="339"/>
      <c r="D16" s="339"/>
      <c r="E16" s="339"/>
      <c r="F16" s="324"/>
      <c r="H16" s="322"/>
      <c r="I16" s="340" t="s">
        <v>953</v>
      </c>
      <c r="J16" s="341" t="s">
        <v>954</v>
      </c>
      <c r="K16" s="341" t="s">
        <v>955</v>
      </c>
      <c r="L16" s="341" t="s">
        <v>35</v>
      </c>
      <c r="M16" s="324"/>
    </row>
    <row r="17">
      <c r="A17" s="322"/>
      <c r="B17" s="340" t="s">
        <v>953</v>
      </c>
      <c r="C17" s="341" t="s">
        <v>954</v>
      </c>
      <c r="D17" s="341" t="s">
        <v>955</v>
      </c>
      <c r="E17" s="341" t="s">
        <v>35</v>
      </c>
      <c r="F17" s="324"/>
      <c r="H17" s="322"/>
      <c r="I17" s="60" t="s">
        <v>703</v>
      </c>
      <c r="J17" s="342">
        <v>0.2</v>
      </c>
      <c r="K17" s="343">
        <f>'F&amp;B'!$F$229</f>
        <v>81000</v>
      </c>
      <c r="L17" s="67">
        <f>IF(OR(ISBLANK(J17),ISBLANK(K17)),"",K17*J17)</f>
        <v>16200</v>
      </c>
      <c r="M17" s="324"/>
    </row>
    <row r="18">
      <c r="A18" s="322"/>
      <c r="B18" s="60" t="s">
        <v>33</v>
      </c>
      <c r="C18" s="344">
        <v>0.2</v>
      </c>
      <c r="D18" s="343">
        <f>'F&amp;B'!$F$68/10</f>
        <v>19665</v>
      </c>
      <c r="E18" s="67">
        <f>IF(OR(ISBLANK(C18),ISBLANK(D18)),"",D18*C18)</f>
        <v>3933</v>
      </c>
      <c r="F18" s="324"/>
      <c r="H18" s="322"/>
      <c r="I18" s="345" t="s">
        <v>12</v>
      </c>
      <c r="J18" s="346"/>
      <c r="K18" s="347"/>
      <c r="L18" s="67"/>
      <c r="M18" s="324"/>
    </row>
    <row r="19">
      <c r="A19" s="322"/>
      <c r="B19" s="348"/>
      <c r="C19" s="346"/>
      <c r="D19" s="347"/>
      <c r="E19" s="349"/>
      <c r="F19" s="324"/>
      <c r="H19" s="322"/>
      <c r="I19" s="350" t="s">
        <v>114</v>
      </c>
      <c r="J19" s="351">
        <v>0.05</v>
      </c>
      <c r="K19" s="352">
        <f>'F&amp;B'!F249/4</f>
        <v>12825</v>
      </c>
      <c r="L19" s="353">
        <f>IF(OR(ISBLANK(J19),ISBLANK(K19)),"",K19*J19)</f>
        <v>641.25</v>
      </c>
      <c r="M19" s="324"/>
    </row>
    <row r="20">
      <c r="A20" s="322"/>
      <c r="B20" s="354"/>
      <c r="C20" s="355"/>
      <c r="D20" s="356"/>
      <c r="E20" s="357" t="str">
        <f>IF(OR(ISBLANK(C20),ISBLANK(D20)),"",D20*C20)</f>
        <v/>
      </c>
      <c r="F20" s="324"/>
      <c r="H20" s="322"/>
      <c r="I20" s="338" t="s">
        <v>84</v>
      </c>
      <c r="J20" s="358"/>
      <c r="K20" s="358"/>
      <c r="L20" s="359">
        <f>IF(SUM(L17:L19)=0,"",SUM(L17:L19))</f>
        <v>16841.25</v>
      </c>
      <c r="M20" s="324"/>
    </row>
    <row r="21">
      <c r="A21" s="322"/>
      <c r="B21" s="338" t="s">
        <v>84</v>
      </c>
      <c r="C21" s="358"/>
      <c r="D21" s="358"/>
      <c r="E21" s="359">
        <f>IF(SUM(E18:E20)=0,"",SUM(E18:E20))</f>
        <v>3933</v>
      </c>
      <c r="F21" s="324"/>
      <c r="H21" s="322"/>
      <c r="I21" s="360"/>
      <c r="J21" s="360"/>
      <c r="K21" s="360"/>
      <c r="L21" s="361"/>
      <c r="M21" s="324"/>
    </row>
    <row r="22">
      <c r="A22" s="322"/>
      <c r="B22" s="360"/>
      <c r="C22" s="360"/>
      <c r="D22" s="360"/>
      <c r="E22" s="361"/>
      <c r="F22" s="324"/>
      <c r="H22" s="322"/>
      <c r="I22" s="362" t="s">
        <v>972</v>
      </c>
      <c r="J22" s="363"/>
      <c r="K22" s="363"/>
      <c r="L22" s="363"/>
      <c r="M22" s="324"/>
    </row>
    <row r="23">
      <c r="A23" s="322"/>
      <c r="B23" s="362" t="s">
        <v>972</v>
      </c>
      <c r="C23" s="363"/>
      <c r="D23" s="363"/>
      <c r="E23" s="363"/>
      <c r="F23" s="324"/>
      <c r="H23" s="322"/>
      <c r="I23" s="365" t="s">
        <v>953</v>
      </c>
      <c r="J23" s="366" t="s">
        <v>3</v>
      </c>
      <c r="K23" s="366" t="s">
        <v>975</v>
      </c>
      <c r="L23" s="367" t="s">
        <v>35</v>
      </c>
      <c r="M23" s="324"/>
    </row>
    <row r="24">
      <c r="A24" s="322"/>
      <c r="B24" s="365" t="s">
        <v>953</v>
      </c>
      <c r="C24" s="366" t="s">
        <v>3</v>
      </c>
      <c r="D24" s="366" t="s">
        <v>975</v>
      </c>
      <c r="E24" s="367" t="s">
        <v>35</v>
      </c>
      <c r="F24" s="324"/>
      <c r="H24" s="322"/>
      <c r="I24" s="368"/>
      <c r="J24" s="366"/>
      <c r="K24" s="366"/>
      <c r="L24" s="368"/>
      <c r="M24" s="324"/>
    </row>
    <row r="25">
      <c r="A25" s="322"/>
      <c r="B25" s="368"/>
      <c r="C25" s="366"/>
      <c r="D25" s="366"/>
      <c r="E25" s="368"/>
      <c r="F25" s="324"/>
      <c r="H25" s="322"/>
      <c r="I25" s="60" t="s">
        <v>202</v>
      </c>
      <c r="J25" s="342">
        <v>2.0</v>
      </c>
      <c r="K25" s="343">
        <f>SAUCES!D48</f>
        <v>563.76</v>
      </c>
      <c r="L25" s="67">
        <f>K25*J25</f>
        <v>1127.52</v>
      </c>
      <c r="M25" s="324"/>
    </row>
    <row r="26">
      <c r="A26" s="322"/>
      <c r="B26" s="60"/>
      <c r="C26" s="342"/>
      <c r="D26" s="343"/>
      <c r="E26" s="67">
        <f t="shared" ref="E26:E35" si="1">D26*C26</f>
        <v>0</v>
      </c>
      <c r="F26" s="324"/>
      <c r="H26" s="322"/>
      <c r="I26" s="75"/>
      <c r="J26" s="370"/>
      <c r="K26" s="371"/>
      <c r="L26" s="67"/>
      <c r="M26" s="324"/>
    </row>
    <row r="27">
      <c r="A27" s="322"/>
      <c r="B27" s="75"/>
      <c r="C27" s="370"/>
      <c r="D27" s="371"/>
      <c r="E27" s="67">
        <f t="shared" si="1"/>
        <v>0</v>
      </c>
      <c r="F27" s="324"/>
      <c r="H27" s="322"/>
      <c r="I27" s="75"/>
      <c r="J27" s="370"/>
      <c r="K27" s="371"/>
      <c r="L27" s="67"/>
      <c r="M27" s="324"/>
    </row>
    <row r="28">
      <c r="A28" s="322"/>
      <c r="B28" s="75"/>
      <c r="C28" s="372"/>
      <c r="D28" s="371"/>
      <c r="E28" s="67">
        <f t="shared" si="1"/>
        <v>0</v>
      </c>
      <c r="F28" s="324"/>
      <c r="H28" s="322"/>
      <c r="I28" s="75"/>
      <c r="J28" s="346"/>
      <c r="K28" s="371"/>
      <c r="L28" s="67"/>
      <c r="M28" s="324"/>
    </row>
    <row r="29">
      <c r="A29" s="322"/>
      <c r="B29" s="75"/>
      <c r="C29" s="346"/>
      <c r="D29" s="371"/>
      <c r="E29" s="67">
        <f t="shared" si="1"/>
        <v>0</v>
      </c>
      <c r="F29" s="324"/>
      <c r="H29" s="322"/>
      <c r="I29" s="75"/>
      <c r="J29" s="346"/>
      <c r="K29" s="371"/>
      <c r="L29" s="67"/>
      <c r="M29" s="324"/>
    </row>
    <row r="30">
      <c r="A30" s="322"/>
      <c r="B30" s="75"/>
      <c r="C30" s="346"/>
      <c r="D30" s="371"/>
      <c r="E30" s="67">
        <f t="shared" si="1"/>
        <v>0</v>
      </c>
      <c r="F30" s="324"/>
      <c r="H30" s="322"/>
      <c r="I30" s="75"/>
      <c r="J30" s="346"/>
      <c r="K30" s="373"/>
      <c r="L30" s="67"/>
      <c r="M30" s="324"/>
    </row>
    <row r="31">
      <c r="A31" s="322"/>
      <c r="B31" s="75"/>
      <c r="C31" s="346"/>
      <c r="D31" s="373"/>
      <c r="E31" s="67">
        <f t="shared" si="1"/>
        <v>0</v>
      </c>
      <c r="F31" s="324"/>
      <c r="H31" s="322"/>
      <c r="I31" s="348"/>
      <c r="J31" s="346"/>
      <c r="K31" s="373"/>
      <c r="L31" s="67"/>
      <c r="M31" s="324"/>
    </row>
    <row r="32">
      <c r="A32" s="322"/>
      <c r="B32" s="348"/>
      <c r="C32" s="346"/>
      <c r="D32" s="373"/>
      <c r="E32" s="67">
        <f t="shared" si="1"/>
        <v>0</v>
      </c>
      <c r="F32" s="324"/>
      <c r="H32" s="322"/>
      <c r="I32" s="348"/>
      <c r="J32" s="346"/>
      <c r="K32" s="373"/>
      <c r="L32" s="67"/>
      <c r="M32" s="324"/>
    </row>
    <row r="33">
      <c r="A33" s="322"/>
      <c r="B33" s="348"/>
      <c r="C33" s="346"/>
      <c r="D33" s="373"/>
      <c r="E33" s="67">
        <f t="shared" si="1"/>
        <v>0</v>
      </c>
      <c r="F33" s="324"/>
      <c r="H33" s="322"/>
      <c r="I33" s="348"/>
      <c r="J33" s="346"/>
      <c r="K33" s="373"/>
      <c r="L33" s="67"/>
      <c r="M33" s="324"/>
    </row>
    <row r="34">
      <c r="A34" s="322"/>
      <c r="B34" s="348"/>
      <c r="C34" s="346"/>
      <c r="D34" s="373"/>
      <c r="E34" s="67">
        <f t="shared" si="1"/>
        <v>0</v>
      </c>
      <c r="F34" s="324"/>
      <c r="H34" s="322"/>
      <c r="I34" s="354"/>
      <c r="J34" s="355"/>
      <c r="K34" s="356"/>
      <c r="L34" s="67"/>
      <c r="M34" s="324"/>
    </row>
    <row r="35">
      <c r="A35" s="322"/>
      <c r="B35" s="354"/>
      <c r="C35" s="355"/>
      <c r="D35" s="356"/>
      <c r="E35" s="67">
        <f t="shared" si="1"/>
        <v>0</v>
      </c>
      <c r="F35" s="324"/>
      <c r="H35" s="322"/>
      <c r="I35" s="362" t="s">
        <v>84</v>
      </c>
      <c r="J35" s="374"/>
      <c r="K35" s="374"/>
      <c r="L35" s="375">
        <f>SUM(L25:L34)</f>
        <v>1127.52</v>
      </c>
      <c r="M35" s="324"/>
    </row>
    <row r="36">
      <c r="A36" s="322"/>
      <c r="B36" s="362" t="s">
        <v>84</v>
      </c>
      <c r="C36" s="374"/>
      <c r="D36" s="374"/>
      <c r="E36" s="375" t="str">
        <f>IF(SUM(E26:E35)=0,"",SUM(E26:E35))</f>
        <v/>
      </c>
      <c r="F36" s="324"/>
      <c r="H36" s="322"/>
      <c r="I36" s="360"/>
      <c r="J36" s="360"/>
      <c r="K36" s="360"/>
      <c r="L36" s="361"/>
      <c r="M36" s="324"/>
    </row>
    <row r="37">
      <c r="A37" s="322"/>
      <c r="B37" s="360"/>
      <c r="C37" s="360"/>
      <c r="D37" s="360"/>
      <c r="E37" s="361"/>
      <c r="F37" s="324"/>
      <c r="H37" s="322"/>
      <c r="I37" s="34" t="s">
        <v>17</v>
      </c>
      <c r="J37" s="35"/>
      <c r="K37" s="35"/>
      <c r="L37" s="35"/>
      <c r="M37" s="324"/>
    </row>
    <row r="38">
      <c r="A38" s="322"/>
      <c r="B38" s="34" t="s">
        <v>17</v>
      </c>
      <c r="C38" s="35"/>
      <c r="D38" s="35"/>
      <c r="E38" s="35"/>
      <c r="F38" s="324"/>
      <c r="H38" s="322"/>
      <c r="I38" s="52" t="s">
        <v>42</v>
      </c>
      <c r="J38" s="54"/>
      <c r="K38" s="54"/>
      <c r="L38" s="56" t="s">
        <v>35</v>
      </c>
      <c r="M38" s="324"/>
    </row>
    <row r="39">
      <c r="A39" s="322"/>
      <c r="B39" s="52" t="s">
        <v>42</v>
      </c>
      <c r="C39" s="54"/>
      <c r="D39" s="54"/>
      <c r="E39" s="56" t="s">
        <v>35</v>
      </c>
      <c r="F39" s="324"/>
      <c r="H39" s="322"/>
      <c r="I39" s="60" t="s">
        <v>40</v>
      </c>
      <c r="J39" s="343">
        <f>'UTL COST'!$B$3</f>
        <v>369000</v>
      </c>
      <c r="K39" s="379">
        <f>'UTL COST'!$C$3</f>
        <v>0.0075</v>
      </c>
      <c r="L39" s="76">
        <f>'UTL COST'!$D$3</f>
        <v>2767.5</v>
      </c>
      <c r="M39" s="324"/>
    </row>
    <row r="40">
      <c r="A40" s="322"/>
      <c r="B40" s="60" t="s">
        <v>40</v>
      </c>
      <c r="C40" s="343">
        <f>'UTL COST'!$B$3</f>
        <v>369000</v>
      </c>
      <c r="D40" s="379">
        <f>'UTL COST'!$C$3</f>
        <v>0.0075</v>
      </c>
      <c r="E40" s="67">
        <f>'UTL COST'!$D$3</f>
        <v>2767.5</v>
      </c>
      <c r="F40" s="324"/>
      <c r="H40" s="322"/>
      <c r="I40" s="75" t="s">
        <v>51</v>
      </c>
      <c r="J40" s="371" t="str">
        <f>'UTL COST'!$B$4</f>
        <v>#REF!</v>
      </c>
      <c r="K40" s="382">
        <f>'UTL COST'!$C$4</f>
        <v>7000</v>
      </c>
      <c r="L40" s="76" t="str">
        <f>'UTL COST'!$D$4</f>
        <v>#REF!</v>
      </c>
      <c r="M40" s="324"/>
    </row>
    <row r="41">
      <c r="A41" s="322"/>
      <c r="B41" s="75" t="s">
        <v>51</v>
      </c>
      <c r="C41" s="371" t="str">
        <f>'UTL COST'!$B$4</f>
        <v>#REF!</v>
      </c>
      <c r="D41" s="382">
        <f>'UTL COST'!$C$4</f>
        <v>7000</v>
      </c>
      <c r="E41" s="76" t="str">
        <f>'UTL COST'!$D$4</f>
        <v>#REF!</v>
      </c>
      <c r="F41" s="324"/>
      <c r="H41" s="322"/>
      <c r="I41" s="75" t="s">
        <v>59</v>
      </c>
      <c r="J41" s="371" t="str">
        <f>'UTL COST'!$B$5</f>
        <v>#REF!</v>
      </c>
      <c r="K41" s="382">
        <f>'UTL COST'!$C$5</f>
        <v>45000</v>
      </c>
      <c r="L41" s="76" t="str">
        <f>'UTL COST'!$D$5</f>
        <v>#REF!</v>
      </c>
      <c r="M41" s="324"/>
    </row>
    <row r="42">
      <c r="A42" s="322"/>
      <c r="B42" s="75" t="s">
        <v>59</v>
      </c>
      <c r="C42" s="371" t="str">
        <f>'UTL COST'!$B$5</f>
        <v>#REF!</v>
      </c>
      <c r="D42" s="382">
        <f>'UTL COST'!$C$5</f>
        <v>45000</v>
      </c>
      <c r="E42" s="76" t="str">
        <f>'UTL COST'!$D$5</f>
        <v>#REF!</v>
      </c>
      <c r="F42" s="324"/>
      <c r="H42" s="322"/>
      <c r="I42" s="87" t="s">
        <v>78</v>
      </c>
      <c r="J42" s="371" t="str">
        <f>'UTL COST'!$B$6</f>
        <v>#REF!</v>
      </c>
      <c r="K42" s="383">
        <f>'UTL COST'!$C$6</f>
        <v>525</v>
      </c>
      <c r="L42" s="89">
        <v>0.1</v>
      </c>
      <c r="M42" s="324"/>
    </row>
    <row r="43">
      <c r="A43" s="322"/>
      <c r="B43" s="87" t="s">
        <v>78</v>
      </c>
      <c r="C43" s="371" t="str">
        <f>'UTL COST'!$B$6</f>
        <v>#REF!</v>
      </c>
      <c r="D43" s="383">
        <f>'UTL COST'!$C$6</f>
        <v>525</v>
      </c>
      <c r="E43" s="89">
        <v>0.1</v>
      </c>
      <c r="F43" s="324"/>
      <c r="H43" s="322"/>
      <c r="I43" s="34" t="s">
        <v>84</v>
      </c>
      <c r="J43" s="102"/>
      <c r="K43" s="102"/>
      <c r="L43" s="104" t="str">
        <f>IF(SUM(L39:L42)=0,"",SUM(L39:L42))</f>
        <v>#REF!</v>
      </c>
      <c r="M43" s="324"/>
    </row>
    <row r="44">
      <c r="A44" s="322"/>
      <c r="B44" s="34" t="s">
        <v>84</v>
      </c>
      <c r="C44" s="102"/>
      <c r="D44" s="102"/>
      <c r="E44" s="104" t="str">
        <f>IF(SUM(E40:E43)=0,"",SUM(E40:E43))</f>
        <v>#REF!</v>
      </c>
      <c r="F44" s="324"/>
      <c r="H44" s="322"/>
      <c r="I44" s="360"/>
      <c r="J44" s="360"/>
      <c r="K44" s="360"/>
      <c r="L44" s="361"/>
      <c r="M44" s="324"/>
    </row>
    <row r="45">
      <c r="A45" s="322"/>
      <c r="B45" s="360"/>
      <c r="C45" s="360"/>
      <c r="D45" s="360"/>
      <c r="E45" s="361"/>
      <c r="F45" s="324"/>
    </row>
    <row r="48">
      <c r="A48" s="322"/>
      <c r="B48" s="322"/>
      <c r="C48" s="322"/>
      <c r="D48" s="322"/>
      <c r="E48" s="323"/>
      <c r="F48" s="324"/>
      <c r="H48" s="322"/>
      <c r="I48" s="322"/>
      <c r="J48" s="322"/>
      <c r="K48" s="322"/>
      <c r="L48" s="323"/>
      <c r="M48" s="324"/>
    </row>
    <row r="49">
      <c r="A49" s="322"/>
      <c r="B49" s="325"/>
      <c r="C49" s="322"/>
      <c r="D49" s="322"/>
      <c r="E49" s="323"/>
      <c r="F49" s="326"/>
      <c r="H49" s="322"/>
      <c r="I49" s="325"/>
      <c r="J49" s="322"/>
      <c r="K49" s="322"/>
      <c r="L49" s="323"/>
      <c r="M49" s="326"/>
    </row>
    <row r="50">
      <c r="A50" s="322"/>
      <c r="B50" s="327" t="s">
        <v>931</v>
      </c>
      <c r="C50" s="330" t="s">
        <v>976</v>
      </c>
      <c r="D50" s="329"/>
      <c r="E50" s="323"/>
      <c r="F50" s="326"/>
      <c r="H50" s="322"/>
      <c r="I50" s="327" t="s">
        <v>931</v>
      </c>
      <c r="J50" s="328" t="s">
        <v>1004</v>
      </c>
      <c r="K50" s="329"/>
      <c r="L50" s="323"/>
      <c r="M50" s="326"/>
    </row>
    <row r="51">
      <c r="A51" s="322"/>
      <c r="B51" s="325"/>
      <c r="C51" s="322"/>
      <c r="D51" s="322"/>
      <c r="E51" s="323"/>
      <c r="F51" s="326"/>
      <c r="H51" s="322"/>
      <c r="I51" s="325"/>
      <c r="J51" s="322"/>
      <c r="K51" s="322"/>
      <c r="L51" s="323"/>
      <c r="M51" s="326"/>
    </row>
    <row r="52">
      <c r="A52" s="322"/>
      <c r="B52" s="327" t="s">
        <v>935</v>
      </c>
      <c r="C52" s="331">
        <f>3.5*100000</f>
        <v>350000</v>
      </c>
      <c r="D52" s="329"/>
      <c r="E52" s="323"/>
      <c r="F52" s="326"/>
      <c r="H52" s="322"/>
      <c r="I52" s="327" t="s">
        <v>935</v>
      </c>
      <c r="J52" s="331">
        <v>135000.0</v>
      </c>
      <c r="K52" s="329"/>
      <c r="L52" s="323"/>
      <c r="M52" s="326"/>
    </row>
    <row r="53">
      <c r="A53" s="322"/>
      <c r="B53" s="327"/>
      <c r="C53" s="332"/>
      <c r="D53" s="332"/>
      <c r="E53" s="323"/>
      <c r="F53" s="326"/>
      <c r="H53" s="322"/>
      <c r="I53" s="327"/>
      <c r="J53" s="332"/>
      <c r="K53" s="332"/>
      <c r="L53" s="323"/>
      <c r="M53" s="326"/>
    </row>
    <row r="54">
      <c r="A54" s="322"/>
      <c r="B54" s="327" t="s">
        <v>939</v>
      </c>
      <c r="C54" s="333" t="str">
        <f>IF(SUM(E66,E81,E89)=0,"",SUM(E66,E81,E89))</f>
        <v>#REF!</v>
      </c>
      <c r="D54" s="321"/>
      <c r="E54" s="323" t="str">
        <f>C54/90000</f>
        <v>#REF!</v>
      </c>
      <c r="F54" s="326"/>
      <c r="H54" s="322"/>
      <c r="I54" s="327" t="s">
        <v>939</v>
      </c>
      <c r="J54" s="333" t="str">
        <f>IF(SUM(L66,L81,L89)=0,"",SUM(L66,L81,L89))</f>
        <v>#REF!</v>
      </c>
      <c r="K54" s="321"/>
      <c r="L54" s="323" t="str">
        <f>J54/90000</f>
        <v>#REF!</v>
      </c>
      <c r="M54" s="326"/>
    </row>
    <row r="55">
      <c r="A55" s="322"/>
      <c r="B55" s="327"/>
      <c r="C55" s="334"/>
      <c r="D55" s="334"/>
      <c r="E55" s="323"/>
      <c r="F55" s="326"/>
      <c r="H55" s="322"/>
      <c r="I55" s="327"/>
      <c r="J55" s="334"/>
      <c r="K55" s="334"/>
      <c r="L55" s="323"/>
      <c r="M55" s="326"/>
    </row>
    <row r="56">
      <c r="A56" s="322"/>
      <c r="B56" s="327" t="s">
        <v>946</v>
      </c>
      <c r="C56" s="335" t="str">
        <f>IF(C54="","",IF(ISBLANK(C52),"",C54/C52))</f>
        <v>#REF!</v>
      </c>
      <c r="D56" s="321"/>
      <c r="E56" s="323"/>
      <c r="F56" s="326"/>
      <c r="H56" s="322"/>
      <c r="I56" s="327" t="s">
        <v>946</v>
      </c>
      <c r="J56" s="335" t="str">
        <f>IF(J54="","",IF(ISBLANK(J52),"",J54/J52))</f>
        <v>#REF!</v>
      </c>
      <c r="K56" s="321"/>
      <c r="L56" s="323"/>
      <c r="M56" s="326"/>
    </row>
    <row r="57">
      <c r="A57" s="322"/>
      <c r="B57" s="327"/>
      <c r="C57" s="334"/>
      <c r="D57" s="334"/>
      <c r="E57" s="323"/>
      <c r="F57" s="326"/>
      <c r="H57" s="322"/>
      <c r="I57" s="327"/>
      <c r="J57" s="334"/>
      <c r="K57" s="334"/>
      <c r="L57" s="323"/>
      <c r="M57" s="326"/>
    </row>
    <row r="58">
      <c r="A58" s="322"/>
      <c r="B58" s="327" t="s">
        <v>950</v>
      </c>
      <c r="C58" s="333" t="str">
        <f>C52-C54</f>
        <v>#REF!</v>
      </c>
      <c r="D58" s="321"/>
      <c r="E58" s="323"/>
      <c r="F58" s="326"/>
      <c r="H58" s="322"/>
      <c r="I58" s="327" t="s">
        <v>950</v>
      </c>
      <c r="J58" s="333" t="str">
        <f>J52-J54</f>
        <v>#REF!</v>
      </c>
      <c r="K58" s="321"/>
      <c r="L58" s="323"/>
      <c r="M58" s="326"/>
    </row>
    <row r="59">
      <c r="A59" s="322"/>
      <c r="B59" s="322"/>
      <c r="C59" s="322"/>
      <c r="D59" s="322"/>
      <c r="E59" s="323"/>
      <c r="F59" s="324"/>
      <c r="H59" s="322"/>
      <c r="I59" s="322"/>
      <c r="J59" s="322"/>
      <c r="K59" s="322"/>
      <c r="L59" s="323"/>
      <c r="M59" s="324"/>
    </row>
    <row r="60">
      <c r="A60" s="322"/>
      <c r="B60" s="322"/>
      <c r="C60" s="322"/>
      <c r="D60" s="322"/>
      <c r="E60" s="337"/>
      <c r="F60" s="324"/>
      <c r="H60" s="322"/>
      <c r="I60" s="322"/>
      <c r="J60" s="322"/>
      <c r="K60" s="322"/>
      <c r="L60" s="337"/>
      <c r="M60" s="324"/>
    </row>
    <row r="61">
      <c r="A61" s="322"/>
      <c r="B61" s="338" t="s">
        <v>951</v>
      </c>
      <c r="C61" s="339"/>
      <c r="D61" s="339"/>
      <c r="E61" s="339"/>
      <c r="F61" s="324"/>
      <c r="H61" s="322"/>
      <c r="I61" s="338" t="s">
        <v>951</v>
      </c>
      <c r="J61" s="339"/>
      <c r="K61" s="339"/>
      <c r="L61" s="339"/>
      <c r="M61" s="324"/>
    </row>
    <row r="62">
      <c r="A62" s="322"/>
      <c r="B62" s="340" t="s">
        <v>953</v>
      </c>
      <c r="C62" s="341" t="s">
        <v>954</v>
      </c>
      <c r="D62" s="341" t="s">
        <v>955</v>
      </c>
      <c r="E62" s="341" t="s">
        <v>35</v>
      </c>
      <c r="F62" s="324"/>
      <c r="H62" s="322"/>
      <c r="I62" s="340" t="s">
        <v>953</v>
      </c>
      <c r="J62" s="341" t="s">
        <v>954</v>
      </c>
      <c r="K62" s="341" t="s">
        <v>955</v>
      </c>
      <c r="L62" s="341" t="s">
        <v>35</v>
      </c>
      <c r="M62" s="324"/>
    </row>
    <row r="63">
      <c r="A63" s="322"/>
      <c r="B63" s="139" t="s">
        <v>1009</v>
      </c>
      <c r="C63" s="344">
        <v>0.166</v>
      </c>
      <c r="D63" s="343">
        <f>PASTA!D19</f>
        <v>787.5</v>
      </c>
      <c r="E63" s="67">
        <f t="shared" ref="E63:E65" si="2">IF(OR(ISBLANK(C63),ISBLANK(D63)),"",D63*C63)</f>
        <v>130.725</v>
      </c>
      <c r="F63" s="324"/>
      <c r="H63" s="322"/>
      <c r="I63" s="60" t="s">
        <v>850</v>
      </c>
      <c r="J63" s="344">
        <v>0.075</v>
      </c>
      <c r="K63" s="343">
        <f>'F&amp;B'!F99/12</f>
        <v>63000</v>
      </c>
      <c r="L63" s="67">
        <f t="shared" ref="L63:L65" si="3">IF(OR(ISBLANK(J63),ISBLANK(K63)),"",K63*J63)</f>
        <v>4725</v>
      </c>
      <c r="M63" s="324"/>
    </row>
    <row r="64">
      <c r="A64" s="322"/>
      <c r="B64" s="345" t="s">
        <v>374</v>
      </c>
      <c r="C64" s="398">
        <v>0.05</v>
      </c>
      <c r="D64" s="347">
        <f>'F&amp;B'!F79/25</f>
        <v>14040</v>
      </c>
      <c r="E64" s="67">
        <f t="shared" si="2"/>
        <v>702</v>
      </c>
      <c r="F64" s="324"/>
      <c r="H64" s="322"/>
      <c r="I64" s="75" t="s">
        <v>1016</v>
      </c>
      <c r="J64" s="398">
        <v>0.038</v>
      </c>
      <c r="K64" s="371">
        <f>SAUCES!$L$60</f>
        <v>19698.44963</v>
      </c>
      <c r="L64" s="67">
        <f t="shared" si="3"/>
        <v>748.5410859</v>
      </c>
      <c r="M64" s="324"/>
    </row>
    <row r="65">
      <c r="A65" s="322"/>
      <c r="B65" s="354"/>
      <c r="C65" s="355"/>
      <c r="D65" s="356"/>
      <c r="E65" s="357" t="str">
        <f t="shared" si="2"/>
        <v/>
      </c>
      <c r="F65" s="324"/>
      <c r="H65" s="322"/>
      <c r="I65" s="87" t="s">
        <v>200</v>
      </c>
      <c r="J65" s="351">
        <v>0.5</v>
      </c>
      <c r="K65" s="400">
        <f>SAUCES!$D$92</f>
        <v>900.9230769</v>
      </c>
      <c r="L65" s="67">
        <f t="shared" si="3"/>
        <v>450.4615385</v>
      </c>
      <c r="M65" s="324"/>
    </row>
    <row r="66">
      <c r="A66" s="322"/>
      <c r="B66" s="338" t="s">
        <v>84</v>
      </c>
      <c r="C66" s="358"/>
      <c r="D66" s="358"/>
      <c r="E66" s="359">
        <f>IF(SUM(E63:E65)=0,"",SUM(E63:E65))</f>
        <v>832.725</v>
      </c>
      <c r="F66" s="324"/>
      <c r="H66" s="322"/>
      <c r="I66" s="338" t="s">
        <v>84</v>
      </c>
      <c r="J66" s="358"/>
      <c r="K66" s="358"/>
      <c r="L66" s="359">
        <f>IF(SUM(L63:L65)=0,"",SUM(L63:L65))</f>
        <v>5924.002624</v>
      </c>
      <c r="M66" s="324"/>
    </row>
    <row r="67">
      <c r="A67" s="322"/>
      <c r="B67" s="360"/>
      <c r="C67" s="360"/>
      <c r="D67" s="360"/>
      <c r="E67" s="361"/>
      <c r="F67" s="324"/>
      <c r="H67" s="322"/>
      <c r="I67" s="360"/>
      <c r="J67" s="360"/>
      <c r="K67" s="360"/>
      <c r="L67" s="361"/>
      <c r="M67" s="324"/>
    </row>
    <row r="68">
      <c r="A68" s="322"/>
      <c r="B68" s="362" t="s">
        <v>972</v>
      </c>
      <c r="C68" s="363"/>
      <c r="D68" s="363"/>
      <c r="E68" s="363"/>
      <c r="F68" s="324"/>
      <c r="H68" s="322"/>
      <c r="I68" s="362" t="s">
        <v>972</v>
      </c>
      <c r="J68" s="363"/>
      <c r="K68" s="363"/>
      <c r="L68" s="363"/>
      <c r="M68" s="324"/>
    </row>
    <row r="69">
      <c r="A69" s="322"/>
      <c r="B69" s="365" t="s">
        <v>953</v>
      </c>
      <c r="C69" s="366" t="s">
        <v>3</v>
      </c>
      <c r="D69" s="366" t="s">
        <v>975</v>
      </c>
      <c r="E69" s="367" t="s">
        <v>35</v>
      </c>
      <c r="F69" s="324"/>
      <c r="H69" s="322"/>
      <c r="I69" s="365" t="s">
        <v>953</v>
      </c>
      <c r="J69" s="366" t="s">
        <v>3</v>
      </c>
      <c r="K69" s="366" t="s">
        <v>975</v>
      </c>
      <c r="L69" s="367" t="s">
        <v>35</v>
      </c>
      <c r="M69" s="324"/>
    </row>
    <row r="70">
      <c r="A70" s="322"/>
      <c r="B70" s="368"/>
      <c r="C70" s="366"/>
      <c r="D70" s="366"/>
      <c r="E70" s="368"/>
      <c r="F70" s="324"/>
      <c r="H70" s="322"/>
      <c r="I70" s="368"/>
      <c r="J70" s="366"/>
      <c r="K70" s="366"/>
      <c r="L70" s="368"/>
      <c r="M70" s="324"/>
    </row>
    <row r="71">
      <c r="A71" s="322"/>
      <c r="B71" s="60"/>
      <c r="C71" s="342"/>
      <c r="D71" s="343"/>
      <c r="E71" s="67">
        <f t="shared" ref="E71:E80" si="4">D71*C71</f>
        <v>0</v>
      </c>
      <c r="F71" s="324"/>
      <c r="H71" s="322"/>
      <c r="I71" s="60" t="s">
        <v>569</v>
      </c>
      <c r="J71" s="342">
        <v>0.005</v>
      </c>
      <c r="K71" s="343">
        <f>'F&amp;B'!$F$167</f>
        <v>37800</v>
      </c>
      <c r="L71" s="67">
        <f t="shared" ref="L71:L80" si="5">K71*J71</f>
        <v>189</v>
      </c>
      <c r="M71" s="324"/>
    </row>
    <row r="72">
      <c r="A72" s="322"/>
      <c r="B72" s="75"/>
      <c r="C72" s="370"/>
      <c r="D72" s="371"/>
      <c r="E72" s="67">
        <f t="shared" si="4"/>
        <v>0</v>
      </c>
      <c r="F72" s="324"/>
      <c r="H72" s="322"/>
      <c r="I72" s="75"/>
      <c r="J72" s="370"/>
      <c r="K72" s="371"/>
      <c r="L72" s="67">
        <f t="shared" si="5"/>
        <v>0</v>
      </c>
      <c r="M72" s="324"/>
    </row>
    <row r="73">
      <c r="A73" s="322"/>
      <c r="B73" s="75"/>
      <c r="C73" s="372"/>
      <c r="D73" s="371"/>
      <c r="E73" s="67">
        <f t="shared" si="4"/>
        <v>0</v>
      </c>
      <c r="F73" s="324"/>
      <c r="H73" s="322"/>
      <c r="I73" s="75"/>
      <c r="J73" s="372"/>
      <c r="K73" s="371"/>
      <c r="L73" s="67">
        <f t="shared" si="5"/>
        <v>0</v>
      </c>
      <c r="M73" s="324"/>
    </row>
    <row r="74">
      <c r="A74" s="322"/>
      <c r="B74" s="75"/>
      <c r="C74" s="346"/>
      <c r="D74" s="371"/>
      <c r="E74" s="67">
        <f t="shared" si="4"/>
        <v>0</v>
      </c>
      <c r="F74" s="324"/>
      <c r="H74" s="322"/>
      <c r="I74" s="75"/>
      <c r="J74" s="346"/>
      <c r="K74" s="371"/>
      <c r="L74" s="67">
        <f t="shared" si="5"/>
        <v>0</v>
      </c>
      <c r="M74" s="324"/>
    </row>
    <row r="75">
      <c r="A75" s="322"/>
      <c r="B75" s="75"/>
      <c r="C75" s="346"/>
      <c r="D75" s="371"/>
      <c r="E75" s="67">
        <f t="shared" si="4"/>
        <v>0</v>
      </c>
      <c r="F75" s="324"/>
      <c r="H75" s="322"/>
      <c r="I75" s="75"/>
      <c r="J75" s="346"/>
      <c r="K75" s="371"/>
      <c r="L75" s="67">
        <f t="shared" si="5"/>
        <v>0</v>
      </c>
      <c r="M75" s="324"/>
    </row>
    <row r="76">
      <c r="A76" s="322"/>
      <c r="B76" s="75"/>
      <c r="C76" s="346"/>
      <c r="D76" s="373"/>
      <c r="E76" s="67">
        <f t="shared" si="4"/>
        <v>0</v>
      </c>
      <c r="F76" s="324"/>
      <c r="H76" s="322"/>
      <c r="I76" s="75"/>
      <c r="J76" s="346"/>
      <c r="K76" s="373"/>
      <c r="L76" s="67">
        <f t="shared" si="5"/>
        <v>0</v>
      </c>
      <c r="M76" s="324"/>
    </row>
    <row r="77">
      <c r="A77" s="322"/>
      <c r="B77" s="348"/>
      <c r="C77" s="346"/>
      <c r="D77" s="373"/>
      <c r="E77" s="67">
        <f t="shared" si="4"/>
        <v>0</v>
      </c>
      <c r="F77" s="324"/>
      <c r="H77" s="322"/>
      <c r="I77" s="348"/>
      <c r="J77" s="346"/>
      <c r="K77" s="373"/>
      <c r="L77" s="67">
        <f t="shared" si="5"/>
        <v>0</v>
      </c>
      <c r="M77" s="324"/>
    </row>
    <row r="78">
      <c r="A78" s="322"/>
      <c r="B78" s="348"/>
      <c r="C78" s="346"/>
      <c r="D78" s="373"/>
      <c r="E78" s="67">
        <f t="shared" si="4"/>
        <v>0</v>
      </c>
      <c r="F78" s="324"/>
      <c r="H78" s="322"/>
      <c r="I78" s="348"/>
      <c r="J78" s="346"/>
      <c r="K78" s="373"/>
      <c r="L78" s="67">
        <f t="shared" si="5"/>
        <v>0</v>
      </c>
      <c r="M78" s="324"/>
    </row>
    <row r="79">
      <c r="A79" s="322"/>
      <c r="B79" s="348"/>
      <c r="C79" s="346"/>
      <c r="D79" s="373"/>
      <c r="E79" s="67">
        <f t="shared" si="4"/>
        <v>0</v>
      </c>
      <c r="F79" s="324"/>
      <c r="H79" s="322"/>
      <c r="I79" s="348"/>
      <c r="J79" s="346"/>
      <c r="K79" s="373"/>
      <c r="L79" s="67">
        <f t="shared" si="5"/>
        <v>0</v>
      </c>
      <c r="M79" s="324"/>
    </row>
    <row r="80">
      <c r="A80" s="322"/>
      <c r="B80" s="354"/>
      <c r="C80" s="355"/>
      <c r="D80" s="356"/>
      <c r="E80" s="67">
        <f t="shared" si="4"/>
        <v>0</v>
      </c>
      <c r="F80" s="324"/>
      <c r="H80" s="322"/>
      <c r="I80" s="354"/>
      <c r="J80" s="355"/>
      <c r="K80" s="356"/>
      <c r="L80" s="67">
        <f t="shared" si="5"/>
        <v>0</v>
      </c>
      <c r="M80" s="324"/>
    </row>
    <row r="81">
      <c r="A81" s="322"/>
      <c r="B81" s="362" t="s">
        <v>84</v>
      </c>
      <c r="C81" s="374"/>
      <c r="D81" s="374"/>
      <c r="E81" s="375" t="str">
        <f>IF(SUM(E71:E80)=0,"",SUM(E71:E80))</f>
        <v/>
      </c>
      <c r="F81" s="324"/>
      <c r="H81" s="322"/>
      <c r="I81" s="362" t="s">
        <v>84</v>
      </c>
      <c r="J81" s="374"/>
      <c r="K81" s="374"/>
      <c r="L81" s="375">
        <f>IF(SUM(L71:L80)=0,"",SUM(L71:L80))</f>
        <v>189</v>
      </c>
      <c r="M81" s="324"/>
    </row>
    <row r="82">
      <c r="A82" s="322"/>
      <c r="B82" s="360"/>
      <c r="C82" s="360"/>
      <c r="D82" s="360"/>
      <c r="E82" s="361"/>
      <c r="F82" s="324"/>
      <c r="H82" s="322"/>
      <c r="I82" s="360"/>
      <c r="J82" s="360"/>
      <c r="K82" s="360"/>
      <c r="L82" s="361"/>
      <c r="M82" s="324"/>
    </row>
    <row r="83">
      <c r="A83" s="322"/>
      <c r="B83" s="34" t="s">
        <v>17</v>
      </c>
      <c r="C83" s="35"/>
      <c r="D83" s="35"/>
      <c r="E83" s="35"/>
      <c r="F83" s="324"/>
      <c r="H83" s="322"/>
      <c r="I83" s="34" t="s">
        <v>17</v>
      </c>
      <c r="J83" s="35"/>
      <c r="K83" s="35"/>
      <c r="L83" s="35"/>
      <c r="M83" s="324"/>
    </row>
    <row r="84">
      <c r="A84" s="322"/>
      <c r="B84" s="52" t="s">
        <v>42</v>
      </c>
      <c r="C84" s="54"/>
      <c r="D84" s="54"/>
      <c r="E84" s="56" t="s">
        <v>35</v>
      </c>
      <c r="F84" s="324"/>
      <c r="H84" s="322"/>
      <c r="I84" s="52" t="s">
        <v>42</v>
      </c>
      <c r="J84" s="54"/>
      <c r="K84" s="54"/>
      <c r="L84" s="56" t="s">
        <v>35</v>
      </c>
      <c r="M84" s="324"/>
    </row>
    <row r="85">
      <c r="A85" s="322"/>
      <c r="B85" s="60" t="s">
        <v>40</v>
      </c>
      <c r="C85" s="343">
        <f>'UTL COST'!$B$3</f>
        <v>369000</v>
      </c>
      <c r="D85" s="379">
        <f>'UTL COST'!$C$3</f>
        <v>0.0075</v>
      </c>
      <c r="E85" s="67">
        <f>'UTL COST'!$D$3</f>
        <v>2767.5</v>
      </c>
      <c r="F85" s="324"/>
      <c r="H85" s="322"/>
      <c r="I85" s="60" t="s">
        <v>40</v>
      </c>
      <c r="J85" s="343">
        <f>'UTL COST'!$B$3</f>
        <v>369000</v>
      </c>
      <c r="K85" s="379">
        <f>'UTL COST'!$C$3</f>
        <v>0.0075</v>
      </c>
      <c r="L85" s="67">
        <v>0.0</v>
      </c>
      <c r="M85" s="324"/>
    </row>
    <row r="86">
      <c r="A86" s="322"/>
      <c r="B86" s="75" t="s">
        <v>51</v>
      </c>
      <c r="C86" s="371" t="str">
        <f>'UTL COST'!$B$4</f>
        <v>#REF!</v>
      </c>
      <c r="D86" s="382">
        <f>'UTL COST'!$C$4</f>
        <v>7000</v>
      </c>
      <c r="E86" s="76" t="str">
        <f>'UTL COST'!$D$4</f>
        <v>#REF!</v>
      </c>
      <c r="F86" s="324"/>
      <c r="H86" s="322"/>
      <c r="I86" s="75" t="str">
        <f>'UTL COST'!$A$7</f>
        <v>Gas Pizza</v>
      </c>
      <c r="J86" s="371" t="str">
        <f>'UTL COST'!$B$7</f>
        <v>#REF!</v>
      </c>
      <c r="K86" s="409">
        <f>'UTL COST'!$C$7</f>
        <v>450</v>
      </c>
      <c r="L86" s="76" t="str">
        <f>'UTL COST'!$D$7</f>
        <v>#REF!</v>
      </c>
      <c r="M86" s="324"/>
    </row>
    <row r="87">
      <c r="A87" s="322"/>
      <c r="B87" s="75" t="s">
        <v>59</v>
      </c>
      <c r="C87" s="371" t="str">
        <f>'UTL COST'!$B$5</f>
        <v>#REF!</v>
      </c>
      <c r="D87" s="382">
        <f>'UTL COST'!$C$5</f>
        <v>45000</v>
      </c>
      <c r="E87" s="76" t="str">
        <f>'UTL COST'!$D$5</f>
        <v>#REF!</v>
      </c>
      <c r="F87" s="324"/>
      <c r="H87" s="322"/>
      <c r="I87" s="75" t="s">
        <v>59</v>
      </c>
      <c r="J87" s="371" t="str">
        <f>'UTL COST'!$B$5</f>
        <v>#REF!</v>
      </c>
      <c r="K87" s="382">
        <f>'UTL COST'!$C$5</f>
        <v>45000</v>
      </c>
      <c r="L87" s="76" t="str">
        <f>'UTL COST'!$D$5</f>
        <v>#REF!</v>
      </c>
      <c r="M87" s="324"/>
    </row>
    <row r="88">
      <c r="A88" s="322"/>
      <c r="B88" s="87" t="s">
        <v>78</v>
      </c>
      <c r="C88" s="371" t="str">
        <f>'UTL COST'!$B$6</f>
        <v>#REF!</v>
      </c>
      <c r="D88" s="383">
        <f>'UTL COST'!$C$6</f>
        <v>525</v>
      </c>
      <c r="E88" s="89">
        <v>0.1</v>
      </c>
      <c r="F88" s="324"/>
      <c r="H88" s="322"/>
      <c r="I88" s="87" t="str">
        <f>'UTL COST'!H50</f>
        <v/>
      </c>
      <c r="J88" s="371" t="str">
        <f>'UTL COST'!$B$6</f>
        <v>#REF!</v>
      </c>
      <c r="K88" s="383">
        <f>'UTL COST'!$C$6</f>
        <v>525</v>
      </c>
      <c r="L88" s="411">
        <v>0.0</v>
      </c>
      <c r="M88" s="324"/>
    </row>
    <row r="89">
      <c r="A89" s="322"/>
      <c r="B89" s="34" t="s">
        <v>84</v>
      </c>
      <c r="C89" s="102"/>
      <c r="D89" s="102"/>
      <c r="E89" s="104" t="str">
        <f>IF(SUM(E85:E88)=0,"",SUM(E85:E88))</f>
        <v>#REF!</v>
      </c>
      <c r="F89" s="324"/>
      <c r="H89" s="322"/>
      <c r="I89" s="34" t="s">
        <v>84</v>
      </c>
      <c r="J89" s="102"/>
      <c r="K89" s="102"/>
      <c r="L89" s="104" t="str">
        <f>IF(SUM(L85:L88)=0,"",SUM(L85:L88))</f>
        <v>#REF!</v>
      </c>
      <c r="M89" s="324"/>
    </row>
    <row r="90">
      <c r="A90" s="322"/>
      <c r="B90" s="360"/>
      <c r="C90" s="360"/>
      <c r="D90" s="360"/>
      <c r="E90" s="361"/>
      <c r="F90" s="324"/>
      <c r="H90" s="322"/>
      <c r="I90" s="360"/>
      <c r="J90" s="360"/>
      <c r="K90" s="360"/>
      <c r="L90" s="361"/>
      <c r="M90" s="324"/>
    </row>
    <row r="93">
      <c r="A93" s="322"/>
      <c r="B93" s="322"/>
      <c r="C93" s="322"/>
      <c r="D93" s="322"/>
      <c r="E93" s="323"/>
      <c r="F93" s="324"/>
      <c r="H93" s="322"/>
      <c r="I93" s="322"/>
      <c r="J93" s="322"/>
      <c r="K93" s="322"/>
      <c r="L93" s="323"/>
      <c r="M93" s="324"/>
    </row>
    <row r="94">
      <c r="A94" s="322"/>
      <c r="B94" s="325"/>
      <c r="C94" s="322"/>
      <c r="D94" s="322"/>
      <c r="E94" s="323"/>
      <c r="F94" s="326"/>
      <c r="H94" s="322"/>
      <c r="I94" s="325"/>
      <c r="J94" s="322"/>
      <c r="K94" s="322"/>
      <c r="L94" s="323"/>
      <c r="M94" s="326"/>
    </row>
    <row r="95">
      <c r="A95" s="322"/>
      <c r="B95" s="327" t="s">
        <v>931</v>
      </c>
      <c r="C95" s="328" t="s">
        <v>978</v>
      </c>
      <c r="D95" s="329"/>
      <c r="E95" s="323"/>
      <c r="F95" s="326"/>
      <c r="H95" s="322"/>
      <c r="I95" s="327" t="s">
        <v>931</v>
      </c>
      <c r="J95" s="330" t="s">
        <v>1024</v>
      </c>
      <c r="K95" s="329"/>
      <c r="L95" s="323"/>
      <c r="M95" s="326"/>
    </row>
    <row r="96">
      <c r="A96" s="322"/>
      <c r="B96" s="325"/>
      <c r="C96" s="322"/>
      <c r="D96" s="322"/>
      <c r="E96" s="323"/>
      <c r="F96" s="326"/>
      <c r="H96" s="322"/>
      <c r="I96" s="325"/>
      <c r="J96" s="322"/>
      <c r="K96" s="322"/>
      <c r="L96" s="323"/>
      <c r="M96" s="326"/>
    </row>
    <row r="97">
      <c r="A97" s="322"/>
      <c r="B97" s="327" t="s">
        <v>935</v>
      </c>
      <c r="C97" s="331">
        <v>85000.0</v>
      </c>
      <c r="D97" s="329"/>
      <c r="E97" s="323"/>
      <c r="F97" s="326"/>
      <c r="H97" s="322"/>
      <c r="I97" s="327" t="s">
        <v>935</v>
      </c>
      <c r="J97" s="331">
        <v>85000.0</v>
      </c>
      <c r="K97" s="329"/>
      <c r="L97" s="323"/>
      <c r="M97" s="326"/>
    </row>
    <row r="98">
      <c r="A98" s="322"/>
      <c r="B98" s="327"/>
      <c r="C98" s="332"/>
      <c r="D98" s="332"/>
      <c r="E98" s="323"/>
      <c r="F98" s="326"/>
      <c r="H98" s="322"/>
      <c r="I98" s="327"/>
      <c r="J98" s="332"/>
      <c r="K98" s="332"/>
      <c r="L98" s="323"/>
      <c r="M98" s="326"/>
    </row>
    <row r="99">
      <c r="A99" s="322"/>
      <c r="B99" s="327" t="s">
        <v>939</v>
      </c>
      <c r="C99" s="333" t="str">
        <f>IF(SUM(E111,E126,E134)=0,"",SUM(E111,E126,E134))</f>
        <v>#REF!</v>
      </c>
      <c r="D99" s="321"/>
      <c r="E99" s="323" t="str">
        <f>C99/90000</f>
        <v>#REF!</v>
      </c>
      <c r="F99" s="326"/>
      <c r="H99" s="322"/>
      <c r="I99" s="327" t="s">
        <v>939</v>
      </c>
      <c r="J99" s="333" t="str">
        <f>IF(SUM(L111,L126,L134)=0,"",SUM(L111,L126,L134))</f>
        <v>#REF!</v>
      </c>
      <c r="K99" s="321"/>
      <c r="L99" s="323" t="str">
        <f>J99/90000</f>
        <v>#REF!</v>
      </c>
      <c r="M99" s="326"/>
    </row>
    <row r="100">
      <c r="A100" s="322"/>
      <c r="B100" s="327"/>
      <c r="C100" s="334"/>
      <c r="D100" s="334"/>
      <c r="E100" s="323"/>
      <c r="F100" s="326"/>
      <c r="H100" s="322"/>
      <c r="I100" s="327"/>
      <c r="J100" s="334"/>
      <c r="K100" s="334"/>
      <c r="L100" s="323"/>
      <c r="M100" s="326"/>
    </row>
    <row r="101">
      <c r="A101" s="322"/>
      <c r="B101" s="327" t="s">
        <v>946</v>
      </c>
      <c r="C101" s="335" t="str">
        <f>IF(C99="","",IF(ISBLANK(C97),"",C99/C97))</f>
        <v>#REF!</v>
      </c>
      <c r="D101" s="321"/>
      <c r="E101" s="323"/>
      <c r="F101" s="326"/>
      <c r="H101" s="322"/>
      <c r="I101" s="327" t="s">
        <v>946</v>
      </c>
      <c r="J101" s="335" t="str">
        <f>IF(J99="","",IF(ISBLANK(J97),"",J99/J97))</f>
        <v>#REF!</v>
      </c>
      <c r="K101" s="321"/>
      <c r="L101" s="323"/>
      <c r="M101" s="326"/>
    </row>
    <row r="102">
      <c r="A102" s="322"/>
      <c r="B102" s="327"/>
      <c r="C102" s="334"/>
      <c r="D102" s="334"/>
      <c r="E102" s="323"/>
      <c r="F102" s="326"/>
      <c r="H102" s="322"/>
      <c r="I102" s="327"/>
      <c r="J102" s="334"/>
      <c r="K102" s="334"/>
      <c r="L102" s="323"/>
      <c r="M102" s="326"/>
    </row>
    <row r="103">
      <c r="A103" s="322"/>
      <c r="B103" s="327" t="s">
        <v>950</v>
      </c>
      <c r="C103" s="333" t="str">
        <f>C97-C99</f>
        <v>#REF!</v>
      </c>
      <c r="D103" s="321"/>
      <c r="E103" s="323"/>
      <c r="F103" s="326"/>
      <c r="H103" s="322"/>
      <c r="I103" s="327" t="s">
        <v>950</v>
      </c>
      <c r="J103" s="333" t="str">
        <f>J97-J99</f>
        <v>#REF!</v>
      </c>
      <c r="K103" s="321"/>
      <c r="L103" s="323"/>
      <c r="M103" s="326"/>
    </row>
    <row r="104">
      <c r="A104" s="322"/>
      <c r="B104" s="322"/>
      <c r="C104" s="322"/>
      <c r="D104" s="322"/>
      <c r="E104" s="323"/>
      <c r="F104" s="324"/>
      <c r="H104" s="322"/>
      <c r="I104" s="322"/>
      <c r="J104" s="322"/>
      <c r="K104" s="322"/>
      <c r="L104" s="323"/>
      <c r="M104" s="324"/>
    </row>
    <row r="105">
      <c r="A105" s="322"/>
      <c r="B105" s="322"/>
      <c r="C105" s="322"/>
      <c r="D105" s="322"/>
      <c r="E105" s="337"/>
      <c r="F105" s="324"/>
      <c r="H105" s="322"/>
      <c r="I105" s="322"/>
      <c r="J105" s="322"/>
      <c r="K105" s="322"/>
      <c r="L105" s="337"/>
      <c r="M105" s="324"/>
    </row>
    <row r="106">
      <c r="A106" s="322"/>
      <c r="B106" s="338" t="s">
        <v>951</v>
      </c>
      <c r="C106" s="339"/>
      <c r="D106" s="339"/>
      <c r="E106" s="339"/>
      <c r="F106" s="324"/>
      <c r="H106" s="322"/>
      <c r="I106" s="338" t="s">
        <v>951</v>
      </c>
      <c r="J106" s="339"/>
      <c r="K106" s="339"/>
      <c r="L106" s="339"/>
      <c r="M106" s="324"/>
    </row>
    <row r="107">
      <c r="A107" s="322"/>
      <c r="B107" s="340" t="s">
        <v>953</v>
      </c>
      <c r="C107" s="341" t="s">
        <v>954</v>
      </c>
      <c r="D107" s="341" t="s">
        <v>955</v>
      </c>
      <c r="E107" s="341" t="s">
        <v>35</v>
      </c>
      <c r="F107" s="324"/>
      <c r="H107" s="322"/>
      <c r="I107" s="340" t="s">
        <v>953</v>
      </c>
      <c r="J107" s="341" t="s">
        <v>954</v>
      </c>
      <c r="K107" s="341" t="s">
        <v>955</v>
      </c>
      <c r="L107" s="341" t="s">
        <v>35</v>
      </c>
      <c r="M107" s="324"/>
    </row>
    <row r="108">
      <c r="A108" s="322"/>
      <c r="B108" s="139" t="s">
        <v>1026</v>
      </c>
      <c r="C108" s="342">
        <f>17.5*6/1000</f>
        <v>0.105</v>
      </c>
      <c r="D108" s="343">
        <f>'F&amp;B'!$F$235</f>
        <v>47250</v>
      </c>
      <c r="E108" s="67">
        <f t="shared" ref="E108:E110" si="6">IF(OR(ISBLANK(C108),ISBLANK(D108)),"",D108*C108)</f>
        <v>4961.25</v>
      </c>
      <c r="F108" s="324"/>
      <c r="H108" s="322"/>
      <c r="I108" s="139" t="s">
        <v>1027</v>
      </c>
      <c r="J108" s="344">
        <v>0.0875</v>
      </c>
      <c r="K108" s="343">
        <f>'F&amp;B'!$F$235</f>
        <v>47250</v>
      </c>
      <c r="L108" s="67">
        <f t="shared" ref="L108:L110" si="7">IF(OR(ISBLANK(J108),ISBLANK(K108)),"",K108*J108)</f>
        <v>4134.375</v>
      </c>
      <c r="M108" s="324"/>
    </row>
    <row r="109">
      <c r="A109" s="322"/>
      <c r="B109" s="75" t="s">
        <v>33</v>
      </c>
      <c r="C109" s="405">
        <v>0.1</v>
      </c>
      <c r="D109" s="371">
        <f>'F&amp;B'!$F$235</f>
        <v>47250</v>
      </c>
      <c r="E109" s="67">
        <f t="shared" si="6"/>
        <v>4725</v>
      </c>
      <c r="F109" s="324"/>
      <c r="H109" s="322"/>
      <c r="I109" s="75" t="s">
        <v>33</v>
      </c>
      <c r="J109" s="405">
        <v>0.1</v>
      </c>
      <c r="K109" s="371">
        <f>'F&amp;B'!$F$235</f>
        <v>47250</v>
      </c>
      <c r="L109" s="67">
        <f t="shared" si="7"/>
        <v>4725</v>
      </c>
      <c r="M109" s="324"/>
    </row>
    <row r="110">
      <c r="A110" s="322"/>
      <c r="B110" s="87"/>
      <c r="C110" s="412"/>
      <c r="D110" s="408"/>
      <c r="E110" s="67" t="str">
        <f t="shared" si="6"/>
        <v/>
      </c>
      <c r="F110" s="324"/>
      <c r="H110" s="322"/>
      <c r="I110" s="87"/>
      <c r="J110" s="412"/>
      <c r="K110" s="408"/>
      <c r="L110" s="67" t="str">
        <f t="shared" si="7"/>
        <v/>
      </c>
      <c r="M110" s="324"/>
    </row>
    <row r="111">
      <c r="A111" s="322"/>
      <c r="B111" s="338" t="s">
        <v>84</v>
      </c>
      <c r="C111" s="358"/>
      <c r="D111" s="358"/>
      <c r="E111" s="359">
        <f>IF(SUM(E108:E110)=0,"",SUM(E108:E110))</f>
        <v>9686.25</v>
      </c>
      <c r="F111" s="324"/>
      <c r="H111" s="322"/>
      <c r="I111" s="338" t="s">
        <v>84</v>
      </c>
      <c r="J111" s="358"/>
      <c r="K111" s="358"/>
      <c r="L111" s="359">
        <f>IF(SUM(L108:L110)=0,"",SUM(L108:L110))</f>
        <v>8859.375</v>
      </c>
      <c r="M111" s="324"/>
    </row>
    <row r="112">
      <c r="A112" s="322"/>
      <c r="B112" s="360"/>
      <c r="C112" s="360"/>
      <c r="D112" s="360"/>
      <c r="E112" s="361"/>
      <c r="F112" s="324"/>
      <c r="H112" s="322"/>
      <c r="I112" s="360"/>
      <c r="J112" s="360"/>
      <c r="K112" s="360"/>
      <c r="L112" s="361"/>
      <c r="M112" s="324"/>
    </row>
    <row r="113">
      <c r="A113" s="322"/>
      <c r="B113" s="362" t="s">
        <v>972</v>
      </c>
      <c r="C113" s="363"/>
      <c r="D113" s="363"/>
      <c r="E113" s="363"/>
      <c r="F113" s="324"/>
      <c r="H113" s="322"/>
      <c r="I113" s="362" t="s">
        <v>972</v>
      </c>
      <c r="J113" s="363"/>
      <c r="K113" s="363"/>
      <c r="L113" s="363"/>
      <c r="M113" s="324"/>
    </row>
    <row r="114">
      <c r="A114" s="322"/>
      <c r="B114" s="365" t="s">
        <v>953</v>
      </c>
      <c r="C114" s="366" t="s">
        <v>3</v>
      </c>
      <c r="D114" s="366" t="s">
        <v>975</v>
      </c>
      <c r="E114" s="367" t="s">
        <v>35</v>
      </c>
      <c r="F114" s="324"/>
      <c r="H114" s="322"/>
      <c r="I114" s="365" t="s">
        <v>953</v>
      </c>
      <c r="J114" s="366" t="s">
        <v>3</v>
      </c>
      <c r="K114" s="366" t="s">
        <v>975</v>
      </c>
      <c r="L114" s="367" t="s">
        <v>35</v>
      </c>
      <c r="M114" s="324"/>
    </row>
    <row r="115">
      <c r="A115" s="322"/>
      <c r="B115" s="368"/>
      <c r="C115" s="366"/>
      <c r="D115" s="366"/>
      <c r="E115" s="368"/>
      <c r="F115" s="324"/>
      <c r="H115" s="322"/>
      <c r="I115" s="368"/>
      <c r="J115" s="366"/>
      <c r="K115" s="366"/>
      <c r="L115" s="368"/>
      <c r="M115" s="324"/>
    </row>
    <row r="116">
      <c r="A116" s="322"/>
      <c r="B116" s="60"/>
      <c r="C116" s="342"/>
      <c r="D116" s="343"/>
      <c r="E116" s="67">
        <v>0.0</v>
      </c>
      <c r="F116" s="324"/>
      <c r="H116" s="322"/>
      <c r="I116" s="139" t="s">
        <v>1030</v>
      </c>
      <c r="J116" s="344">
        <v>1.0</v>
      </c>
      <c r="K116" s="343">
        <f>0.16*90000</f>
        <v>14400</v>
      </c>
      <c r="L116" s="67">
        <f t="shared" ref="L116:L117" si="8">IF(OR(ISBLANK(J116),ISBLANK(K116)),"",K116*J116)</f>
        <v>14400</v>
      </c>
      <c r="M116" s="324"/>
    </row>
    <row r="117">
      <c r="A117" s="322"/>
      <c r="B117" s="75"/>
      <c r="C117" s="370"/>
      <c r="D117" s="371"/>
      <c r="E117" s="67">
        <f t="shared" ref="E117:E125" si="9">D117*C117</f>
        <v>0</v>
      </c>
      <c r="F117" s="324"/>
      <c r="H117" s="322"/>
      <c r="I117" s="228" t="s">
        <v>1031</v>
      </c>
      <c r="J117" s="405">
        <v>1.0</v>
      </c>
      <c r="K117" s="371">
        <f>0.7*90000</f>
        <v>63000</v>
      </c>
      <c r="L117" s="67">
        <f t="shared" si="8"/>
        <v>63000</v>
      </c>
      <c r="M117" s="324"/>
    </row>
    <row r="118">
      <c r="A118" s="322"/>
      <c r="B118" s="75"/>
      <c r="C118" s="372"/>
      <c r="D118" s="371"/>
      <c r="E118" s="67">
        <f t="shared" si="9"/>
        <v>0</v>
      </c>
      <c r="F118" s="324"/>
      <c r="H118" s="322"/>
      <c r="I118" s="75"/>
      <c r="J118" s="372"/>
      <c r="K118" s="371"/>
      <c r="L118" s="67">
        <f t="shared" ref="L118:L125" si="10">K118*J118</f>
        <v>0</v>
      </c>
      <c r="M118" s="324"/>
    </row>
    <row r="119">
      <c r="A119" s="322"/>
      <c r="B119" s="75"/>
      <c r="C119" s="346"/>
      <c r="D119" s="371"/>
      <c r="E119" s="67">
        <f t="shared" si="9"/>
        <v>0</v>
      </c>
      <c r="F119" s="324"/>
      <c r="H119" s="322"/>
      <c r="I119" s="75"/>
      <c r="J119" s="346"/>
      <c r="K119" s="371"/>
      <c r="L119" s="67">
        <f t="shared" si="10"/>
        <v>0</v>
      </c>
      <c r="M119" s="324"/>
    </row>
    <row r="120">
      <c r="A120" s="322"/>
      <c r="B120" s="75"/>
      <c r="C120" s="346"/>
      <c r="D120" s="371"/>
      <c r="E120" s="67">
        <f t="shared" si="9"/>
        <v>0</v>
      </c>
      <c r="F120" s="324"/>
      <c r="H120" s="322"/>
      <c r="I120" s="75"/>
      <c r="J120" s="346"/>
      <c r="K120" s="371"/>
      <c r="L120" s="67">
        <f t="shared" si="10"/>
        <v>0</v>
      </c>
      <c r="M120" s="324"/>
    </row>
    <row r="121">
      <c r="A121" s="322"/>
      <c r="B121" s="75"/>
      <c r="C121" s="346"/>
      <c r="D121" s="373"/>
      <c r="E121" s="67">
        <f t="shared" si="9"/>
        <v>0</v>
      </c>
      <c r="F121" s="324"/>
      <c r="H121" s="322"/>
      <c r="I121" s="75"/>
      <c r="J121" s="346"/>
      <c r="K121" s="373"/>
      <c r="L121" s="67">
        <f t="shared" si="10"/>
        <v>0</v>
      </c>
      <c r="M121" s="324"/>
    </row>
    <row r="122">
      <c r="A122" s="322"/>
      <c r="B122" s="348"/>
      <c r="C122" s="346"/>
      <c r="D122" s="373"/>
      <c r="E122" s="67">
        <f t="shared" si="9"/>
        <v>0</v>
      </c>
      <c r="F122" s="324"/>
      <c r="H122" s="322"/>
      <c r="I122" s="348"/>
      <c r="J122" s="346"/>
      <c r="K122" s="373"/>
      <c r="L122" s="67">
        <f t="shared" si="10"/>
        <v>0</v>
      </c>
      <c r="M122" s="324"/>
    </row>
    <row r="123">
      <c r="A123" s="322"/>
      <c r="B123" s="348"/>
      <c r="C123" s="346"/>
      <c r="D123" s="373"/>
      <c r="E123" s="67">
        <f t="shared" si="9"/>
        <v>0</v>
      </c>
      <c r="F123" s="324"/>
      <c r="H123" s="322"/>
      <c r="I123" s="348"/>
      <c r="J123" s="346"/>
      <c r="K123" s="373"/>
      <c r="L123" s="67">
        <f t="shared" si="10"/>
        <v>0</v>
      </c>
      <c r="M123" s="324"/>
    </row>
    <row r="124">
      <c r="A124" s="322"/>
      <c r="B124" s="348"/>
      <c r="C124" s="346"/>
      <c r="D124" s="373"/>
      <c r="E124" s="67">
        <f t="shared" si="9"/>
        <v>0</v>
      </c>
      <c r="F124" s="324"/>
      <c r="H124" s="322"/>
      <c r="I124" s="348"/>
      <c r="J124" s="346"/>
      <c r="K124" s="373"/>
      <c r="L124" s="67">
        <f t="shared" si="10"/>
        <v>0</v>
      </c>
      <c r="M124" s="324"/>
    </row>
    <row r="125">
      <c r="A125" s="322"/>
      <c r="B125" s="354"/>
      <c r="C125" s="355"/>
      <c r="D125" s="356"/>
      <c r="E125" s="67">
        <f t="shared" si="9"/>
        <v>0</v>
      </c>
      <c r="F125" s="324"/>
      <c r="H125" s="322"/>
      <c r="I125" s="354"/>
      <c r="J125" s="355"/>
      <c r="K125" s="356"/>
      <c r="L125" s="67">
        <f t="shared" si="10"/>
        <v>0</v>
      </c>
      <c r="M125" s="324"/>
    </row>
    <row r="126">
      <c r="A126" s="322"/>
      <c r="B126" s="362" t="s">
        <v>84</v>
      </c>
      <c r="C126" s="374"/>
      <c r="D126" s="374"/>
      <c r="E126" s="375" t="str">
        <f>IF(SUM(E116:E125)=0,"",SUM(E116:E125))</f>
        <v/>
      </c>
      <c r="F126" s="324"/>
      <c r="H126" s="322"/>
      <c r="I126" s="362" t="s">
        <v>84</v>
      </c>
      <c r="J126" s="374"/>
      <c r="K126" s="374"/>
      <c r="L126" s="375">
        <f>IF(SUM(L116:L125)=0,"",SUM(L116:L125))</f>
        <v>77400</v>
      </c>
      <c r="M126" s="324"/>
    </row>
    <row r="127">
      <c r="A127" s="322"/>
      <c r="B127" s="360"/>
      <c r="C127" s="360"/>
      <c r="D127" s="360"/>
      <c r="E127" s="361"/>
      <c r="F127" s="324"/>
      <c r="H127" s="322"/>
      <c r="I127" s="360"/>
      <c r="J127" s="360"/>
      <c r="K127" s="360"/>
      <c r="L127" s="361"/>
      <c r="M127" s="324"/>
    </row>
    <row r="128">
      <c r="A128" s="322"/>
      <c r="B128" s="34" t="s">
        <v>17</v>
      </c>
      <c r="C128" s="35"/>
      <c r="D128" s="35"/>
      <c r="E128" s="35"/>
      <c r="F128" s="324"/>
      <c r="H128" s="322"/>
      <c r="I128" s="34" t="s">
        <v>17</v>
      </c>
      <c r="J128" s="35"/>
      <c r="K128" s="35"/>
      <c r="L128" s="35"/>
      <c r="M128" s="324"/>
    </row>
    <row r="129">
      <c r="A129" s="322"/>
      <c r="B129" s="52" t="s">
        <v>42</v>
      </c>
      <c r="C129" s="54"/>
      <c r="D129" s="54"/>
      <c r="E129" s="56" t="s">
        <v>35</v>
      </c>
      <c r="F129" s="324"/>
      <c r="H129" s="322"/>
      <c r="I129" s="52" t="s">
        <v>42</v>
      </c>
      <c r="J129" s="54"/>
      <c r="K129" s="54"/>
      <c r="L129" s="56" t="s">
        <v>35</v>
      </c>
      <c r="M129" s="324"/>
    </row>
    <row r="130">
      <c r="A130" s="322"/>
      <c r="B130" s="60" t="s">
        <v>40</v>
      </c>
      <c r="C130" s="343">
        <f>'UTL COST'!$B$3</f>
        <v>369000</v>
      </c>
      <c r="D130" s="379">
        <f>'UTL COST'!$C$3</f>
        <v>0.0075</v>
      </c>
      <c r="E130" s="67">
        <f>'UTL COST'!$D$3</f>
        <v>2767.5</v>
      </c>
      <c r="F130" s="324"/>
      <c r="H130" s="322"/>
      <c r="I130" s="60" t="s">
        <v>40</v>
      </c>
      <c r="J130" s="343">
        <f>'UTL COST'!$B$3</f>
        <v>369000</v>
      </c>
      <c r="K130" s="379">
        <f>'UTL COST'!$C$3</f>
        <v>0.0075</v>
      </c>
      <c r="L130" s="67">
        <f>'UTL COST'!$D$3</f>
        <v>2767.5</v>
      </c>
      <c r="M130" s="324"/>
    </row>
    <row r="131">
      <c r="A131" s="322"/>
      <c r="B131" s="75" t="s">
        <v>51</v>
      </c>
      <c r="C131" s="371" t="str">
        <f>'UTL COST'!$B$4</f>
        <v>#REF!</v>
      </c>
      <c r="D131" s="382">
        <f>'UTL COST'!$C$4</f>
        <v>7000</v>
      </c>
      <c r="E131" s="67">
        <f>'UTL COST'!$D$3</f>
        <v>2767.5</v>
      </c>
      <c r="F131" s="324"/>
      <c r="H131" s="322"/>
      <c r="I131" s="75" t="s">
        <v>51</v>
      </c>
      <c r="J131" s="371" t="str">
        <f>'UTL COST'!$B$4</f>
        <v>#REF!</v>
      </c>
      <c r="K131" s="382">
        <f>'UTL COST'!$C$4</f>
        <v>7000</v>
      </c>
      <c r="L131" s="67">
        <f>'UTL COST'!$D$3</f>
        <v>2767.5</v>
      </c>
      <c r="M131" s="324"/>
    </row>
    <row r="132">
      <c r="A132" s="322"/>
      <c r="B132" s="75" t="s">
        <v>59</v>
      </c>
      <c r="C132" s="371" t="str">
        <f>'UTL COST'!$B$5</f>
        <v>#REF!</v>
      </c>
      <c r="D132" s="382">
        <f>'UTL COST'!$C$5</f>
        <v>45000</v>
      </c>
      <c r="E132" s="76" t="str">
        <f>'UTL COST'!$D$5</f>
        <v>#REF!</v>
      </c>
      <c r="F132" s="324"/>
      <c r="H132" s="322"/>
      <c r="I132" s="75" t="s">
        <v>59</v>
      </c>
      <c r="J132" s="371" t="str">
        <f>'UTL COST'!$B$5</f>
        <v>#REF!</v>
      </c>
      <c r="K132" s="382">
        <f>'UTL COST'!$C$5</f>
        <v>45000</v>
      </c>
      <c r="L132" s="76" t="str">
        <f>'UTL COST'!$D$5</f>
        <v>#REF!</v>
      </c>
      <c r="M132" s="324"/>
    </row>
    <row r="133">
      <c r="A133" s="322"/>
      <c r="B133" s="87" t="s">
        <v>78</v>
      </c>
      <c r="C133" s="371" t="str">
        <f>'UTL COST'!$B$6</f>
        <v>#REF!</v>
      </c>
      <c r="D133" s="383">
        <f>'UTL COST'!$C$6</f>
        <v>525</v>
      </c>
      <c r="E133" s="89">
        <v>0.1</v>
      </c>
      <c r="F133" s="324"/>
      <c r="H133" s="322"/>
      <c r="I133" s="87" t="s">
        <v>78</v>
      </c>
      <c r="J133" s="371" t="str">
        <f>'UTL COST'!$B$6</f>
        <v>#REF!</v>
      </c>
      <c r="K133" s="383">
        <f>'UTL COST'!$C$6</f>
        <v>525</v>
      </c>
      <c r="L133" s="89">
        <v>0.1</v>
      </c>
      <c r="M133" s="324"/>
    </row>
    <row r="134">
      <c r="A134" s="322"/>
      <c r="B134" s="34" t="s">
        <v>84</v>
      </c>
      <c r="C134" s="102"/>
      <c r="D134" s="102"/>
      <c r="E134" s="104" t="str">
        <f>IF(SUM(E130:E133)=0,"",SUM(E130:E133))</f>
        <v>#REF!</v>
      </c>
      <c r="F134" s="324"/>
      <c r="H134" s="322"/>
      <c r="I134" s="34" t="s">
        <v>84</v>
      </c>
      <c r="J134" s="102"/>
      <c r="K134" s="102"/>
      <c r="L134" s="104" t="str">
        <f>IF(SUM(L130:L133)=0,"",SUM(L130:L133))</f>
        <v>#REF!</v>
      </c>
      <c r="M134" s="324"/>
    </row>
    <row r="135">
      <c r="A135" s="322"/>
      <c r="B135" s="360"/>
      <c r="C135" s="360"/>
      <c r="D135" s="360"/>
      <c r="E135" s="361"/>
      <c r="F135" s="324"/>
      <c r="H135" s="322"/>
      <c r="I135" s="360"/>
      <c r="J135" s="360"/>
      <c r="K135" s="360"/>
      <c r="L135" s="361"/>
      <c r="M135" s="324"/>
    </row>
    <row r="138">
      <c r="A138" s="322"/>
      <c r="B138" s="322"/>
      <c r="C138" s="322"/>
      <c r="D138" s="322"/>
      <c r="E138" s="323"/>
      <c r="F138" s="324"/>
      <c r="H138" s="322"/>
      <c r="I138" s="322"/>
      <c r="J138" s="322"/>
      <c r="K138" s="322"/>
      <c r="L138" s="323"/>
      <c r="M138" s="324"/>
    </row>
    <row r="139">
      <c r="A139" s="322"/>
      <c r="B139" s="325"/>
      <c r="C139" s="322"/>
      <c r="D139" s="322"/>
      <c r="E139" s="323"/>
      <c r="F139" s="326"/>
      <c r="H139" s="322"/>
      <c r="I139" s="325"/>
      <c r="J139" s="322"/>
      <c r="K139" s="322"/>
      <c r="L139" s="323"/>
      <c r="M139" s="326"/>
    </row>
    <row r="140">
      <c r="A140" s="322"/>
      <c r="B140" s="327" t="s">
        <v>931</v>
      </c>
      <c r="C140" s="330" t="s">
        <v>980</v>
      </c>
      <c r="D140" s="329"/>
      <c r="E140" s="323"/>
      <c r="F140" s="326"/>
      <c r="H140" s="322"/>
      <c r="I140" s="327" t="s">
        <v>931</v>
      </c>
      <c r="J140" s="330" t="s">
        <v>986</v>
      </c>
      <c r="K140" s="329"/>
      <c r="L140" s="323"/>
      <c r="M140" s="326"/>
    </row>
    <row r="141">
      <c r="A141" s="322"/>
      <c r="B141" s="325"/>
      <c r="C141" s="322"/>
      <c r="D141" s="322"/>
      <c r="E141" s="323"/>
      <c r="F141" s="326"/>
      <c r="H141" s="322"/>
      <c r="I141" s="325"/>
      <c r="J141" s="322"/>
      <c r="K141" s="322"/>
      <c r="L141" s="323"/>
      <c r="M141" s="326"/>
    </row>
    <row r="142">
      <c r="A142" s="322"/>
      <c r="B142" s="327" t="s">
        <v>935</v>
      </c>
      <c r="C142" s="331">
        <v>85000.0</v>
      </c>
      <c r="D142" s="329"/>
      <c r="E142" s="323"/>
      <c r="F142" s="326"/>
      <c r="H142" s="322"/>
      <c r="I142" s="327" t="s">
        <v>935</v>
      </c>
      <c r="J142" s="331">
        <v>85000.0</v>
      </c>
      <c r="K142" s="329"/>
      <c r="L142" s="323"/>
      <c r="M142" s="326"/>
    </row>
    <row r="143">
      <c r="A143" s="322"/>
      <c r="B143" s="327"/>
      <c r="C143" s="332"/>
      <c r="D143" s="332"/>
      <c r="E143" s="323"/>
      <c r="F143" s="326"/>
      <c r="H143" s="322"/>
      <c r="I143" s="327"/>
      <c r="J143" s="332"/>
      <c r="K143" s="332"/>
      <c r="L143" s="323"/>
      <c r="M143" s="326"/>
    </row>
    <row r="144">
      <c r="A144" s="322"/>
      <c r="B144" s="327" t="s">
        <v>939</v>
      </c>
      <c r="C144" s="333" t="str">
        <f>IF(SUM(E156,E171,E179)=0,"",SUM(E156,E171,E179))</f>
        <v>#REF!</v>
      </c>
      <c r="D144" s="321"/>
      <c r="E144" s="323" t="str">
        <f>C144/90000</f>
        <v>#REF!</v>
      </c>
      <c r="F144" s="326"/>
      <c r="H144" s="322"/>
      <c r="I144" s="327" t="s">
        <v>939</v>
      </c>
      <c r="J144" s="333" t="str">
        <f>IF(SUM(L156,L171,L179)=0,"",SUM(L156,L171,L179))</f>
        <v>#REF!</v>
      </c>
      <c r="K144" s="321"/>
      <c r="L144" s="323" t="str">
        <f>J144/90000</f>
        <v>#REF!</v>
      </c>
      <c r="M144" s="326"/>
    </row>
    <row r="145">
      <c r="A145" s="322"/>
      <c r="B145" s="327"/>
      <c r="C145" s="334"/>
      <c r="D145" s="334"/>
      <c r="E145" s="323"/>
      <c r="F145" s="326"/>
      <c r="H145" s="322"/>
      <c r="I145" s="327"/>
      <c r="J145" s="334"/>
      <c r="K145" s="334"/>
      <c r="L145" s="323"/>
      <c r="M145" s="326"/>
    </row>
    <row r="146">
      <c r="A146" s="322"/>
      <c r="B146" s="327" t="s">
        <v>946</v>
      </c>
      <c r="C146" s="335" t="str">
        <f>IF(C144="","",IF(ISBLANK(C142),"",C144/C142))</f>
        <v>#REF!</v>
      </c>
      <c r="D146" s="321"/>
      <c r="E146" s="323"/>
      <c r="F146" s="326"/>
      <c r="H146" s="322"/>
      <c r="I146" s="327" t="s">
        <v>946</v>
      </c>
      <c r="J146" s="335" t="str">
        <f>IF(J144="","",IF(ISBLANK(J142),"",J144/J142))</f>
        <v>#REF!</v>
      </c>
      <c r="K146" s="321"/>
      <c r="L146" s="323"/>
      <c r="M146" s="326"/>
    </row>
    <row r="147">
      <c r="A147" s="322"/>
      <c r="B147" s="327"/>
      <c r="C147" s="334"/>
      <c r="D147" s="334"/>
      <c r="E147" s="323"/>
      <c r="F147" s="326"/>
      <c r="H147" s="322"/>
      <c r="I147" s="327"/>
      <c r="J147" s="334"/>
      <c r="K147" s="334"/>
      <c r="L147" s="323"/>
      <c r="M147" s="326"/>
    </row>
    <row r="148">
      <c r="A148" s="322"/>
      <c r="B148" s="327" t="s">
        <v>950</v>
      </c>
      <c r="C148" s="333" t="str">
        <f>C142-C144</f>
        <v>#REF!</v>
      </c>
      <c r="D148" s="321"/>
      <c r="E148" s="323"/>
      <c r="F148" s="326"/>
      <c r="H148" s="322"/>
      <c r="I148" s="327" t="s">
        <v>950</v>
      </c>
      <c r="J148" s="333" t="str">
        <f>J142-J144</f>
        <v>#REF!</v>
      </c>
      <c r="K148" s="321"/>
      <c r="L148" s="323"/>
      <c r="M148" s="326"/>
    </row>
    <row r="149">
      <c r="A149" s="322"/>
      <c r="B149" s="322"/>
      <c r="C149" s="322"/>
      <c r="D149" s="322"/>
      <c r="E149" s="323"/>
      <c r="F149" s="324"/>
      <c r="H149" s="322"/>
      <c r="I149" s="322"/>
      <c r="J149" s="322"/>
      <c r="K149" s="322"/>
      <c r="L149" s="323"/>
      <c r="M149" s="324"/>
    </row>
    <row r="150">
      <c r="A150" s="322"/>
      <c r="B150" s="322"/>
      <c r="C150" s="322"/>
      <c r="D150" s="322"/>
      <c r="E150" s="337"/>
      <c r="F150" s="324"/>
      <c r="H150" s="322"/>
      <c r="I150" s="322"/>
      <c r="J150" s="322"/>
      <c r="K150" s="322"/>
      <c r="L150" s="337"/>
      <c r="M150" s="324"/>
    </row>
    <row r="151">
      <c r="A151" s="322"/>
      <c r="B151" s="338" t="s">
        <v>951</v>
      </c>
      <c r="C151" s="339"/>
      <c r="D151" s="339"/>
      <c r="E151" s="339"/>
      <c r="F151" s="324"/>
      <c r="H151" s="322"/>
      <c r="I151" s="338" t="s">
        <v>951</v>
      </c>
      <c r="J151" s="339"/>
      <c r="K151" s="339"/>
      <c r="L151" s="339"/>
      <c r="M151" s="324"/>
    </row>
    <row r="152">
      <c r="A152" s="322"/>
      <c r="B152" s="340" t="s">
        <v>953</v>
      </c>
      <c r="C152" s="341" t="s">
        <v>954</v>
      </c>
      <c r="D152" s="341" t="s">
        <v>955</v>
      </c>
      <c r="E152" s="341" t="s">
        <v>35</v>
      </c>
      <c r="F152" s="324"/>
      <c r="H152" s="322"/>
      <c r="I152" s="340" t="s">
        <v>953</v>
      </c>
      <c r="J152" s="341" t="s">
        <v>954</v>
      </c>
      <c r="K152" s="341" t="s">
        <v>955</v>
      </c>
      <c r="L152" s="341" t="s">
        <v>35</v>
      </c>
      <c r="M152" s="324"/>
    </row>
    <row r="153">
      <c r="A153" s="322"/>
      <c r="B153" s="139" t="s">
        <v>1015</v>
      </c>
      <c r="C153" s="344">
        <v>1.0</v>
      </c>
      <c r="D153" s="403">
        <f>(0.29*90000)</f>
        <v>26100</v>
      </c>
      <c r="E153" s="67">
        <f t="shared" ref="E153:E155" si="11">IF(OR(ISBLANK(C153),ISBLANK(D153)),"",D153*C153)</f>
        <v>26100</v>
      </c>
      <c r="F153" s="324"/>
      <c r="H153" s="322"/>
      <c r="I153" s="139" t="s">
        <v>442</v>
      </c>
      <c r="J153" s="344">
        <v>1.0</v>
      </c>
      <c r="K153" s="343" t="str">
        <f>C144</f>
        <v>#REF!</v>
      </c>
      <c r="L153" s="67" t="str">
        <f>IF(OR(ISBLANK(J153),ISBLANK(K153)),"",K153*J153)</f>
        <v>#REF!</v>
      </c>
      <c r="M153" s="324"/>
    </row>
    <row r="154">
      <c r="A154" s="322"/>
      <c r="B154" s="350" t="s">
        <v>114</v>
      </c>
      <c r="C154" s="351">
        <v>0.05</v>
      </c>
      <c r="D154" s="352">
        <f>'F&amp;B'!F249/4</f>
        <v>12825</v>
      </c>
      <c r="E154" s="67">
        <f t="shared" si="11"/>
        <v>641.25</v>
      </c>
      <c r="F154" s="324"/>
      <c r="H154" s="322"/>
      <c r="I154" s="75"/>
      <c r="J154" s="405"/>
      <c r="K154" s="371"/>
      <c r="L154" s="67"/>
      <c r="M154" s="324"/>
    </row>
    <row r="155">
      <c r="A155" s="322"/>
      <c r="B155" s="406" t="s">
        <v>1038</v>
      </c>
      <c r="C155" s="407">
        <v>1.0</v>
      </c>
      <c r="D155" s="408">
        <f>(3.5*90000)/12</f>
        <v>26250</v>
      </c>
      <c r="E155" s="67">
        <f t="shared" si="11"/>
        <v>26250</v>
      </c>
      <c r="F155" s="324"/>
      <c r="H155" s="322"/>
      <c r="I155" s="87"/>
      <c r="J155" s="412"/>
      <c r="K155" s="408"/>
      <c r="L155" s="67" t="str">
        <f>IF(OR(ISBLANK(J155),ISBLANK(K155)),"",K155*J155)</f>
        <v/>
      </c>
      <c r="M155" s="324"/>
    </row>
    <row r="156">
      <c r="A156" s="322"/>
      <c r="B156" s="338" t="s">
        <v>84</v>
      </c>
      <c r="C156" s="358"/>
      <c r="D156" s="358"/>
      <c r="E156" s="359">
        <f>IF(SUM(E153:E155)=0,"",SUM(E153:E155))</f>
        <v>52991.25</v>
      </c>
      <c r="F156" s="324"/>
      <c r="H156" s="322"/>
      <c r="I156" s="338" t="s">
        <v>84</v>
      </c>
      <c r="J156" s="358"/>
      <c r="K156" s="358"/>
      <c r="L156" s="359" t="str">
        <f>IF(SUM(L153:L155)=0,"",SUM(L153:L155))</f>
        <v>#REF!</v>
      </c>
      <c r="M156" s="324"/>
    </row>
    <row r="157">
      <c r="A157" s="322"/>
      <c r="B157" s="360"/>
      <c r="C157" s="360"/>
      <c r="D157" s="360"/>
      <c r="E157" s="361"/>
      <c r="F157" s="324"/>
      <c r="H157" s="322"/>
      <c r="I157" s="360"/>
      <c r="J157" s="360"/>
      <c r="K157" s="360"/>
      <c r="L157" s="361"/>
      <c r="M157" s="324"/>
    </row>
    <row r="158">
      <c r="A158" s="322"/>
      <c r="B158" s="362" t="s">
        <v>972</v>
      </c>
      <c r="C158" s="363"/>
      <c r="D158" s="363"/>
      <c r="E158" s="363"/>
      <c r="F158" s="324"/>
      <c r="H158" s="322"/>
      <c r="I158" s="362" t="s">
        <v>972</v>
      </c>
      <c r="J158" s="363"/>
      <c r="K158" s="363"/>
      <c r="L158" s="363"/>
      <c r="M158" s="324"/>
    </row>
    <row r="159">
      <c r="A159" s="322"/>
      <c r="B159" s="365" t="s">
        <v>953</v>
      </c>
      <c r="C159" s="366" t="s">
        <v>3</v>
      </c>
      <c r="D159" s="366" t="s">
        <v>975</v>
      </c>
      <c r="E159" s="367" t="s">
        <v>35</v>
      </c>
      <c r="F159" s="324"/>
      <c r="H159" s="322"/>
      <c r="I159" s="365" t="s">
        <v>953</v>
      </c>
      <c r="J159" s="366" t="s">
        <v>3</v>
      </c>
      <c r="K159" s="366" t="s">
        <v>975</v>
      </c>
      <c r="L159" s="367" t="s">
        <v>35</v>
      </c>
      <c r="M159" s="324"/>
    </row>
    <row r="160">
      <c r="A160" s="322"/>
      <c r="B160" s="368"/>
      <c r="C160" s="366"/>
      <c r="D160" s="366"/>
      <c r="E160" s="368"/>
      <c r="F160" s="324"/>
      <c r="H160" s="322"/>
      <c r="I160" s="368"/>
      <c r="J160" s="366"/>
      <c r="K160" s="366"/>
      <c r="L160" s="368"/>
      <c r="M160" s="324"/>
    </row>
    <row r="161">
      <c r="A161" s="322"/>
      <c r="B161" s="75" t="s">
        <v>33</v>
      </c>
      <c r="C161" s="405">
        <v>0.2</v>
      </c>
      <c r="D161" s="371">
        <f>'F&amp;B'!$F$235</f>
        <v>47250</v>
      </c>
      <c r="E161" s="67">
        <f>IF(OR(ISBLANK(C161),ISBLANK(D161)),"",D161*C161)</f>
        <v>9450</v>
      </c>
      <c r="F161" s="324"/>
      <c r="H161" s="322"/>
      <c r="I161" s="139" t="s">
        <v>1030</v>
      </c>
      <c r="J161" s="344">
        <v>1.0</v>
      </c>
      <c r="K161" s="343">
        <f>0.16*90000</f>
        <v>14400</v>
      </c>
      <c r="L161" s="67">
        <f t="shared" ref="L161:L162" si="12">IF(OR(ISBLANK(J161),ISBLANK(K161)),"",K161*J161)</f>
        <v>14400</v>
      </c>
      <c r="M161" s="324"/>
    </row>
    <row r="162">
      <c r="A162" s="322"/>
      <c r="B162" s="228"/>
      <c r="C162" s="405"/>
      <c r="D162" s="371"/>
      <c r="E162" s="67"/>
      <c r="F162" s="324"/>
      <c r="H162" s="322"/>
      <c r="I162" s="228" t="s">
        <v>1031</v>
      </c>
      <c r="J162" s="405">
        <v>1.0</v>
      </c>
      <c r="K162" s="371">
        <f>0.7*90000</f>
        <v>63000</v>
      </c>
      <c r="L162" s="67">
        <f t="shared" si="12"/>
        <v>63000</v>
      </c>
      <c r="M162" s="324"/>
    </row>
    <row r="163">
      <c r="A163" s="322"/>
      <c r="B163" s="350"/>
      <c r="C163" s="351"/>
      <c r="D163" s="352"/>
      <c r="E163" s="353" t="str">
        <f>IF(OR(ISBLANK(C163),ISBLANK(D163)),"",D163*C163)</f>
        <v/>
      </c>
      <c r="F163" s="324"/>
      <c r="H163" s="322"/>
      <c r="I163" s="228" t="s">
        <v>1039</v>
      </c>
      <c r="J163" s="405">
        <v>1.0</v>
      </c>
      <c r="K163" s="423">
        <v>10000.0</v>
      </c>
      <c r="L163" s="67">
        <f t="shared" ref="L163:L170" si="13">K163*J163</f>
        <v>10000</v>
      </c>
      <c r="M163" s="324"/>
    </row>
    <row r="164">
      <c r="A164" s="322"/>
      <c r="B164" s="75"/>
      <c r="C164" s="346"/>
      <c r="D164" s="371"/>
      <c r="E164" s="67">
        <f t="shared" ref="E164:E170" si="14">D164*C164</f>
        <v>0</v>
      </c>
      <c r="F164" s="324"/>
      <c r="H164" s="322"/>
      <c r="I164" s="75"/>
      <c r="J164" s="346"/>
      <c r="K164" s="371"/>
      <c r="L164" s="67">
        <f t="shared" si="13"/>
        <v>0</v>
      </c>
      <c r="M164" s="324"/>
    </row>
    <row r="165">
      <c r="A165" s="322"/>
      <c r="B165" s="75"/>
      <c r="C165" s="346"/>
      <c r="D165" s="371"/>
      <c r="E165" s="67">
        <f t="shared" si="14"/>
        <v>0</v>
      </c>
      <c r="F165" s="324"/>
      <c r="H165" s="322"/>
      <c r="I165" s="75"/>
      <c r="J165" s="346"/>
      <c r="K165" s="371"/>
      <c r="L165" s="67">
        <f t="shared" si="13"/>
        <v>0</v>
      </c>
      <c r="M165" s="324"/>
    </row>
    <row r="166">
      <c r="A166" s="322"/>
      <c r="B166" s="75"/>
      <c r="C166" s="346"/>
      <c r="D166" s="373"/>
      <c r="E166" s="67">
        <f t="shared" si="14"/>
        <v>0</v>
      </c>
      <c r="F166" s="324"/>
      <c r="H166" s="322"/>
      <c r="I166" s="75"/>
      <c r="J166" s="346"/>
      <c r="K166" s="373"/>
      <c r="L166" s="67">
        <f t="shared" si="13"/>
        <v>0</v>
      </c>
      <c r="M166" s="324"/>
    </row>
    <row r="167">
      <c r="A167" s="322"/>
      <c r="B167" s="348"/>
      <c r="C167" s="346"/>
      <c r="D167" s="373"/>
      <c r="E167" s="67">
        <f t="shared" si="14"/>
        <v>0</v>
      </c>
      <c r="F167" s="324"/>
      <c r="H167" s="322"/>
      <c r="I167" s="348"/>
      <c r="J167" s="346"/>
      <c r="K167" s="373"/>
      <c r="L167" s="67">
        <f t="shared" si="13"/>
        <v>0</v>
      </c>
      <c r="M167" s="324"/>
    </row>
    <row r="168">
      <c r="A168" s="322"/>
      <c r="B168" s="348"/>
      <c r="C168" s="346"/>
      <c r="D168" s="373"/>
      <c r="E168" s="67">
        <f t="shared" si="14"/>
        <v>0</v>
      </c>
      <c r="F168" s="324"/>
      <c r="H168" s="322"/>
      <c r="I168" s="348"/>
      <c r="J168" s="346"/>
      <c r="K168" s="373"/>
      <c r="L168" s="67">
        <f t="shared" si="13"/>
        <v>0</v>
      </c>
      <c r="M168" s="324"/>
    </row>
    <row r="169">
      <c r="A169" s="322"/>
      <c r="B169" s="348"/>
      <c r="C169" s="346"/>
      <c r="D169" s="373"/>
      <c r="E169" s="67">
        <f t="shared" si="14"/>
        <v>0</v>
      </c>
      <c r="F169" s="324"/>
      <c r="H169" s="322"/>
      <c r="I169" s="348"/>
      <c r="J169" s="346"/>
      <c r="K169" s="373"/>
      <c r="L169" s="67">
        <f t="shared" si="13"/>
        <v>0</v>
      </c>
      <c r="M169" s="324"/>
    </row>
    <row r="170">
      <c r="A170" s="322"/>
      <c r="B170" s="354"/>
      <c r="C170" s="355"/>
      <c r="D170" s="356"/>
      <c r="E170" s="67">
        <f t="shared" si="14"/>
        <v>0</v>
      </c>
      <c r="F170" s="324"/>
      <c r="H170" s="322"/>
      <c r="I170" s="354"/>
      <c r="J170" s="355"/>
      <c r="K170" s="356"/>
      <c r="L170" s="67">
        <f t="shared" si="13"/>
        <v>0</v>
      </c>
      <c r="M170" s="324"/>
    </row>
    <row r="171">
      <c r="A171" s="322"/>
      <c r="B171" s="362" t="s">
        <v>84</v>
      </c>
      <c r="C171" s="374"/>
      <c r="D171" s="374"/>
      <c r="E171" s="375">
        <f>IF(SUM(E161:E170)=0,"",SUM(E161:E170))</f>
        <v>9450</v>
      </c>
      <c r="F171" s="324"/>
      <c r="H171" s="322"/>
      <c r="I171" s="362" t="s">
        <v>84</v>
      </c>
      <c r="J171" s="374"/>
      <c r="K171" s="374"/>
      <c r="L171" s="375">
        <f>IF(SUM(L161:L170)=0,"",SUM(L161:L170))</f>
        <v>87400</v>
      </c>
      <c r="M171" s="324"/>
    </row>
    <row r="172">
      <c r="A172" s="322"/>
      <c r="B172" s="360"/>
      <c r="C172" s="360"/>
      <c r="D172" s="360"/>
      <c r="E172" s="361"/>
      <c r="F172" s="324"/>
      <c r="H172" s="322"/>
      <c r="I172" s="360"/>
      <c r="J172" s="360"/>
      <c r="K172" s="360"/>
      <c r="L172" s="361"/>
      <c r="M172" s="324"/>
    </row>
    <row r="173">
      <c r="A173" s="322"/>
      <c r="B173" s="34" t="s">
        <v>17</v>
      </c>
      <c r="C173" s="35"/>
      <c r="D173" s="35"/>
      <c r="E173" s="35"/>
      <c r="F173" s="324"/>
      <c r="H173" s="322"/>
      <c r="I173" s="34" t="s">
        <v>17</v>
      </c>
      <c r="J173" s="35"/>
      <c r="K173" s="35"/>
      <c r="L173" s="35"/>
      <c r="M173" s="324"/>
    </row>
    <row r="174">
      <c r="A174" s="322"/>
      <c r="B174" s="52" t="s">
        <v>42</v>
      </c>
      <c r="C174" s="54"/>
      <c r="D174" s="54"/>
      <c r="E174" s="56" t="s">
        <v>35</v>
      </c>
      <c r="F174" s="324"/>
      <c r="H174" s="322"/>
      <c r="I174" s="52" t="s">
        <v>42</v>
      </c>
      <c r="J174" s="54"/>
      <c r="K174" s="54"/>
      <c r="L174" s="56" t="s">
        <v>35</v>
      </c>
      <c r="M174" s="324"/>
    </row>
    <row r="175">
      <c r="A175" s="322"/>
      <c r="B175" s="60" t="s">
        <v>40</v>
      </c>
      <c r="C175" s="343">
        <f>'UTL COST'!$B$3</f>
        <v>369000</v>
      </c>
      <c r="D175" s="379">
        <f>'UTL COST'!$C$3</f>
        <v>0.0075</v>
      </c>
      <c r="E175" s="67">
        <f>'UTL COST'!$D$3</f>
        <v>2767.5</v>
      </c>
      <c r="F175" s="324"/>
      <c r="H175" s="322"/>
      <c r="I175" s="60" t="s">
        <v>40</v>
      </c>
      <c r="J175" s="343">
        <f>'UTL COST'!$B$3</f>
        <v>369000</v>
      </c>
      <c r="K175" s="379">
        <f>'UTL COST'!$C$3</f>
        <v>0.0075</v>
      </c>
      <c r="L175" s="67">
        <f>'UTL COST'!$D$3</f>
        <v>2767.5</v>
      </c>
      <c r="M175" s="324"/>
    </row>
    <row r="176">
      <c r="A176" s="322"/>
      <c r="B176" s="75" t="s">
        <v>51</v>
      </c>
      <c r="C176" s="371" t="str">
        <f>'UTL COST'!$B$4</f>
        <v>#REF!</v>
      </c>
      <c r="D176" s="382">
        <f>'UTL COST'!$C$4</f>
        <v>7000</v>
      </c>
      <c r="E176" s="67">
        <f>'UTL COST'!$D$3</f>
        <v>2767.5</v>
      </c>
      <c r="F176" s="324"/>
      <c r="H176" s="322"/>
      <c r="I176" s="75" t="s">
        <v>51</v>
      </c>
      <c r="J176" s="371" t="str">
        <f>'UTL COST'!$B$4</f>
        <v>#REF!</v>
      </c>
      <c r="K176" s="382">
        <f>'UTL COST'!$C$4</f>
        <v>7000</v>
      </c>
      <c r="L176" s="67">
        <f>'UTL COST'!$D$3</f>
        <v>2767.5</v>
      </c>
      <c r="M176" s="324"/>
    </row>
    <row r="177">
      <c r="A177" s="322"/>
      <c r="B177" s="75" t="s">
        <v>59</v>
      </c>
      <c r="C177" s="371" t="str">
        <f>'UTL COST'!$B$5</f>
        <v>#REF!</v>
      </c>
      <c r="D177" s="382">
        <f>'UTL COST'!$C$5</f>
        <v>45000</v>
      </c>
      <c r="E177" s="76" t="str">
        <f>'UTL COST'!$D$5</f>
        <v>#REF!</v>
      </c>
      <c r="F177" s="324"/>
      <c r="H177" s="322"/>
      <c r="I177" s="75" t="s">
        <v>59</v>
      </c>
      <c r="J177" s="371" t="str">
        <f>'UTL COST'!$B$5</f>
        <v>#REF!</v>
      </c>
      <c r="K177" s="382">
        <f>'UTL COST'!$C$5</f>
        <v>45000</v>
      </c>
      <c r="L177" s="76" t="str">
        <f>'UTL COST'!$D$5</f>
        <v>#REF!</v>
      </c>
      <c r="M177" s="324"/>
    </row>
    <row r="178">
      <c r="A178" s="322"/>
      <c r="B178" s="87" t="s">
        <v>78</v>
      </c>
      <c r="C178" s="371" t="str">
        <f>'UTL COST'!$B$6</f>
        <v>#REF!</v>
      </c>
      <c r="D178" s="383">
        <f>'UTL COST'!$C$6</f>
        <v>525</v>
      </c>
      <c r="E178" s="89">
        <v>0.1</v>
      </c>
      <c r="F178" s="324"/>
      <c r="H178" s="322"/>
      <c r="I178" s="87" t="s">
        <v>78</v>
      </c>
      <c r="J178" s="371" t="str">
        <f>'UTL COST'!$B$6</f>
        <v>#REF!</v>
      </c>
      <c r="K178" s="383">
        <f>'UTL COST'!$C$6</f>
        <v>525</v>
      </c>
      <c r="L178" s="89">
        <v>0.1</v>
      </c>
      <c r="M178" s="324"/>
    </row>
    <row r="179">
      <c r="A179" s="322"/>
      <c r="B179" s="34" t="s">
        <v>84</v>
      </c>
      <c r="C179" s="102"/>
      <c r="D179" s="102"/>
      <c r="E179" s="104" t="str">
        <f>IF(SUM(E175:E178)=0,"",SUM(E175:E178))</f>
        <v>#REF!</v>
      </c>
      <c r="F179" s="324"/>
      <c r="H179" s="322"/>
      <c r="I179" s="34" t="s">
        <v>84</v>
      </c>
      <c r="J179" s="102"/>
      <c r="K179" s="102"/>
      <c r="L179" s="104" t="str">
        <f>IF(SUM(L175:L178)=0,"",SUM(L175:L178))</f>
        <v>#REF!</v>
      </c>
      <c r="M179" s="324"/>
    </row>
    <row r="180">
      <c r="A180" s="322"/>
      <c r="B180" s="360"/>
      <c r="C180" s="360"/>
      <c r="D180" s="360"/>
      <c r="E180" s="361"/>
      <c r="F180" s="324"/>
      <c r="H180" s="322"/>
      <c r="I180" s="360"/>
      <c r="J180" s="360"/>
      <c r="K180" s="360"/>
      <c r="L180" s="361"/>
      <c r="M180" s="324"/>
    </row>
    <row r="182">
      <c r="A182" s="322"/>
      <c r="B182" s="322"/>
      <c r="C182" s="322"/>
      <c r="D182" s="322"/>
      <c r="E182" s="323"/>
      <c r="F182" s="324"/>
    </row>
    <row r="183">
      <c r="A183" s="322"/>
      <c r="B183" s="325"/>
      <c r="C183" s="322"/>
      <c r="D183" s="322"/>
      <c r="E183" s="323"/>
      <c r="F183" s="326"/>
    </row>
    <row r="184">
      <c r="A184" s="322"/>
      <c r="B184" s="327" t="s">
        <v>931</v>
      </c>
      <c r="C184" s="330" t="s">
        <v>979</v>
      </c>
      <c r="D184" s="329"/>
      <c r="E184" s="323"/>
      <c r="F184" s="326"/>
    </row>
    <row r="185">
      <c r="A185" s="322"/>
      <c r="B185" s="325"/>
      <c r="C185" s="322"/>
      <c r="D185" s="322"/>
      <c r="E185" s="323"/>
      <c r="F185" s="326"/>
    </row>
    <row r="186">
      <c r="A186" s="322"/>
      <c r="B186" s="327" t="s">
        <v>935</v>
      </c>
      <c r="C186" s="331">
        <v>85000.0</v>
      </c>
      <c r="D186" s="329"/>
      <c r="E186" s="323"/>
      <c r="F186" s="326"/>
    </row>
    <row r="187">
      <c r="A187" s="322"/>
      <c r="B187" s="327"/>
      <c r="C187" s="332"/>
      <c r="D187" s="332"/>
      <c r="E187" s="323"/>
      <c r="F187" s="326"/>
    </row>
    <row r="188">
      <c r="A188" s="322"/>
      <c r="B188" s="327" t="s">
        <v>939</v>
      </c>
      <c r="C188" s="333" t="str">
        <f>IF(SUM(E200,E215,E223)=0,"",SUM(E200,E215,E223))</f>
        <v>#REF!</v>
      </c>
      <c r="D188" s="321"/>
      <c r="E188" s="323" t="str">
        <f>C188/90000</f>
        <v>#REF!</v>
      </c>
      <c r="F188" s="326"/>
    </row>
    <row r="189">
      <c r="A189" s="322"/>
      <c r="B189" s="327"/>
      <c r="C189" s="334"/>
      <c r="D189" s="334"/>
      <c r="E189" s="323"/>
      <c r="F189" s="326"/>
    </row>
    <row r="190">
      <c r="A190" s="322"/>
      <c r="B190" s="327" t="s">
        <v>946</v>
      </c>
      <c r="C190" s="335" t="str">
        <f>IF(C188="","",IF(ISBLANK(C186),"",C188/C186))</f>
        <v>#REF!</v>
      </c>
      <c r="D190" s="321"/>
      <c r="E190" s="323"/>
      <c r="F190" s="326"/>
    </row>
    <row r="191">
      <c r="A191" s="322"/>
      <c r="B191" s="327"/>
      <c r="C191" s="334"/>
      <c r="D191" s="334"/>
      <c r="E191" s="323"/>
      <c r="F191" s="326"/>
    </row>
    <row r="192">
      <c r="A192" s="322"/>
      <c r="B192" s="327" t="s">
        <v>950</v>
      </c>
      <c r="C192" s="333" t="str">
        <f>C186-C188</f>
        <v>#REF!</v>
      </c>
      <c r="D192" s="321"/>
      <c r="E192" s="323"/>
      <c r="F192" s="326"/>
    </row>
    <row r="193">
      <c r="A193" s="322"/>
      <c r="B193" s="322"/>
      <c r="C193" s="322"/>
      <c r="D193" s="322"/>
      <c r="E193" s="323"/>
      <c r="F193" s="324"/>
    </row>
    <row r="194">
      <c r="A194" s="322"/>
      <c r="B194" s="322"/>
      <c r="C194" s="322"/>
      <c r="D194" s="322"/>
      <c r="E194" s="337"/>
      <c r="F194" s="324"/>
    </row>
    <row r="195">
      <c r="A195" s="322"/>
      <c r="B195" s="338" t="s">
        <v>951</v>
      </c>
      <c r="C195" s="339"/>
      <c r="D195" s="339"/>
      <c r="E195" s="339"/>
      <c r="F195" s="324"/>
    </row>
    <row r="196">
      <c r="A196" s="322"/>
      <c r="B196" s="340" t="s">
        <v>953</v>
      </c>
      <c r="C196" s="341" t="s">
        <v>954</v>
      </c>
      <c r="D196" s="341" t="s">
        <v>955</v>
      </c>
      <c r="E196" s="341" t="s">
        <v>35</v>
      </c>
      <c r="F196" s="324"/>
    </row>
    <row r="197">
      <c r="A197" s="322"/>
      <c r="B197" s="139" t="s">
        <v>1015</v>
      </c>
      <c r="C197" s="344">
        <v>1.0</v>
      </c>
      <c r="D197" s="403">
        <f>0.27*90000</f>
        <v>24300</v>
      </c>
      <c r="E197" s="67">
        <f t="shared" ref="E197:E199" si="15">IF(OR(ISBLANK(C197),ISBLANK(D197)),"",D197*C197)</f>
        <v>24300</v>
      </c>
      <c r="F197" s="324"/>
    </row>
    <row r="198">
      <c r="A198" s="322"/>
      <c r="B198" s="350" t="s">
        <v>114</v>
      </c>
      <c r="C198" s="351">
        <v>0.05</v>
      </c>
      <c r="D198" s="352">
        <f>'F&amp;B'!F249/4</f>
        <v>12825</v>
      </c>
      <c r="E198" s="67">
        <f t="shared" si="15"/>
        <v>641.25</v>
      </c>
      <c r="F198" s="324"/>
    </row>
    <row r="199">
      <c r="A199" s="322"/>
      <c r="B199" s="406" t="s">
        <v>994</v>
      </c>
      <c r="C199" s="407">
        <v>1.0</v>
      </c>
      <c r="D199" s="408">
        <f>(4.75*90000)/12</f>
        <v>35625</v>
      </c>
      <c r="E199" s="67">
        <f t="shared" si="15"/>
        <v>35625</v>
      </c>
      <c r="F199" s="324"/>
    </row>
    <row r="200">
      <c r="A200" s="322"/>
      <c r="B200" s="338" t="s">
        <v>84</v>
      </c>
      <c r="C200" s="358"/>
      <c r="D200" s="358"/>
      <c r="E200" s="359">
        <f>IF(SUM(E197:E199)=0,"",SUM(E197:E199))</f>
        <v>60566.25</v>
      </c>
      <c r="F200" s="324"/>
    </row>
    <row r="201">
      <c r="A201" s="322"/>
      <c r="B201" s="360"/>
      <c r="C201" s="360"/>
      <c r="D201" s="360"/>
      <c r="E201" s="361"/>
      <c r="F201" s="324"/>
    </row>
    <row r="202">
      <c r="A202" s="322"/>
      <c r="B202" s="362" t="s">
        <v>972</v>
      </c>
      <c r="C202" s="363"/>
      <c r="D202" s="363"/>
      <c r="E202" s="363"/>
      <c r="F202" s="324"/>
    </row>
    <row r="203">
      <c r="A203" s="322"/>
      <c r="B203" s="365" t="s">
        <v>953</v>
      </c>
      <c r="C203" s="366" t="s">
        <v>3</v>
      </c>
      <c r="D203" s="366" t="s">
        <v>975</v>
      </c>
      <c r="E203" s="367" t="s">
        <v>35</v>
      </c>
      <c r="F203" s="324"/>
    </row>
    <row r="204">
      <c r="A204" s="322"/>
      <c r="B204" s="368"/>
      <c r="C204" s="366"/>
      <c r="D204" s="366"/>
      <c r="E204" s="368"/>
      <c r="F204" s="324"/>
    </row>
    <row r="205">
      <c r="A205" s="322"/>
      <c r="B205" s="419" t="s">
        <v>33</v>
      </c>
      <c r="C205" s="424">
        <v>0.2</v>
      </c>
      <c r="D205" s="421">
        <f>'F&amp;B'!$F$235</f>
        <v>47250</v>
      </c>
      <c r="E205" s="425">
        <f>IF(OR(ISBLANK(C205),ISBLANK(D205)),"",D205*C205)</f>
        <v>9450</v>
      </c>
      <c r="F205" s="324"/>
    </row>
    <row r="206">
      <c r="A206" s="322"/>
      <c r="B206" s="228"/>
      <c r="C206" s="405"/>
      <c r="D206" s="371"/>
      <c r="E206" s="67"/>
      <c r="F206" s="324"/>
    </row>
    <row r="207">
      <c r="A207" s="322"/>
      <c r="B207" s="350"/>
      <c r="C207" s="351"/>
      <c r="D207" s="352"/>
      <c r="E207" s="353" t="str">
        <f>IF(OR(ISBLANK(C207),ISBLANK(D207)),"",D207*C207)</f>
        <v/>
      </c>
      <c r="F207" s="324"/>
    </row>
    <row r="208">
      <c r="A208" s="322"/>
      <c r="B208" s="75"/>
      <c r="C208" s="346"/>
      <c r="D208" s="371"/>
      <c r="E208" s="67">
        <f t="shared" ref="E208:E214" si="16">D208*C208</f>
        <v>0</v>
      </c>
      <c r="F208" s="324"/>
    </row>
    <row r="209">
      <c r="A209" s="322"/>
      <c r="B209" s="75"/>
      <c r="C209" s="346"/>
      <c r="D209" s="371"/>
      <c r="E209" s="67">
        <f t="shared" si="16"/>
        <v>0</v>
      </c>
      <c r="F209" s="324"/>
    </row>
    <row r="210">
      <c r="A210" s="322"/>
      <c r="B210" s="75"/>
      <c r="C210" s="346"/>
      <c r="D210" s="373"/>
      <c r="E210" s="67">
        <f t="shared" si="16"/>
        <v>0</v>
      </c>
      <c r="F210" s="324"/>
    </row>
    <row r="211">
      <c r="A211" s="322"/>
      <c r="B211" s="348"/>
      <c r="C211" s="346"/>
      <c r="D211" s="373"/>
      <c r="E211" s="67">
        <f t="shared" si="16"/>
        <v>0</v>
      </c>
      <c r="F211" s="324"/>
    </row>
    <row r="212">
      <c r="A212" s="322"/>
      <c r="B212" s="348"/>
      <c r="C212" s="346"/>
      <c r="D212" s="373"/>
      <c r="E212" s="67">
        <f t="shared" si="16"/>
        <v>0</v>
      </c>
      <c r="F212" s="324"/>
    </row>
    <row r="213">
      <c r="A213" s="322"/>
      <c r="B213" s="348"/>
      <c r="C213" s="346"/>
      <c r="D213" s="373"/>
      <c r="E213" s="67">
        <f t="shared" si="16"/>
        <v>0</v>
      </c>
      <c r="F213" s="324"/>
    </row>
    <row r="214">
      <c r="A214" s="322"/>
      <c r="B214" s="354"/>
      <c r="C214" s="355"/>
      <c r="D214" s="356"/>
      <c r="E214" s="67">
        <f t="shared" si="16"/>
        <v>0</v>
      </c>
      <c r="F214" s="324"/>
    </row>
    <row r="215">
      <c r="A215" s="322"/>
      <c r="B215" s="362" t="s">
        <v>84</v>
      </c>
      <c r="C215" s="374"/>
      <c r="D215" s="374"/>
      <c r="E215" s="375">
        <f>IF(SUM(E205:E214)=0,"",SUM(E205:E214))</f>
        <v>9450</v>
      </c>
      <c r="F215" s="324"/>
    </row>
    <row r="216">
      <c r="A216" s="322"/>
      <c r="B216" s="360"/>
      <c r="C216" s="360"/>
      <c r="D216" s="360"/>
      <c r="E216" s="361"/>
      <c r="F216" s="324"/>
    </row>
    <row r="217">
      <c r="A217" s="322"/>
      <c r="B217" s="34" t="s">
        <v>17</v>
      </c>
      <c r="C217" s="35"/>
      <c r="D217" s="35"/>
      <c r="E217" s="35"/>
      <c r="F217" s="324"/>
    </row>
    <row r="218">
      <c r="A218" s="322"/>
      <c r="B218" s="52" t="s">
        <v>42</v>
      </c>
      <c r="C218" s="54"/>
      <c r="D218" s="54"/>
      <c r="E218" s="56" t="s">
        <v>35</v>
      </c>
      <c r="F218" s="324"/>
    </row>
    <row r="219">
      <c r="A219" s="322"/>
      <c r="B219" s="60" t="s">
        <v>40</v>
      </c>
      <c r="C219" s="343">
        <f>'UTL COST'!$B$3</f>
        <v>369000</v>
      </c>
      <c r="D219" s="379">
        <f>'UTL COST'!$C$3</f>
        <v>0.0075</v>
      </c>
      <c r="E219" s="67">
        <f>'UTL COST'!$D$3</f>
        <v>2767.5</v>
      </c>
      <c r="F219" s="324"/>
    </row>
    <row r="220">
      <c r="A220" s="322"/>
      <c r="B220" s="75" t="s">
        <v>51</v>
      </c>
      <c r="C220" s="371" t="str">
        <f>'UTL COST'!$B$4</f>
        <v>#REF!</v>
      </c>
      <c r="D220" s="382">
        <f>'UTL COST'!$C$4</f>
        <v>7000</v>
      </c>
      <c r="E220" s="67">
        <f>'UTL COST'!$D$3</f>
        <v>2767.5</v>
      </c>
      <c r="F220" s="324"/>
    </row>
    <row r="221">
      <c r="A221" s="322"/>
      <c r="B221" s="75" t="s">
        <v>59</v>
      </c>
      <c r="C221" s="371" t="str">
        <f>'UTL COST'!$B$5</f>
        <v>#REF!</v>
      </c>
      <c r="D221" s="382">
        <f>'UTL COST'!$C$5</f>
        <v>45000</v>
      </c>
      <c r="E221" s="76" t="str">
        <f>'UTL COST'!$D$5</f>
        <v>#REF!</v>
      </c>
      <c r="F221" s="324"/>
    </row>
    <row r="222">
      <c r="A222" s="322"/>
      <c r="B222" s="87" t="s">
        <v>78</v>
      </c>
      <c r="C222" s="371" t="str">
        <f>'UTL COST'!$B$6</f>
        <v>#REF!</v>
      </c>
      <c r="D222" s="383">
        <f>'UTL COST'!$C$6</f>
        <v>525</v>
      </c>
      <c r="E222" s="89">
        <v>0.1</v>
      </c>
      <c r="F222" s="324"/>
    </row>
    <row r="223">
      <c r="A223" s="322"/>
      <c r="B223" s="34" t="s">
        <v>84</v>
      </c>
      <c r="C223" s="102"/>
      <c r="D223" s="102"/>
      <c r="E223" s="104" t="str">
        <f>IF(SUM(E219:E222)=0,"",SUM(E219:E222))</f>
        <v>#REF!</v>
      </c>
      <c r="F223" s="324"/>
    </row>
    <row r="224">
      <c r="A224" s="322"/>
      <c r="B224" s="360"/>
      <c r="C224" s="360"/>
      <c r="D224" s="360"/>
      <c r="E224" s="361"/>
      <c r="F224" s="324"/>
    </row>
  </sheetData>
  <mergeCells count="64">
    <mergeCell ref="B114:B115"/>
    <mergeCell ref="E114:E115"/>
    <mergeCell ref="I114:I115"/>
    <mergeCell ref="L114:L115"/>
    <mergeCell ref="C140:D140"/>
    <mergeCell ref="J140:K140"/>
    <mergeCell ref="J142:K142"/>
    <mergeCell ref="C142:D142"/>
    <mergeCell ref="C144:D144"/>
    <mergeCell ref="J144:K144"/>
    <mergeCell ref="C146:D146"/>
    <mergeCell ref="J146:K146"/>
    <mergeCell ref="C148:D148"/>
    <mergeCell ref="J148:K148"/>
    <mergeCell ref="A1:F1"/>
    <mergeCell ref="J4:K4"/>
    <mergeCell ref="C5:D5"/>
    <mergeCell ref="J6:K6"/>
    <mergeCell ref="C7:D7"/>
    <mergeCell ref="J8:K8"/>
    <mergeCell ref="J10:K10"/>
    <mergeCell ref="J12:K12"/>
    <mergeCell ref="C9:D9"/>
    <mergeCell ref="C11:D11"/>
    <mergeCell ref="C13:D13"/>
    <mergeCell ref="I23:I24"/>
    <mergeCell ref="L23:L24"/>
    <mergeCell ref="B24:B25"/>
    <mergeCell ref="E24:E25"/>
    <mergeCell ref="C50:D50"/>
    <mergeCell ref="J50:K50"/>
    <mergeCell ref="C52:D52"/>
    <mergeCell ref="J52:K52"/>
    <mergeCell ref="C54:D54"/>
    <mergeCell ref="J54:K54"/>
    <mergeCell ref="J56:K56"/>
    <mergeCell ref="J58:K58"/>
    <mergeCell ref="C56:D56"/>
    <mergeCell ref="C58:D58"/>
    <mergeCell ref="B69:B70"/>
    <mergeCell ref="E69:E70"/>
    <mergeCell ref="I69:I70"/>
    <mergeCell ref="L69:L70"/>
    <mergeCell ref="J95:K95"/>
    <mergeCell ref="J101:K101"/>
    <mergeCell ref="J103:K103"/>
    <mergeCell ref="C95:D95"/>
    <mergeCell ref="C97:D97"/>
    <mergeCell ref="J97:K97"/>
    <mergeCell ref="C99:D99"/>
    <mergeCell ref="J99:K99"/>
    <mergeCell ref="C101:D101"/>
    <mergeCell ref="C103:D103"/>
    <mergeCell ref="C190:D190"/>
    <mergeCell ref="C192:D192"/>
    <mergeCell ref="B203:B204"/>
    <mergeCell ref="E203:E204"/>
    <mergeCell ref="B159:B160"/>
    <mergeCell ref="E159:E160"/>
    <mergeCell ref="I159:I160"/>
    <mergeCell ref="L159:L160"/>
    <mergeCell ref="C184:D184"/>
    <mergeCell ref="C186:D186"/>
    <mergeCell ref="C188:D188"/>
  </mergeCells>
  <printOptions horizontalCentered="1"/>
  <pageMargins bottom="0.75" footer="0.0" header="0.0" left="0.7" right="0.7" top="0.75"/>
  <pageSetup fitToHeight="0" cellComments="atEnd" orientation="portrait" pageOrder="overThenDown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7.63"/>
    <col customWidth="1" min="3" max="3" width="10.38"/>
    <col customWidth="1" min="4" max="4" width="11.13"/>
    <col customWidth="1" min="5" max="5" width="11.25"/>
    <col customWidth="1" min="6" max="6" width="8.88"/>
    <col customWidth="1" min="7" max="7" width="11.38"/>
    <col customWidth="1" min="8" max="8" width="8.88"/>
    <col customWidth="1" min="9" max="9" width="15.88"/>
    <col customWidth="1" min="10" max="10" width="8.88"/>
    <col customWidth="1" min="11" max="11" width="7.0"/>
    <col customWidth="1" min="12" max="14" width="8.88"/>
    <col customWidth="1" min="15" max="26" width="14.38"/>
  </cols>
  <sheetData>
    <row r="1">
      <c r="A1" s="376">
        <v>19.0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>
      <c r="A2" s="377" t="s">
        <v>981</v>
      </c>
      <c r="B2" s="377" t="s">
        <v>3</v>
      </c>
      <c r="C2" s="377" t="s">
        <v>25</v>
      </c>
      <c r="D2" s="377" t="s">
        <v>39</v>
      </c>
      <c r="E2" s="32"/>
      <c r="F2" s="377" t="s">
        <v>3</v>
      </c>
      <c r="G2" s="377" t="s">
        <v>983</v>
      </c>
      <c r="H2" s="32"/>
      <c r="I2" s="377" t="s">
        <v>984</v>
      </c>
      <c r="J2" s="377" t="s">
        <v>3</v>
      </c>
      <c r="K2" s="377" t="s">
        <v>985</v>
      </c>
      <c r="L2" s="377" t="s">
        <v>39</v>
      </c>
      <c r="M2" s="32"/>
      <c r="N2" s="32"/>
    </row>
    <row r="3">
      <c r="A3" s="378" t="s">
        <v>987</v>
      </c>
      <c r="B3" s="20">
        <v>8.0</v>
      </c>
      <c r="C3" s="293" t="str">
        <f t="shared" ref="C3:C4" si="1">#REF!</f>
        <v>#REF!</v>
      </c>
      <c r="D3" s="293" t="str">
        <f t="shared" ref="D3:D10" si="2">B3*C3</f>
        <v>#REF!</v>
      </c>
      <c r="E3" s="293"/>
      <c r="F3" s="32">
        <v>1.0</v>
      </c>
      <c r="G3" s="293" t="str">
        <f t="shared" ref="G3:G5" si="3">D3*F3</f>
        <v>#REF!</v>
      </c>
      <c r="H3" s="32"/>
      <c r="I3" s="32" t="s">
        <v>989</v>
      </c>
      <c r="J3" s="32">
        <v>0.12</v>
      </c>
      <c r="K3" s="293">
        <f>'F&amp;B'!$E$223</f>
        <v>15.88</v>
      </c>
      <c r="L3" s="293">
        <f t="shared" ref="L3:L8" si="4">J3*K3</f>
        <v>1.9056</v>
      </c>
      <c r="M3" s="32"/>
      <c r="N3" s="32"/>
    </row>
    <row r="4">
      <c r="A4" s="378" t="s">
        <v>993</v>
      </c>
      <c r="B4" s="20">
        <v>8.0</v>
      </c>
      <c r="C4" s="293" t="str">
        <f t="shared" si="1"/>
        <v>#REF!</v>
      </c>
      <c r="D4" s="293" t="str">
        <f t="shared" si="2"/>
        <v>#REF!</v>
      </c>
      <c r="E4" s="293"/>
      <c r="F4" s="32">
        <v>1.0</v>
      </c>
      <c r="G4" s="293" t="str">
        <f t="shared" si="3"/>
        <v>#REF!</v>
      </c>
      <c r="H4" s="32"/>
      <c r="I4" s="32" t="s">
        <v>994</v>
      </c>
      <c r="J4" s="32">
        <f>0.16*10</f>
        <v>1.6</v>
      </c>
      <c r="K4" s="293">
        <f>'F&amp;B'!$E$229</f>
        <v>9</v>
      </c>
      <c r="L4" s="293">
        <f t="shared" si="4"/>
        <v>14.4</v>
      </c>
      <c r="M4" s="32"/>
      <c r="N4" s="32"/>
    </row>
    <row r="5">
      <c r="A5" s="378" t="s">
        <v>995</v>
      </c>
      <c r="B5" s="20">
        <v>50.0</v>
      </c>
      <c r="C5" s="293" t="str">
        <f>#REF!/4</f>
        <v>#REF!</v>
      </c>
      <c r="D5" s="293" t="str">
        <f t="shared" si="2"/>
        <v>#REF!</v>
      </c>
      <c r="E5" s="293"/>
      <c r="F5" s="20">
        <v>50.0</v>
      </c>
      <c r="G5" s="293" t="str">
        <f t="shared" si="3"/>
        <v>#REF!</v>
      </c>
      <c r="H5" s="32"/>
      <c r="I5" s="32" t="s">
        <v>996</v>
      </c>
      <c r="J5" s="32">
        <v>0.12</v>
      </c>
      <c r="K5" s="293">
        <f>'F&amp;B'!$E$85</f>
        <v>14.35</v>
      </c>
      <c r="L5" s="293">
        <f t="shared" si="4"/>
        <v>1.722</v>
      </c>
      <c r="M5" s="32"/>
      <c r="N5" s="32"/>
    </row>
    <row r="6">
      <c r="A6" s="32" t="s">
        <v>997</v>
      </c>
      <c r="B6" s="20">
        <v>50.0</v>
      </c>
      <c r="C6" s="293" t="str">
        <f>L10</f>
        <v>#REF!</v>
      </c>
      <c r="D6" s="293" t="str">
        <f t="shared" si="2"/>
        <v>#REF!</v>
      </c>
      <c r="E6" s="293" t="str">
        <f>L11</f>
        <v>#REF!</v>
      </c>
      <c r="F6" s="20">
        <v>50.0</v>
      </c>
      <c r="G6" s="293" t="str">
        <f t="shared" ref="G6:G7" si="5">F6*E6</f>
        <v>#REF!</v>
      </c>
      <c r="H6" s="32"/>
      <c r="I6" s="32" t="s">
        <v>998</v>
      </c>
      <c r="J6" s="32">
        <v>40.0</v>
      </c>
      <c r="K6" s="293">
        <f>1.45/6</f>
        <v>0.2416666667</v>
      </c>
      <c r="L6" s="293">
        <f t="shared" si="4"/>
        <v>9.666666667</v>
      </c>
      <c r="M6" s="32"/>
      <c r="N6" s="32"/>
    </row>
    <row r="7">
      <c r="A7" s="32" t="s">
        <v>999</v>
      </c>
      <c r="B7" s="20"/>
      <c r="C7" s="293" t="str">
        <f>#REF!/5</f>
        <v>#REF!</v>
      </c>
      <c r="D7" s="293" t="str">
        <f t="shared" si="2"/>
        <v>#REF!</v>
      </c>
      <c r="E7" s="293">
        <v>0.7</v>
      </c>
      <c r="F7" s="20">
        <v>50.0</v>
      </c>
      <c r="G7" s="293">
        <f t="shared" si="5"/>
        <v>35</v>
      </c>
      <c r="H7" s="32"/>
      <c r="I7" s="32" t="s">
        <v>1000</v>
      </c>
      <c r="J7" s="32">
        <v>0.75</v>
      </c>
      <c r="K7" s="293">
        <f>'F&amp;B'!$E$277</f>
        <v>1.5</v>
      </c>
      <c r="L7" s="293">
        <f t="shared" si="4"/>
        <v>1.125</v>
      </c>
      <c r="M7" s="32"/>
      <c r="N7" s="32"/>
    </row>
    <row r="8">
      <c r="A8" s="32" t="s">
        <v>1001</v>
      </c>
      <c r="B8" s="20">
        <v>75.0</v>
      </c>
      <c r="C8" s="293" t="str">
        <f>M29</f>
        <v>#REF!</v>
      </c>
      <c r="D8" s="293" t="str">
        <f t="shared" si="2"/>
        <v>#REF!</v>
      </c>
      <c r="E8" s="293">
        <v>2.25</v>
      </c>
      <c r="F8" s="20">
        <v>50.0</v>
      </c>
      <c r="G8" s="293" t="str">
        <f t="shared" ref="G8:G9" si="6">D8*F8</f>
        <v>#REF!</v>
      </c>
      <c r="H8" s="32"/>
      <c r="I8" s="384" t="s">
        <v>544</v>
      </c>
      <c r="J8" s="384">
        <v>0.2</v>
      </c>
      <c r="K8" s="385" t="str">
        <f>SAUCES!$D$122/#REF!</f>
        <v>#REF!</v>
      </c>
      <c r="L8" s="385" t="str">
        <f t="shared" si="4"/>
        <v>#REF!</v>
      </c>
      <c r="M8" s="32"/>
      <c r="N8" s="32"/>
    </row>
    <row r="9">
      <c r="A9" s="32" t="s">
        <v>1002</v>
      </c>
      <c r="B9" s="20">
        <v>6.0</v>
      </c>
      <c r="C9" s="293" t="str">
        <f>#REF!</f>
        <v>#REF!</v>
      </c>
      <c r="D9" s="293" t="str">
        <f t="shared" si="2"/>
        <v>#REF!</v>
      </c>
      <c r="E9" s="293"/>
      <c r="F9" s="20">
        <v>8.0</v>
      </c>
      <c r="G9" s="293" t="str">
        <f t="shared" si="6"/>
        <v>#REF!</v>
      </c>
      <c r="H9" s="32"/>
      <c r="I9" s="32"/>
      <c r="J9" s="32"/>
      <c r="K9" s="286">
        <v>40.0</v>
      </c>
      <c r="L9" s="293" t="str">
        <f>SUM(L3:L8)</f>
        <v>#REF!</v>
      </c>
      <c r="M9" s="32"/>
      <c r="N9" s="32"/>
    </row>
    <row r="10">
      <c r="A10" s="32" t="s">
        <v>1005</v>
      </c>
      <c r="B10" s="20">
        <v>50.0</v>
      </c>
      <c r="C10" s="293" t="str">
        <f>#REF!/9</f>
        <v>#REF!</v>
      </c>
      <c r="D10" s="293" t="str">
        <f t="shared" si="2"/>
        <v>#REF!</v>
      </c>
      <c r="E10" s="293">
        <v>0.8</v>
      </c>
      <c r="F10" s="20">
        <v>50.0</v>
      </c>
      <c r="G10" s="293">
        <f>E10*F10</f>
        <v>40</v>
      </c>
      <c r="H10" s="32"/>
      <c r="I10" s="32"/>
      <c r="J10" s="32"/>
      <c r="K10" s="32"/>
      <c r="L10" s="390" t="str">
        <f>L9/K9</f>
        <v>#REF!</v>
      </c>
      <c r="M10" s="32"/>
      <c r="N10" s="32"/>
    </row>
    <row r="11">
      <c r="A11" s="32"/>
      <c r="B11" s="32"/>
      <c r="C11" s="392"/>
      <c r="D11" s="390" t="str">
        <f>SUM(D3:D10)</f>
        <v>#REF!</v>
      </c>
      <c r="E11" s="32"/>
      <c r="F11" s="32"/>
      <c r="G11" s="393" t="str">
        <f>SUM(G3:G10)</f>
        <v>#REF!</v>
      </c>
      <c r="H11" s="32"/>
      <c r="I11" s="32"/>
      <c r="J11" s="32"/>
      <c r="K11" s="32"/>
      <c r="L11" s="293" t="str">
        <f>L10*3</f>
        <v>#REF!</v>
      </c>
      <c r="M11" s="32"/>
      <c r="N11" s="32"/>
    </row>
    <row r="12">
      <c r="A12" s="20" t="s">
        <v>1007</v>
      </c>
      <c r="B12" s="20">
        <v>8.0</v>
      </c>
      <c r="C12" s="32" t="str">
        <f t="shared" ref="C12:C13" si="7">#REF!</f>
        <v>#REF!</v>
      </c>
      <c r="D12" s="293" t="str">
        <f t="shared" ref="D12:D16" si="8">B12*C12</f>
        <v>#REF!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</row>
    <row r="13">
      <c r="A13" s="20" t="s">
        <v>916</v>
      </c>
      <c r="B13" s="20">
        <v>8.0</v>
      </c>
      <c r="C13" s="32" t="str">
        <f t="shared" si="7"/>
        <v>#REF!</v>
      </c>
      <c r="D13" s="293" t="str">
        <f t="shared" si="8"/>
        <v>#REF!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</row>
    <row r="14">
      <c r="A14" s="20" t="s">
        <v>948</v>
      </c>
      <c r="B14" s="20">
        <v>10.0</v>
      </c>
      <c r="C14" s="229">
        <f>200000/89000</f>
        <v>2.247191011</v>
      </c>
      <c r="D14" s="293">
        <f t="shared" si="8"/>
        <v>22.47191011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</row>
    <row r="15">
      <c r="A15" s="20" t="s">
        <v>672</v>
      </c>
      <c r="B15" s="20">
        <v>8.0</v>
      </c>
      <c r="C15" s="229" t="str">
        <f>#REF!</f>
        <v>#REF!</v>
      </c>
      <c r="D15" s="293" t="str">
        <f t="shared" si="8"/>
        <v>#REF!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</row>
    <row r="16">
      <c r="A16" s="20" t="s">
        <v>832</v>
      </c>
      <c r="B16" s="20">
        <v>15.0</v>
      </c>
      <c r="C16" s="395">
        <v>0.26</v>
      </c>
      <c r="D16" s="293">
        <f t="shared" si="8"/>
        <v>3.9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</row>
    <row r="17">
      <c r="A17" s="32"/>
      <c r="B17" s="32"/>
      <c r="D17" s="396" t="str">
        <f>SUM(D11:D16)</f>
        <v>#REF!</v>
      </c>
      <c r="N17" s="32"/>
    </row>
    <row r="18">
      <c r="A18" s="32"/>
      <c r="B18" s="32">
        <f>18*50</f>
        <v>900</v>
      </c>
      <c r="D18" s="397" t="str">
        <f>D17/B18</f>
        <v>#REF!</v>
      </c>
      <c r="N18" s="32"/>
    </row>
    <row r="19">
      <c r="A19" s="32"/>
      <c r="B19" s="32"/>
      <c r="N19" s="32"/>
    </row>
    <row r="20">
      <c r="A20" s="32"/>
      <c r="B20" s="32"/>
      <c r="N20" s="32"/>
    </row>
    <row r="21">
      <c r="A21" s="32"/>
      <c r="B21" s="32"/>
      <c r="N21" s="32"/>
    </row>
    <row r="22">
      <c r="A22" s="32"/>
      <c r="B22" s="32"/>
      <c r="D22" s="32"/>
      <c r="E22" s="32"/>
      <c r="F22" s="32"/>
      <c r="G22" s="32"/>
      <c r="H22" s="32"/>
      <c r="I22" s="32"/>
      <c r="J22" s="377" t="s">
        <v>1010</v>
      </c>
      <c r="K22" s="377" t="s">
        <v>3</v>
      </c>
      <c r="L22" s="377" t="s">
        <v>985</v>
      </c>
      <c r="M22" s="377" t="s">
        <v>39</v>
      </c>
      <c r="N22" s="32"/>
    </row>
    <row r="23">
      <c r="A23" s="32"/>
      <c r="B23" s="32"/>
      <c r="D23" s="32"/>
      <c r="E23" s="32">
        <v>250.0</v>
      </c>
      <c r="F23" s="32">
        <v>310.0</v>
      </c>
      <c r="G23" s="32">
        <v>390.0</v>
      </c>
      <c r="H23" s="32"/>
      <c r="I23" s="32"/>
      <c r="J23" s="32" t="s">
        <v>1011</v>
      </c>
      <c r="K23" s="32">
        <v>1.0</v>
      </c>
      <c r="L23" s="293">
        <v>0.8</v>
      </c>
      <c r="M23" s="293">
        <f t="shared" ref="M23:M25" si="9">K23*L23</f>
        <v>0.8</v>
      </c>
      <c r="N23" s="32"/>
    </row>
    <row r="24" ht="15.75" customHeight="1">
      <c r="A24" s="32"/>
      <c r="B24" s="32"/>
      <c r="D24" s="32"/>
      <c r="E24" s="32" t="s">
        <v>1012</v>
      </c>
      <c r="F24" s="32" t="s">
        <v>1013</v>
      </c>
      <c r="G24" s="32" t="s">
        <v>1014</v>
      </c>
      <c r="H24" s="32"/>
      <c r="I24" s="32"/>
      <c r="J24" s="32" t="s">
        <v>1015</v>
      </c>
      <c r="K24" s="32">
        <v>1.0</v>
      </c>
      <c r="L24" s="293">
        <f>2.1/12</f>
        <v>0.175</v>
      </c>
      <c r="M24" s="293">
        <f t="shared" si="9"/>
        <v>0.175</v>
      </c>
      <c r="N24" s="32"/>
    </row>
    <row r="25" ht="15.75" customHeight="1">
      <c r="A25" s="32"/>
      <c r="B25" s="32"/>
      <c r="D25" s="32"/>
      <c r="E25" s="32"/>
      <c r="F25" s="32"/>
      <c r="G25" s="32"/>
      <c r="H25" s="32"/>
      <c r="I25" s="32"/>
      <c r="J25" s="32" t="s">
        <v>114</v>
      </c>
      <c r="K25" s="32">
        <v>0.002</v>
      </c>
      <c r="L25" s="293" t="str">
        <f>'F&amp;B'!F249/#REF!</f>
        <v>#REF!</v>
      </c>
      <c r="M25" s="293" t="str">
        <f t="shared" si="9"/>
        <v>#REF!</v>
      </c>
      <c r="N25" s="32"/>
    </row>
    <row r="26" ht="15.75" customHeight="1">
      <c r="A26" s="32"/>
      <c r="B26" s="32"/>
      <c r="D26" s="32"/>
      <c r="E26" s="32"/>
      <c r="F26" s="32"/>
      <c r="G26" s="32"/>
      <c r="H26" s="32"/>
      <c r="I26" s="32"/>
      <c r="J26" s="32"/>
      <c r="K26" s="32"/>
      <c r="L26" s="293"/>
      <c r="M26" s="293"/>
      <c r="N26" s="32"/>
    </row>
    <row r="27" ht="15.75" customHeight="1">
      <c r="A27" s="32"/>
      <c r="B27" s="32"/>
      <c r="D27" s="32"/>
      <c r="E27" s="32"/>
      <c r="F27" s="32"/>
      <c r="G27" s="32"/>
      <c r="H27" s="32"/>
      <c r="I27" s="32"/>
      <c r="J27" s="32"/>
      <c r="K27" s="32"/>
      <c r="L27" s="293"/>
      <c r="M27" s="293"/>
      <c r="N27" s="32"/>
    </row>
    <row r="28" ht="15.75" customHeight="1">
      <c r="A28" s="32"/>
      <c r="B28" s="32"/>
      <c r="D28" s="32"/>
      <c r="E28" s="32"/>
      <c r="F28" s="32"/>
      <c r="G28" s="32"/>
      <c r="H28" s="32"/>
      <c r="I28" s="32"/>
      <c r="J28" s="384"/>
      <c r="K28" s="384"/>
      <c r="L28" s="385"/>
      <c r="M28" s="385"/>
      <c r="N28" s="32"/>
    </row>
    <row r="29" ht="15.75" customHeight="1">
      <c r="A29" s="32"/>
      <c r="B29" s="32"/>
      <c r="D29" s="32"/>
      <c r="E29" s="32"/>
      <c r="F29" s="32"/>
      <c r="G29" s="32"/>
      <c r="H29" s="32"/>
      <c r="I29" s="32"/>
      <c r="J29" s="32"/>
      <c r="K29" s="32"/>
      <c r="L29" s="286">
        <v>1.0</v>
      </c>
      <c r="M29" s="293" t="str">
        <f>SUM(M23:M28)</f>
        <v>#REF!</v>
      </c>
      <c r="N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90" t="str">
        <f>M29/L29</f>
        <v>#REF!</v>
      </c>
      <c r="N30" s="293" t="str">
        <f>M30+0.13+0.5</f>
        <v>#REF!</v>
      </c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293" t="str">
        <f>M30*2</f>
        <v>#REF!</v>
      </c>
      <c r="N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P33" s="165" t="s">
        <v>12</v>
      </c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22.38"/>
    <col customWidth="1" min="7" max="7" width="4.88"/>
    <col customWidth="1" min="8" max="8" width="5.0"/>
    <col customWidth="1" min="10" max="10" width="15.63"/>
  </cols>
  <sheetData>
    <row r="1">
      <c r="A1" s="320" t="s">
        <v>1003</v>
      </c>
      <c r="B1" s="321"/>
      <c r="C1" s="321"/>
      <c r="D1" s="321"/>
      <c r="E1" s="321"/>
      <c r="F1" s="321"/>
      <c r="G1" s="386"/>
      <c r="H1" s="387"/>
      <c r="I1" s="387"/>
      <c r="J1" s="387"/>
      <c r="K1" s="387"/>
      <c r="L1" s="387"/>
      <c r="M1" s="387"/>
      <c r="N1" s="387"/>
    </row>
    <row r="2">
      <c r="A2" s="388"/>
      <c r="B2" s="388"/>
      <c r="C2" s="388"/>
      <c r="D2" s="388"/>
      <c r="E2" s="389"/>
      <c r="F2" s="387"/>
      <c r="G2" s="386"/>
      <c r="H2" s="387"/>
      <c r="I2" s="387"/>
      <c r="J2" s="387"/>
      <c r="K2" s="387"/>
      <c r="L2" s="387"/>
      <c r="M2" s="387"/>
      <c r="N2" s="387"/>
    </row>
    <row r="3">
      <c r="A3" s="388"/>
      <c r="B3" s="388"/>
      <c r="C3" s="388"/>
      <c r="D3" s="388"/>
      <c r="E3" s="389"/>
      <c r="F3" s="387"/>
      <c r="G3" s="386"/>
      <c r="H3" s="387"/>
      <c r="I3" s="387"/>
      <c r="J3" s="387"/>
      <c r="K3" s="387"/>
      <c r="L3" s="387"/>
      <c r="M3" s="387"/>
      <c r="N3" s="387"/>
    </row>
    <row r="4">
      <c r="A4" s="322"/>
      <c r="B4" s="322"/>
      <c r="C4" s="322"/>
      <c r="D4" s="322"/>
      <c r="E4" s="323"/>
      <c r="F4" s="324"/>
      <c r="G4" s="386"/>
      <c r="H4" s="388"/>
      <c r="I4" s="322"/>
      <c r="J4" s="322"/>
      <c r="K4" s="322"/>
      <c r="L4" s="322"/>
      <c r="M4" s="323"/>
      <c r="N4" s="324"/>
    </row>
    <row r="5">
      <c r="A5" s="322"/>
      <c r="B5" s="325"/>
      <c r="C5" s="322"/>
      <c r="D5" s="322"/>
      <c r="E5" s="323"/>
      <c r="F5" s="326"/>
      <c r="G5" s="391"/>
      <c r="H5" s="388"/>
      <c r="I5" s="322"/>
      <c r="J5" s="325"/>
      <c r="K5" s="322"/>
      <c r="L5" s="322"/>
      <c r="M5" s="323"/>
      <c r="N5" s="326"/>
    </row>
    <row r="6">
      <c r="A6" s="322"/>
      <c r="B6" s="327" t="s">
        <v>931</v>
      </c>
      <c r="C6" s="330" t="s">
        <v>1006</v>
      </c>
      <c r="D6" s="329"/>
      <c r="E6" s="323"/>
      <c r="F6" s="326"/>
      <c r="G6" s="391"/>
      <c r="H6" s="388"/>
      <c r="I6" s="322"/>
      <c r="J6" s="327" t="s">
        <v>931</v>
      </c>
      <c r="K6" s="330" t="s">
        <v>256</v>
      </c>
      <c r="L6" s="329"/>
      <c r="M6" s="323"/>
      <c r="N6" s="326"/>
    </row>
    <row r="7">
      <c r="A7" s="322"/>
      <c r="B7" s="325"/>
      <c r="C7" s="322"/>
      <c r="D7" s="322"/>
      <c r="E7" s="323"/>
      <c r="F7" s="326"/>
      <c r="G7" s="391"/>
      <c r="H7" s="388"/>
      <c r="I7" s="322"/>
      <c r="J7" s="325"/>
      <c r="K7" s="322"/>
      <c r="L7" s="322"/>
      <c r="M7" s="323"/>
      <c r="N7" s="326"/>
    </row>
    <row r="8">
      <c r="A8" s="322"/>
      <c r="B8" s="327" t="s">
        <v>935</v>
      </c>
      <c r="C8" s="331"/>
      <c r="D8" s="329"/>
      <c r="E8" s="323"/>
      <c r="F8" s="326"/>
      <c r="G8" s="391"/>
      <c r="H8" s="388"/>
      <c r="I8" s="322"/>
      <c r="J8" s="327" t="s">
        <v>935</v>
      </c>
      <c r="K8" s="331"/>
      <c r="L8" s="329"/>
      <c r="M8" s="323"/>
      <c r="N8" s="326"/>
    </row>
    <row r="9">
      <c r="A9" s="322"/>
      <c r="B9" s="327"/>
      <c r="C9" s="332"/>
      <c r="D9" s="332"/>
      <c r="E9" s="394" t="s">
        <v>1008</v>
      </c>
      <c r="F9" s="326"/>
      <c r="G9" s="391"/>
      <c r="H9" s="388"/>
      <c r="I9" s="322"/>
      <c r="J9" s="327"/>
      <c r="K9" s="332"/>
      <c r="L9" s="332"/>
      <c r="M9" s="323"/>
      <c r="N9" s="326"/>
    </row>
    <row r="10">
      <c r="A10" s="322"/>
      <c r="B10" s="327" t="s">
        <v>939</v>
      </c>
      <c r="C10" s="333" t="str">
        <f>IF(SUM(E22,E37,E45)=0,"",SUM(E22,E37,E45))</f>
        <v>#REF!</v>
      </c>
      <c r="D10" s="321"/>
      <c r="E10" s="333" t="str">
        <f>C10/18</f>
        <v>#REF!</v>
      </c>
      <c r="F10" s="321"/>
      <c r="G10" s="391"/>
      <c r="H10" s="388"/>
      <c r="I10" s="322"/>
      <c r="J10" s="327" t="s">
        <v>939</v>
      </c>
      <c r="K10" s="333">
        <f>IF(SUM(M22,M37,M45)=0,"",SUM(M22,M37,M45))</f>
        <v>7515.062993</v>
      </c>
      <c r="L10" s="321"/>
      <c r="M10" s="323"/>
      <c r="N10" s="326"/>
    </row>
    <row r="11">
      <c r="A11" s="322"/>
      <c r="B11" s="327"/>
      <c r="C11" s="334"/>
      <c r="D11" s="334"/>
      <c r="E11" s="323"/>
      <c r="F11" s="326"/>
      <c r="G11" s="391"/>
      <c r="H11" s="388"/>
      <c r="I11" s="322"/>
      <c r="J11" s="327"/>
      <c r="K11" s="334"/>
      <c r="L11" s="334"/>
      <c r="M11" s="323"/>
      <c r="N11" s="326"/>
    </row>
    <row r="12">
      <c r="A12" s="322"/>
      <c r="B12" s="327" t="s">
        <v>946</v>
      </c>
      <c r="C12" s="335" t="str">
        <f>IF(C10="","",IF(ISBLANK(C8),"",C10/C8))</f>
        <v>#REF!</v>
      </c>
      <c r="D12" s="321"/>
      <c r="E12" s="323"/>
      <c r="F12" s="326"/>
      <c r="G12" s="391"/>
      <c r="H12" s="388"/>
      <c r="I12" s="322"/>
      <c r="J12" s="327" t="s">
        <v>946</v>
      </c>
      <c r="K12" s="335" t="str">
        <f>IF(K10="","",IF(ISBLANK(K8),"",K10/K8))</f>
        <v/>
      </c>
      <c r="L12" s="321"/>
      <c r="M12" s="323"/>
      <c r="N12" s="326"/>
    </row>
    <row r="13">
      <c r="A13" s="322"/>
      <c r="B13" s="327"/>
      <c r="C13" s="334"/>
      <c r="D13" s="334"/>
      <c r="E13" s="323"/>
      <c r="F13" s="326"/>
      <c r="G13" s="391"/>
      <c r="H13" s="388"/>
      <c r="I13" s="322"/>
      <c r="J13" s="327"/>
      <c r="K13" s="334"/>
      <c r="L13" s="334"/>
      <c r="M13" s="323"/>
      <c r="N13" s="326"/>
    </row>
    <row r="14">
      <c r="A14" s="322"/>
      <c r="B14" s="327" t="s">
        <v>950</v>
      </c>
      <c r="C14" s="333" t="str">
        <f>C8-C10</f>
        <v>#REF!</v>
      </c>
      <c r="D14" s="321"/>
      <c r="E14" s="323"/>
      <c r="F14" s="326"/>
      <c r="G14" s="391"/>
      <c r="H14" s="388"/>
      <c r="I14" s="322"/>
      <c r="J14" s="327" t="s">
        <v>950</v>
      </c>
      <c r="K14" s="333">
        <f>K8-K10</f>
        <v>-7515.062993</v>
      </c>
      <c r="L14" s="321"/>
      <c r="M14" s="323"/>
      <c r="N14" s="326"/>
    </row>
    <row r="15">
      <c r="A15" s="322"/>
      <c r="B15" s="322"/>
      <c r="C15" s="322"/>
      <c r="D15" s="322"/>
      <c r="E15" s="323"/>
      <c r="F15" s="324"/>
      <c r="G15" s="391"/>
      <c r="H15" s="388"/>
      <c r="I15" s="322"/>
      <c r="J15" s="322"/>
      <c r="K15" s="322"/>
      <c r="L15" s="322"/>
      <c r="M15" s="323"/>
      <c r="N15" s="324"/>
    </row>
    <row r="16">
      <c r="A16" s="322"/>
      <c r="B16" s="322"/>
      <c r="C16" s="322"/>
      <c r="D16" s="322"/>
      <c r="E16" s="337"/>
      <c r="F16" s="324"/>
      <c r="G16" s="386"/>
      <c r="H16" s="388"/>
      <c r="I16" s="322"/>
      <c r="J16" s="322"/>
      <c r="K16" s="322"/>
      <c r="L16" s="322"/>
      <c r="M16" s="337"/>
      <c r="N16" s="324"/>
    </row>
    <row r="17">
      <c r="A17" s="322"/>
      <c r="B17" s="338" t="s">
        <v>951</v>
      </c>
      <c r="C17" s="339"/>
      <c r="D17" s="339"/>
      <c r="E17" s="339"/>
      <c r="F17" s="324"/>
      <c r="G17" s="401"/>
      <c r="H17" s="388"/>
      <c r="I17" s="322"/>
      <c r="J17" s="338" t="s">
        <v>951</v>
      </c>
      <c r="K17" s="339"/>
      <c r="L17" s="339"/>
      <c r="M17" s="339"/>
      <c r="N17" s="324"/>
    </row>
    <row r="18">
      <c r="A18" s="322"/>
      <c r="B18" s="340" t="s">
        <v>953</v>
      </c>
      <c r="C18" s="341" t="s">
        <v>954</v>
      </c>
      <c r="D18" s="341" t="s">
        <v>955</v>
      </c>
      <c r="E18" s="341" t="s">
        <v>35</v>
      </c>
      <c r="F18" s="324"/>
      <c r="G18" s="386"/>
      <c r="H18" s="388"/>
      <c r="I18" s="322"/>
      <c r="J18" s="340" t="s">
        <v>953</v>
      </c>
      <c r="K18" s="341" t="s">
        <v>954</v>
      </c>
      <c r="L18" s="341" t="s">
        <v>955</v>
      </c>
      <c r="M18" s="341" t="s">
        <v>35</v>
      </c>
      <c r="N18" s="324"/>
    </row>
    <row r="19">
      <c r="A19" s="322"/>
      <c r="B19" s="139" t="s">
        <v>1018</v>
      </c>
      <c r="C19" s="344">
        <v>1.08</v>
      </c>
      <c r="D19" s="403">
        <f>'F&amp;B'!F141/20</f>
        <v>12150</v>
      </c>
      <c r="E19" s="67">
        <f t="shared" ref="E19:E21" si="1">IF(OR(ISBLANK(C19),ISBLANK(D19)),"",D19*C19)</f>
        <v>13122</v>
      </c>
      <c r="F19" s="324"/>
      <c r="G19" s="386"/>
      <c r="H19" s="388"/>
      <c r="I19" s="322"/>
      <c r="J19" s="139" t="s">
        <v>1000</v>
      </c>
      <c r="K19" s="344">
        <v>0.2</v>
      </c>
      <c r="L19" s="343">
        <f>'F&amp;B'!F277</f>
        <v>13500</v>
      </c>
      <c r="M19" s="67">
        <f t="shared" ref="M19:M21" si="2">IF(OR(ISBLANK(K19),ISBLANK(L19)),"",L19*K19)</f>
        <v>2700</v>
      </c>
      <c r="N19" s="324"/>
    </row>
    <row r="20">
      <c r="A20" s="322"/>
      <c r="B20" s="228" t="s">
        <v>1020</v>
      </c>
      <c r="C20" s="398">
        <v>1.0</v>
      </c>
      <c r="D20" s="403">
        <f>'F&amp;B'!F42/12</f>
        <v>2062.5</v>
      </c>
      <c r="E20" s="67">
        <f t="shared" si="1"/>
        <v>2062.5</v>
      </c>
      <c r="F20" s="324"/>
      <c r="G20" s="386"/>
      <c r="H20" s="388"/>
      <c r="I20" s="322"/>
      <c r="J20" s="228" t="s">
        <v>241</v>
      </c>
      <c r="K20" s="405">
        <v>0.15</v>
      </c>
      <c r="L20" s="371">
        <f>'F&amp;B'!F294</f>
        <v>6750</v>
      </c>
      <c r="M20" s="67">
        <f t="shared" si="2"/>
        <v>1012.5</v>
      </c>
      <c r="N20" s="324"/>
    </row>
    <row r="21">
      <c r="A21" s="322"/>
      <c r="B21" s="406" t="s">
        <v>54</v>
      </c>
      <c r="C21" s="351">
        <v>0.02</v>
      </c>
      <c r="D21" s="403">
        <f>'F&amp;B'!F57/8</f>
        <v>18562.5</v>
      </c>
      <c r="E21" s="67">
        <f t="shared" si="1"/>
        <v>371.25</v>
      </c>
      <c r="F21" s="324"/>
      <c r="G21" s="386"/>
      <c r="H21" s="388"/>
      <c r="I21" s="322"/>
      <c r="J21" s="406" t="s">
        <v>1021</v>
      </c>
      <c r="K21" s="407">
        <v>0.15</v>
      </c>
      <c r="L21" s="408">
        <f>'F&amp;B'!F293</f>
        <v>6750</v>
      </c>
      <c r="M21" s="67">
        <f t="shared" si="2"/>
        <v>1012.5</v>
      </c>
      <c r="N21" s="324"/>
    </row>
    <row r="22">
      <c r="A22" s="322"/>
      <c r="B22" s="338" t="s">
        <v>84</v>
      </c>
      <c r="C22" s="358"/>
      <c r="D22" s="358"/>
      <c r="E22" s="359">
        <f>IF(SUM(E19:E21)=0,"",SUM(E19:E21))</f>
        <v>15555.75</v>
      </c>
      <c r="F22" s="324"/>
      <c r="G22" s="386"/>
      <c r="H22" s="388"/>
      <c r="I22" s="322"/>
      <c r="J22" s="338" t="s">
        <v>84</v>
      </c>
      <c r="K22" s="358"/>
      <c r="L22" s="358"/>
      <c r="M22" s="359">
        <f>IF(SUM(M19:M21)=0,"",SUM(M19:M21))</f>
        <v>4725</v>
      </c>
      <c r="N22" s="324"/>
    </row>
    <row r="23">
      <c r="A23" s="322"/>
      <c r="B23" s="360"/>
      <c r="C23" s="360"/>
      <c r="D23" s="360"/>
      <c r="E23" s="361"/>
      <c r="F23" s="324"/>
      <c r="G23" s="386"/>
      <c r="H23" s="388"/>
      <c r="I23" s="322"/>
      <c r="J23" s="360"/>
      <c r="K23" s="360"/>
      <c r="L23" s="360"/>
      <c r="M23" s="361"/>
      <c r="N23" s="324"/>
    </row>
    <row r="24">
      <c r="A24" s="322"/>
      <c r="B24" s="362" t="s">
        <v>972</v>
      </c>
      <c r="C24" s="363"/>
      <c r="D24" s="363"/>
      <c r="E24" s="363"/>
      <c r="F24" s="324"/>
      <c r="G24" s="386"/>
      <c r="H24" s="388"/>
      <c r="I24" s="322"/>
      <c r="J24" s="362" t="s">
        <v>972</v>
      </c>
      <c r="K24" s="363"/>
      <c r="L24" s="363"/>
      <c r="M24" s="363"/>
      <c r="N24" s="324"/>
    </row>
    <row r="25">
      <c r="A25" s="322"/>
      <c r="B25" s="365" t="s">
        <v>953</v>
      </c>
      <c r="C25" s="366" t="s">
        <v>3</v>
      </c>
      <c r="D25" s="366" t="s">
        <v>975</v>
      </c>
      <c r="E25" s="367" t="s">
        <v>35</v>
      </c>
      <c r="F25" s="324"/>
      <c r="G25" s="386"/>
      <c r="H25" s="388"/>
      <c r="I25" s="322"/>
      <c r="J25" s="365" t="s">
        <v>953</v>
      </c>
      <c r="K25" s="366" t="s">
        <v>3</v>
      </c>
      <c r="L25" s="366" t="s">
        <v>975</v>
      </c>
      <c r="M25" s="367" t="s">
        <v>35</v>
      </c>
      <c r="N25" s="324"/>
    </row>
    <row r="26">
      <c r="A26" s="322"/>
      <c r="B26" s="368"/>
      <c r="C26" s="366"/>
      <c r="D26" s="366"/>
      <c r="E26" s="368"/>
      <c r="F26" s="324"/>
      <c r="G26" s="386"/>
      <c r="H26" s="388"/>
      <c r="I26" s="322"/>
      <c r="J26" s="368"/>
      <c r="K26" s="366"/>
      <c r="L26" s="366"/>
      <c r="M26" s="368"/>
      <c r="N26" s="324"/>
    </row>
    <row r="27">
      <c r="A27" s="322"/>
      <c r="B27" s="139" t="s">
        <v>374</v>
      </c>
      <c r="C27" s="344">
        <v>0.015</v>
      </c>
      <c r="D27" s="403">
        <f>'F&amp;B'!F79/25</f>
        <v>14040</v>
      </c>
      <c r="E27" s="67">
        <f t="shared" ref="E27:E36" si="3">D27*C27</f>
        <v>210.6</v>
      </c>
      <c r="F27" s="324"/>
      <c r="G27" s="386"/>
      <c r="H27" s="388"/>
      <c r="I27" s="322"/>
      <c r="J27" s="139" t="s">
        <v>262</v>
      </c>
      <c r="K27" s="344">
        <v>0.2</v>
      </c>
      <c r="L27" s="343">
        <f>'F&amp;B'!F302</f>
        <v>10800</v>
      </c>
      <c r="M27" s="67">
        <f t="shared" ref="M27:M36" si="4">L27*K27</f>
        <v>2160</v>
      </c>
      <c r="N27" s="324"/>
    </row>
    <row r="28">
      <c r="A28" s="322"/>
      <c r="B28" s="228" t="s">
        <v>58</v>
      </c>
      <c r="C28" s="405">
        <v>0.03</v>
      </c>
      <c r="D28" s="371">
        <f>'F&amp;B'!F143/25</f>
        <v>2340</v>
      </c>
      <c r="E28" s="67">
        <f t="shared" si="3"/>
        <v>70.2</v>
      </c>
      <c r="F28" s="324"/>
      <c r="G28" s="386"/>
      <c r="H28" s="388"/>
      <c r="I28" s="322"/>
      <c r="J28" s="228" t="s">
        <v>1022</v>
      </c>
      <c r="K28" s="405">
        <v>1.0</v>
      </c>
      <c r="L28" s="371">
        <f>SAUCES!L16</f>
        <v>629.9629934</v>
      </c>
      <c r="M28" s="67">
        <f t="shared" si="4"/>
        <v>629.9629934</v>
      </c>
      <c r="N28" s="324"/>
    </row>
    <row r="29">
      <c r="A29" s="322"/>
      <c r="B29" s="228" t="s">
        <v>82</v>
      </c>
      <c r="C29" s="405">
        <v>0.005</v>
      </c>
      <c r="D29" s="371">
        <f>'F&amp;B'!F148</f>
        <v>51750</v>
      </c>
      <c r="E29" s="67">
        <f t="shared" si="3"/>
        <v>258.75</v>
      </c>
      <c r="F29" s="324"/>
      <c r="G29" s="386"/>
      <c r="H29" s="388"/>
      <c r="I29" s="322"/>
      <c r="J29" s="75"/>
      <c r="K29" s="370"/>
      <c r="L29" s="371"/>
      <c r="M29" s="67">
        <f t="shared" si="4"/>
        <v>0</v>
      </c>
      <c r="N29" s="324"/>
    </row>
    <row r="30">
      <c r="A30" s="322"/>
      <c r="B30" s="228" t="s">
        <v>1023</v>
      </c>
      <c r="C30" s="344">
        <v>1.0</v>
      </c>
      <c r="D30" s="343">
        <f>'F&amp;B'!F153/50</f>
        <v>540</v>
      </c>
      <c r="E30" s="67">
        <f t="shared" si="3"/>
        <v>540</v>
      </c>
      <c r="F30" s="324"/>
      <c r="G30" s="386"/>
      <c r="H30" s="388"/>
      <c r="I30" s="322"/>
      <c r="J30" s="75"/>
      <c r="K30" s="346"/>
      <c r="L30" s="371"/>
      <c r="M30" s="67">
        <f t="shared" si="4"/>
        <v>0</v>
      </c>
      <c r="N30" s="324"/>
    </row>
    <row r="31">
      <c r="A31" s="322"/>
      <c r="B31" s="75"/>
      <c r="C31" s="346"/>
      <c r="D31" s="371"/>
      <c r="E31" s="67">
        <f t="shared" si="3"/>
        <v>0</v>
      </c>
      <c r="F31" s="324"/>
      <c r="G31" s="386"/>
      <c r="H31" s="388"/>
      <c r="I31" s="322"/>
      <c r="J31" s="75"/>
      <c r="K31" s="370"/>
      <c r="L31" s="371"/>
      <c r="M31" s="67">
        <f t="shared" si="4"/>
        <v>0</v>
      </c>
      <c r="N31" s="324"/>
    </row>
    <row r="32">
      <c r="A32" s="322"/>
      <c r="B32" s="75"/>
      <c r="C32" s="346"/>
      <c r="D32" s="373"/>
      <c r="E32" s="67">
        <f t="shared" si="3"/>
        <v>0</v>
      </c>
      <c r="F32" s="324"/>
      <c r="G32" s="386"/>
      <c r="H32" s="388"/>
      <c r="I32" s="322"/>
      <c r="J32" s="75"/>
      <c r="K32" s="342"/>
      <c r="L32" s="343"/>
      <c r="M32" s="67">
        <f t="shared" si="4"/>
        <v>0</v>
      </c>
      <c r="N32" s="324"/>
    </row>
    <row r="33">
      <c r="A33" s="322"/>
      <c r="B33" s="348"/>
      <c r="C33" s="346"/>
      <c r="D33" s="373"/>
      <c r="E33" s="67">
        <f t="shared" si="3"/>
        <v>0</v>
      </c>
      <c r="F33" s="324"/>
      <c r="G33" s="386"/>
      <c r="H33" s="388"/>
      <c r="I33" s="322"/>
      <c r="J33" s="348"/>
      <c r="K33" s="346"/>
      <c r="L33" s="373"/>
      <c r="M33" s="67">
        <f t="shared" si="4"/>
        <v>0</v>
      </c>
      <c r="N33" s="324"/>
    </row>
    <row r="34">
      <c r="A34" s="322"/>
      <c r="B34" s="348"/>
      <c r="C34" s="346"/>
      <c r="D34" s="373"/>
      <c r="E34" s="67">
        <f t="shared" si="3"/>
        <v>0</v>
      </c>
      <c r="F34" s="324"/>
      <c r="G34" s="386"/>
      <c r="H34" s="388"/>
      <c r="I34" s="322"/>
      <c r="J34" s="348"/>
      <c r="K34" s="346"/>
      <c r="L34" s="373"/>
      <c r="M34" s="67">
        <f t="shared" si="4"/>
        <v>0</v>
      </c>
      <c r="N34" s="324"/>
    </row>
    <row r="35">
      <c r="A35" s="322"/>
      <c r="B35" s="348"/>
      <c r="C35" s="346"/>
      <c r="D35" s="373"/>
      <c r="E35" s="67">
        <f t="shared" si="3"/>
        <v>0</v>
      </c>
      <c r="F35" s="324"/>
      <c r="G35" s="386"/>
      <c r="H35" s="388"/>
      <c r="I35" s="322"/>
      <c r="J35" s="348"/>
      <c r="K35" s="346"/>
      <c r="L35" s="373"/>
      <c r="M35" s="67">
        <f t="shared" si="4"/>
        <v>0</v>
      </c>
      <c r="N35" s="324"/>
    </row>
    <row r="36">
      <c r="A36" s="322"/>
      <c r="B36" s="354"/>
      <c r="C36" s="355"/>
      <c r="D36" s="356"/>
      <c r="E36" s="67">
        <f t="shared" si="3"/>
        <v>0</v>
      </c>
      <c r="F36" s="324"/>
      <c r="G36" s="386"/>
      <c r="H36" s="388"/>
      <c r="I36" s="322"/>
      <c r="J36" s="354"/>
      <c r="K36" s="355"/>
      <c r="L36" s="356"/>
      <c r="M36" s="67">
        <f t="shared" si="4"/>
        <v>0</v>
      </c>
      <c r="N36" s="324"/>
    </row>
    <row r="37">
      <c r="A37" s="322"/>
      <c r="B37" s="362" t="s">
        <v>84</v>
      </c>
      <c r="C37" s="374"/>
      <c r="D37" s="374"/>
      <c r="E37" s="375">
        <f>IF(SUM(E27:E36)=0,"",SUM(E27:E36))</f>
        <v>1079.55</v>
      </c>
      <c r="F37" s="324"/>
      <c r="G37" s="386"/>
      <c r="H37" s="388"/>
      <c r="I37" s="322"/>
      <c r="J37" s="362" t="s">
        <v>84</v>
      </c>
      <c r="K37" s="374"/>
      <c r="L37" s="374"/>
      <c r="M37" s="375">
        <f>IF(SUM(M27:M36)=0,"",SUM(M27:M36))</f>
        <v>2789.962993</v>
      </c>
      <c r="N37" s="324"/>
    </row>
    <row r="38">
      <c r="A38" s="322"/>
      <c r="B38" s="360"/>
      <c r="C38" s="360"/>
      <c r="D38" s="360"/>
      <c r="E38" s="361"/>
      <c r="F38" s="324"/>
      <c r="G38" s="386"/>
      <c r="H38" s="388"/>
      <c r="I38" s="322"/>
      <c r="J38" s="360"/>
      <c r="K38" s="360"/>
      <c r="L38" s="360"/>
      <c r="M38" s="361"/>
      <c r="N38" s="324"/>
    </row>
    <row r="39">
      <c r="A39" s="322"/>
      <c r="B39" s="34" t="s">
        <v>17</v>
      </c>
      <c r="C39" s="35"/>
      <c r="D39" s="35"/>
      <c r="E39" s="35"/>
      <c r="F39" s="324"/>
      <c r="G39" s="386"/>
      <c r="H39" s="388"/>
      <c r="I39" s="322"/>
      <c r="J39" s="34" t="s">
        <v>17</v>
      </c>
      <c r="K39" s="35"/>
      <c r="L39" s="35"/>
      <c r="M39" s="35"/>
      <c r="N39" s="324"/>
    </row>
    <row r="40">
      <c r="A40" s="322"/>
      <c r="B40" s="52" t="s">
        <v>42</v>
      </c>
      <c r="C40" s="54"/>
      <c r="D40" s="54"/>
      <c r="E40" s="56" t="s">
        <v>35</v>
      </c>
      <c r="F40" s="324"/>
      <c r="G40" s="386"/>
      <c r="H40" s="388"/>
      <c r="I40" s="322"/>
      <c r="J40" s="52" t="s">
        <v>42</v>
      </c>
      <c r="K40" s="54"/>
      <c r="L40" s="54"/>
      <c r="M40" s="56" t="s">
        <v>35</v>
      </c>
      <c r="N40" s="324"/>
    </row>
    <row r="41">
      <c r="A41" s="322"/>
      <c r="B41" s="60" t="s">
        <v>40</v>
      </c>
      <c r="C41" s="343">
        <f>'UTL COST'!$B$3</f>
        <v>369000</v>
      </c>
      <c r="D41" s="379">
        <f>'UTL COST'!$C$3</f>
        <v>0.0075</v>
      </c>
      <c r="E41" s="270">
        <v>0.0</v>
      </c>
      <c r="F41" s="324"/>
      <c r="G41" s="386"/>
      <c r="H41" s="388"/>
      <c r="I41" s="322"/>
      <c r="J41" s="60" t="s">
        <v>40</v>
      </c>
      <c r="K41" s="343">
        <f>'UTL COST'!$B$3</f>
        <v>369000</v>
      </c>
      <c r="L41" s="379">
        <f>'UTL COST'!$C$3</f>
        <v>0.0075</v>
      </c>
      <c r="M41" s="270">
        <v>0.0</v>
      </c>
      <c r="N41" s="324"/>
    </row>
    <row r="42">
      <c r="A42" s="322"/>
      <c r="B42" s="75" t="s">
        <v>51</v>
      </c>
      <c r="C42" s="371" t="str">
        <f>'UTL COST'!$B$4</f>
        <v>#REF!</v>
      </c>
      <c r="D42" s="382">
        <f>'UTL COST'!$C$4</f>
        <v>7000</v>
      </c>
      <c r="E42" s="76" t="str">
        <f>'UTL COST'!$D$4</f>
        <v>#REF!</v>
      </c>
      <c r="F42" s="324"/>
      <c r="G42" s="386"/>
      <c r="H42" s="388"/>
      <c r="I42" s="322"/>
      <c r="J42" s="75" t="s">
        <v>51</v>
      </c>
      <c r="K42" s="371" t="str">
        <f>'UTL COST'!$B$4</f>
        <v>#REF!</v>
      </c>
      <c r="L42" s="382">
        <f>'UTL COST'!$C$4</f>
        <v>7000</v>
      </c>
      <c r="M42" s="246">
        <v>0.0</v>
      </c>
      <c r="N42" s="324"/>
    </row>
    <row r="43">
      <c r="A43" s="322"/>
      <c r="B43" s="75" t="s">
        <v>59</v>
      </c>
      <c r="C43" s="371" t="str">
        <f>'UTL COST'!$B$5</f>
        <v>#REF!</v>
      </c>
      <c r="D43" s="382">
        <f>'UTL COST'!$C$5</f>
        <v>45000</v>
      </c>
      <c r="E43" s="246">
        <v>0.0</v>
      </c>
      <c r="F43" s="324"/>
      <c r="G43" s="386"/>
      <c r="H43" s="388"/>
      <c r="I43" s="322"/>
      <c r="J43" s="75" t="s">
        <v>59</v>
      </c>
      <c r="K43" s="371" t="str">
        <f>'UTL COST'!$B$5</f>
        <v>#REF!</v>
      </c>
      <c r="L43" s="382">
        <f>'UTL COST'!$C$5</f>
        <v>45000</v>
      </c>
      <c r="M43" s="246">
        <v>0.0</v>
      </c>
      <c r="N43" s="324"/>
    </row>
    <row r="44">
      <c r="A44" s="322"/>
      <c r="B44" s="87" t="s">
        <v>78</v>
      </c>
      <c r="C44" s="371" t="str">
        <f>'UTL COST'!$B$6</f>
        <v>#REF!</v>
      </c>
      <c r="D44" s="383">
        <f>'UTL COST'!$C$6</f>
        <v>525</v>
      </c>
      <c r="E44" s="89">
        <v>0.1</v>
      </c>
      <c r="F44" s="324"/>
      <c r="G44" s="386"/>
      <c r="H44" s="388"/>
      <c r="I44" s="322"/>
      <c r="J44" s="87" t="s">
        <v>78</v>
      </c>
      <c r="K44" s="371" t="str">
        <f>'UTL COST'!$B$6</f>
        <v>#REF!</v>
      </c>
      <c r="L44" s="383">
        <f>'UTL COST'!$C$6</f>
        <v>525</v>
      </c>
      <c r="M44" s="89">
        <v>0.1</v>
      </c>
      <c r="N44" s="324"/>
    </row>
    <row r="45">
      <c r="A45" s="322"/>
      <c r="B45" s="34" t="s">
        <v>84</v>
      </c>
      <c r="C45" s="102"/>
      <c r="D45" s="102"/>
      <c r="E45" s="110" t="str">
        <f>IF(SUM(E41:E44)=0,"",SUM(E41:E44))</f>
        <v>#REF!</v>
      </c>
      <c r="F45" s="324"/>
      <c r="G45" s="386"/>
      <c r="H45" s="388"/>
      <c r="I45" s="322"/>
      <c r="J45" s="34" t="s">
        <v>84</v>
      </c>
      <c r="K45" s="102"/>
      <c r="L45" s="102"/>
      <c r="M45" s="110">
        <f>IF(SUM(M41:M44)=0,"",SUM(M41:M44))</f>
        <v>0.1</v>
      </c>
      <c r="N45" s="324"/>
    </row>
    <row r="46">
      <c r="A46" s="322"/>
      <c r="B46" s="360"/>
      <c r="C46" s="360"/>
      <c r="D46" s="360"/>
      <c r="E46" s="361"/>
      <c r="F46" s="324"/>
      <c r="G46" s="386"/>
      <c r="H46" s="388"/>
      <c r="I46" s="322"/>
      <c r="J46" s="360"/>
      <c r="K46" s="360"/>
      <c r="L46" s="360"/>
      <c r="M46" s="361"/>
      <c r="N46" s="324"/>
    </row>
    <row r="49">
      <c r="A49" s="322"/>
      <c r="B49" s="322"/>
      <c r="C49" s="322"/>
      <c r="D49" s="322"/>
      <c r="E49" s="323"/>
      <c r="F49" s="324"/>
      <c r="G49" s="386"/>
      <c r="H49" s="388"/>
      <c r="I49" s="322"/>
      <c r="J49" s="322"/>
      <c r="K49" s="322"/>
      <c r="L49" s="322"/>
      <c r="M49" s="323"/>
      <c r="N49" s="324"/>
    </row>
    <row r="50">
      <c r="A50" s="322"/>
      <c r="B50" s="325"/>
      <c r="C50" s="322"/>
      <c r="D50" s="322"/>
      <c r="E50" s="323"/>
      <c r="F50" s="326"/>
      <c r="G50" s="391"/>
      <c r="H50" s="388"/>
      <c r="I50" s="322"/>
      <c r="J50" s="325"/>
      <c r="K50" s="322"/>
      <c r="L50" s="322"/>
      <c r="M50" s="323"/>
      <c r="N50" s="326"/>
    </row>
    <row r="51">
      <c r="A51" s="322"/>
      <c r="B51" s="327" t="s">
        <v>931</v>
      </c>
      <c r="C51" s="330" t="s">
        <v>1028</v>
      </c>
      <c r="D51" s="329"/>
      <c r="E51" s="323"/>
      <c r="F51" s="326"/>
      <c r="G51" s="391"/>
      <c r="H51" s="388"/>
      <c r="I51" s="322"/>
      <c r="J51" s="327" t="s">
        <v>931</v>
      </c>
      <c r="K51" s="330" t="s">
        <v>1029</v>
      </c>
      <c r="L51" s="329"/>
      <c r="M51" s="323"/>
      <c r="N51" s="326"/>
    </row>
    <row r="52">
      <c r="A52" s="322"/>
      <c r="B52" s="325"/>
      <c r="C52" s="322"/>
      <c r="D52" s="322"/>
      <c r="E52" s="323"/>
      <c r="F52" s="326"/>
      <c r="G52" s="391"/>
      <c r="H52" s="388"/>
      <c r="I52" s="322"/>
      <c r="J52" s="325"/>
      <c r="K52" s="322"/>
      <c r="L52" s="322"/>
      <c r="M52" s="323"/>
      <c r="N52" s="326"/>
    </row>
    <row r="53">
      <c r="A53" s="322"/>
      <c r="B53" s="327" t="s">
        <v>935</v>
      </c>
      <c r="C53" s="413">
        <v>11.0</v>
      </c>
      <c r="D53" s="329"/>
      <c r="E53" s="323"/>
      <c r="F53" s="326"/>
      <c r="G53" s="391"/>
      <c r="H53" s="388"/>
      <c r="I53" s="322"/>
      <c r="J53" s="327" t="s">
        <v>935</v>
      </c>
      <c r="K53" s="413">
        <v>12.0</v>
      </c>
      <c r="L53" s="329"/>
      <c r="M53" s="323"/>
      <c r="N53" s="326"/>
    </row>
    <row r="54">
      <c r="A54" s="322"/>
      <c r="B54" s="327"/>
      <c r="C54" s="332"/>
      <c r="D54" s="332"/>
      <c r="E54" s="323"/>
      <c r="F54" s="326"/>
      <c r="G54" s="391"/>
      <c r="H54" s="388"/>
      <c r="I54" s="322"/>
      <c r="J54" s="327"/>
      <c r="K54" s="332"/>
      <c r="L54" s="332"/>
      <c r="M54" s="323"/>
      <c r="N54" s="326"/>
    </row>
    <row r="55">
      <c r="A55" s="322"/>
      <c r="B55" s="327" t="s">
        <v>939</v>
      </c>
      <c r="C55" s="414" t="str">
        <f>IF(SUM(E67,E82,E90)=0,"",SUM(E67,E82,E90))</f>
        <v>#REF!</v>
      </c>
      <c r="D55" s="321"/>
      <c r="E55" s="323"/>
      <c r="F55" s="415"/>
      <c r="G55" s="391"/>
      <c r="H55" s="388"/>
      <c r="I55" s="322"/>
      <c r="J55" s="327" t="s">
        <v>939</v>
      </c>
      <c r="K55" s="414" t="str">
        <f>IF(SUM(M67,M82,M90)=0,"",SUM(M67,M82,M90))</f>
        <v>#REF!</v>
      </c>
      <c r="L55" s="321"/>
      <c r="M55" s="417" t="str">
        <f>K55/90000</f>
        <v>#REF!</v>
      </c>
      <c r="N55" s="326"/>
    </row>
    <row r="56">
      <c r="A56" s="322"/>
      <c r="B56" s="327"/>
      <c r="C56" s="334"/>
      <c r="D56" s="334"/>
      <c r="E56" s="323"/>
      <c r="F56" s="326"/>
      <c r="G56" s="391"/>
      <c r="H56" s="388"/>
      <c r="I56" s="322"/>
      <c r="J56" s="327"/>
      <c r="K56" s="334"/>
      <c r="L56" s="334"/>
      <c r="M56" s="323"/>
      <c r="N56" s="326"/>
    </row>
    <row r="57">
      <c r="A57" s="322"/>
      <c r="B57" s="327" t="s">
        <v>946</v>
      </c>
      <c r="C57" s="335" t="str">
        <f>IF(C55="","",IF(ISBLANK(C53),"",C55/C53))</f>
        <v>#REF!</v>
      </c>
      <c r="D57" s="321"/>
      <c r="E57" s="323"/>
      <c r="F57" s="326"/>
      <c r="G57" s="391"/>
      <c r="H57" s="388"/>
      <c r="I57" s="322"/>
      <c r="J57" s="327" t="s">
        <v>946</v>
      </c>
      <c r="K57" s="335" t="str">
        <f>IF(K55="","",IF(ISBLANK(K53),"",K55/K53))</f>
        <v>#REF!</v>
      </c>
      <c r="L57" s="321"/>
      <c r="M57" s="323"/>
      <c r="N57" s="326"/>
    </row>
    <row r="58">
      <c r="A58" s="322"/>
      <c r="B58" s="327"/>
      <c r="C58" s="334"/>
      <c r="D58" s="334"/>
      <c r="E58" s="323"/>
      <c r="F58" s="326"/>
      <c r="G58" s="391"/>
      <c r="H58" s="388"/>
      <c r="I58" s="322"/>
      <c r="J58" s="327"/>
      <c r="K58" s="334"/>
      <c r="L58" s="334"/>
      <c r="M58" s="323"/>
      <c r="N58" s="326"/>
    </row>
    <row r="59">
      <c r="A59" s="322"/>
      <c r="B59" s="327" t="s">
        <v>950</v>
      </c>
      <c r="C59" s="414" t="str">
        <f>C53-C55</f>
        <v>#REF!</v>
      </c>
      <c r="D59" s="321"/>
      <c r="E59" s="323"/>
      <c r="F59" s="326"/>
      <c r="G59" s="391"/>
      <c r="H59" s="388"/>
      <c r="I59" s="322"/>
      <c r="J59" s="327" t="s">
        <v>950</v>
      </c>
      <c r="K59" s="414" t="str">
        <f>K53-K55</f>
        <v>#REF!</v>
      </c>
      <c r="L59" s="321"/>
      <c r="M59" s="323"/>
      <c r="N59" s="326"/>
    </row>
    <row r="60">
      <c r="A60" s="322"/>
      <c r="B60" s="322"/>
      <c r="C60" s="322"/>
      <c r="D60" s="322"/>
      <c r="E60" s="323"/>
      <c r="F60" s="324"/>
      <c r="G60" s="391"/>
      <c r="H60" s="388"/>
      <c r="I60" s="322"/>
      <c r="J60" s="322"/>
      <c r="K60" s="322"/>
      <c r="L60" s="322"/>
      <c r="M60" s="323"/>
      <c r="N60" s="324"/>
    </row>
    <row r="61">
      <c r="A61" s="322"/>
      <c r="B61" s="322"/>
      <c r="C61" s="322"/>
      <c r="D61" s="322"/>
      <c r="E61" s="337"/>
      <c r="F61" s="324"/>
      <c r="G61" s="386"/>
      <c r="H61" s="388"/>
      <c r="I61" s="322"/>
      <c r="J61" s="322"/>
      <c r="K61" s="322"/>
      <c r="L61" s="322"/>
      <c r="M61" s="337"/>
      <c r="N61" s="324"/>
    </row>
    <row r="62">
      <c r="A62" s="322"/>
      <c r="B62" s="338" t="s">
        <v>951</v>
      </c>
      <c r="C62" s="339"/>
      <c r="D62" s="339"/>
      <c r="E62" s="339"/>
      <c r="F62" s="324"/>
      <c r="G62" s="401"/>
      <c r="H62" s="388"/>
      <c r="I62" s="322"/>
      <c r="J62" s="338" t="s">
        <v>951</v>
      </c>
      <c r="K62" s="339"/>
      <c r="L62" s="339"/>
      <c r="M62" s="339"/>
      <c r="N62" s="324"/>
    </row>
    <row r="63">
      <c r="A63" s="322"/>
      <c r="B63" s="340" t="s">
        <v>953</v>
      </c>
      <c r="C63" s="341" t="s">
        <v>954</v>
      </c>
      <c r="D63" s="341" t="s">
        <v>955</v>
      </c>
      <c r="E63" s="341" t="s">
        <v>35</v>
      </c>
      <c r="F63" s="324"/>
      <c r="G63" s="386"/>
      <c r="H63" s="388"/>
      <c r="I63" s="322"/>
      <c r="J63" s="340" t="s">
        <v>953</v>
      </c>
      <c r="K63" s="341" t="s">
        <v>954</v>
      </c>
      <c r="L63" s="341" t="s">
        <v>955</v>
      </c>
      <c r="M63" s="341" t="s">
        <v>35</v>
      </c>
      <c r="N63" s="324"/>
    </row>
    <row r="64">
      <c r="A64" s="322"/>
      <c r="B64" s="139" t="s">
        <v>1018</v>
      </c>
      <c r="C64" s="344">
        <v>1.0</v>
      </c>
      <c r="D64" s="403" t="str">
        <f>E10</f>
        <v>#REF!</v>
      </c>
      <c r="E64" s="67" t="str">
        <f t="shared" ref="E64:E66" si="5">IF(OR(ISBLANK(C64),ISBLANK(D64)),"",D64*C64)</f>
        <v>#REF!</v>
      </c>
      <c r="F64" s="324"/>
      <c r="G64" s="386"/>
      <c r="H64" s="388"/>
      <c r="I64" s="322"/>
      <c r="J64" s="139" t="s">
        <v>1018</v>
      </c>
      <c r="K64" s="344">
        <v>1.0</v>
      </c>
      <c r="L64" s="403" t="str">
        <f>D64</f>
        <v>#REF!</v>
      </c>
      <c r="M64" s="67" t="str">
        <f t="shared" ref="M64:M66" si="6">IF(OR(ISBLANK(K64),ISBLANK(L64)),"",L64*K64)</f>
        <v>#REF!</v>
      </c>
      <c r="N64" s="324"/>
    </row>
    <row r="65">
      <c r="A65" s="322"/>
      <c r="B65" s="228" t="s">
        <v>703</v>
      </c>
      <c r="C65" s="398">
        <v>0.18</v>
      </c>
      <c r="D65" s="403">
        <f>'F&amp;B'!F228</f>
        <v>81000</v>
      </c>
      <c r="E65" s="67">
        <f t="shared" si="5"/>
        <v>14580</v>
      </c>
      <c r="F65" s="324"/>
      <c r="G65" s="386"/>
      <c r="H65" s="388"/>
      <c r="I65" s="322"/>
      <c r="J65" s="228" t="s">
        <v>1032</v>
      </c>
      <c r="K65" s="405">
        <v>0.16</v>
      </c>
      <c r="L65" s="403">
        <f>'F&amp;B'!F212</f>
        <v>117000</v>
      </c>
      <c r="M65" s="67">
        <f t="shared" si="6"/>
        <v>18720</v>
      </c>
      <c r="N65" s="324"/>
    </row>
    <row r="66">
      <c r="A66" s="322"/>
      <c r="B66" s="406" t="s">
        <v>54</v>
      </c>
      <c r="C66" s="351">
        <v>0.015</v>
      </c>
      <c r="D66" s="403">
        <f>'F&amp;B'!F106/8</f>
        <v>23107.5</v>
      </c>
      <c r="E66" s="67">
        <f t="shared" si="5"/>
        <v>346.6125</v>
      </c>
      <c r="F66" s="324"/>
      <c r="G66" s="386"/>
      <c r="H66" s="388"/>
      <c r="I66" s="322"/>
      <c r="J66" s="228" t="s">
        <v>1033</v>
      </c>
      <c r="K66" s="405">
        <v>0.07</v>
      </c>
      <c r="L66" s="403">
        <f>D73</f>
        <v>103500</v>
      </c>
      <c r="M66" s="67">
        <f t="shared" si="6"/>
        <v>7245</v>
      </c>
      <c r="N66" s="324"/>
    </row>
    <row r="67">
      <c r="A67" s="322"/>
      <c r="B67" s="338" t="s">
        <v>84</v>
      </c>
      <c r="C67" s="358"/>
      <c r="D67" s="358"/>
      <c r="E67" s="359" t="str">
        <f>IF(SUM(E64:E66)=0,"",SUM(E64:E66))</f>
        <v>#REF!</v>
      </c>
      <c r="F67" s="324"/>
      <c r="G67" s="386"/>
      <c r="H67" s="388"/>
      <c r="I67" s="322"/>
      <c r="J67" s="338" t="s">
        <v>84</v>
      </c>
      <c r="K67" s="358"/>
      <c r="L67" s="358"/>
      <c r="M67" s="359" t="str">
        <f>IF(SUM(M64:M66)=0,"",SUM(M64:M66))</f>
        <v>#REF!</v>
      </c>
      <c r="N67" s="324"/>
    </row>
    <row r="68">
      <c r="A68" s="322"/>
      <c r="B68" s="360"/>
      <c r="C68" s="360"/>
      <c r="D68" s="360"/>
      <c r="E68" s="361"/>
      <c r="F68" s="324"/>
      <c r="G68" s="386"/>
      <c r="H68" s="388"/>
      <c r="I68" s="322"/>
      <c r="J68" s="360"/>
      <c r="K68" s="360"/>
      <c r="L68" s="360"/>
      <c r="M68" s="361"/>
      <c r="N68" s="324"/>
    </row>
    <row r="69">
      <c r="A69" s="322"/>
      <c r="B69" s="362" t="s">
        <v>972</v>
      </c>
      <c r="C69" s="363"/>
      <c r="D69" s="363"/>
      <c r="E69" s="363"/>
      <c r="F69" s="324"/>
      <c r="G69" s="386"/>
      <c r="H69" s="388"/>
      <c r="I69" s="322"/>
      <c r="J69" s="362" t="s">
        <v>972</v>
      </c>
      <c r="K69" s="363"/>
      <c r="L69" s="363"/>
      <c r="M69" s="363"/>
      <c r="N69" s="324"/>
    </row>
    <row r="70">
      <c r="A70" s="322"/>
      <c r="B70" s="365" t="s">
        <v>953</v>
      </c>
      <c r="C70" s="366" t="s">
        <v>3</v>
      </c>
      <c r="D70" s="366" t="s">
        <v>975</v>
      </c>
      <c r="E70" s="367" t="s">
        <v>35</v>
      </c>
      <c r="F70" s="324"/>
      <c r="G70" s="386"/>
      <c r="H70" s="388"/>
      <c r="I70" s="322"/>
      <c r="J70" s="365" t="s">
        <v>953</v>
      </c>
      <c r="K70" s="366" t="s">
        <v>3</v>
      </c>
      <c r="L70" s="366" t="s">
        <v>975</v>
      </c>
      <c r="M70" s="367" t="s">
        <v>35</v>
      </c>
      <c r="N70" s="324"/>
    </row>
    <row r="71">
      <c r="A71" s="322"/>
      <c r="B71" s="368"/>
      <c r="C71" s="366"/>
      <c r="D71" s="366"/>
      <c r="E71" s="368"/>
      <c r="F71" s="324"/>
      <c r="G71" s="386"/>
      <c r="H71" s="388"/>
      <c r="I71" s="322"/>
      <c r="J71" s="368"/>
      <c r="K71" s="366"/>
      <c r="L71" s="366"/>
      <c r="M71" s="368"/>
      <c r="N71" s="324"/>
    </row>
    <row r="72">
      <c r="A72" s="322"/>
      <c r="B72" s="139" t="s">
        <v>332</v>
      </c>
      <c r="C72" s="344">
        <v>0.005</v>
      </c>
      <c r="D72" s="403">
        <f>'F&amp;B'!F168</f>
        <v>42300</v>
      </c>
      <c r="E72" s="67">
        <f t="shared" ref="E72:E76" si="7">D72*C72</f>
        <v>211.5</v>
      </c>
      <c r="F72" s="324"/>
      <c r="G72" s="386"/>
      <c r="H72" s="388"/>
      <c r="I72" s="322"/>
      <c r="J72" s="228" t="s">
        <v>372</v>
      </c>
      <c r="K72" s="405">
        <v>0.1</v>
      </c>
      <c r="L72" s="371">
        <f t="shared" ref="L72:L73" si="8">D74</f>
        <v>58500</v>
      </c>
      <c r="M72" s="67">
        <f t="shared" ref="M72:M73" si="9">L72*K72</f>
        <v>5850</v>
      </c>
      <c r="N72" s="324"/>
    </row>
    <row r="73">
      <c r="A73" s="322"/>
      <c r="B73" s="228" t="s">
        <v>1033</v>
      </c>
      <c r="C73" s="405">
        <v>0.05</v>
      </c>
      <c r="D73" s="371">
        <f>'F&amp;B'!F278</f>
        <v>103500</v>
      </c>
      <c r="E73" s="67">
        <f t="shared" si="7"/>
        <v>5175</v>
      </c>
      <c r="F73" s="324"/>
      <c r="G73" s="386"/>
      <c r="H73" s="388"/>
      <c r="I73" s="322"/>
      <c r="J73" s="419" t="s">
        <v>256</v>
      </c>
      <c r="K73" s="420">
        <v>1.0</v>
      </c>
      <c r="L73" s="421">
        <f t="shared" si="8"/>
        <v>7515.062993</v>
      </c>
      <c r="M73" s="67">
        <f t="shared" si="9"/>
        <v>7515.062993</v>
      </c>
      <c r="N73" s="324"/>
    </row>
    <row r="74">
      <c r="A74" s="322"/>
      <c r="B74" s="228" t="s">
        <v>372</v>
      </c>
      <c r="C74" s="405">
        <v>0.08</v>
      </c>
      <c r="D74" s="371">
        <f>'F&amp;B'!F87</f>
        <v>58500</v>
      </c>
      <c r="E74" s="67">
        <f t="shared" si="7"/>
        <v>4680</v>
      </c>
      <c r="F74" s="324"/>
      <c r="G74" s="386"/>
      <c r="H74" s="388"/>
      <c r="I74" s="322"/>
      <c r="M74" s="270">
        <v>0.0</v>
      </c>
      <c r="N74" s="324"/>
    </row>
    <row r="75">
      <c r="A75" s="322"/>
      <c r="B75" s="228" t="s">
        <v>256</v>
      </c>
      <c r="C75" s="344">
        <v>1.0</v>
      </c>
      <c r="D75" s="343">
        <f>K10</f>
        <v>7515.062993</v>
      </c>
      <c r="E75" s="67">
        <f t="shared" si="7"/>
        <v>7515.062993</v>
      </c>
      <c r="F75" s="324"/>
      <c r="G75" s="386"/>
      <c r="H75" s="388"/>
      <c r="I75" s="322"/>
      <c r="J75" s="228"/>
      <c r="K75" s="344"/>
      <c r="L75" s="343" t="str">
        <f>T10</f>
        <v/>
      </c>
      <c r="M75" s="67">
        <f t="shared" ref="M75:M81" si="10">L75*K75</f>
        <v>0</v>
      </c>
      <c r="N75" s="324"/>
    </row>
    <row r="76">
      <c r="A76" s="322"/>
      <c r="B76" s="228" t="s">
        <v>812</v>
      </c>
      <c r="C76" s="398">
        <v>0.015</v>
      </c>
      <c r="D76" s="371">
        <f>'F&amp;B'!F62</f>
        <v>42075</v>
      </c>
      <c r="E76" s="67">
        <f t="shared" si="7"/>
        <v>631.125</v>
      </c>
      <c r="F76" s="324"/>
      <c r="G76" s="386"/>
      <c r="H76" s="388"/>
      <c r="I76" s="322"/>
      <c r="J76" s="228"/>
      <c r="K76" s="398"/>
      <c r="L76" s="371" t="str">
        <f>'F&amp;B'!M62</f>
        <v/>
      </c>
      <c r="M76" s="67">
        <f t="shared" si="10"/>
        <v>0</v>
      </c>
      <c r="N76" s="324"/>
    </row>
    <row r="77">
      <c r="A77" s="322"/>
      <c r="B77" s="228"/>
      <c r="C77" s="398"/>
      <c r="D77" s="422"/>
      <c r="E77" s="67"/>
      <c r="F77" s="324"/>
      <c r="G77" s="386"/>
      <c r="H77" s="388"/>
      <c r="I77" s="322"/>
      <c r="J77" s="75"/>
      <c r="K77" s="342"/>
      <c r="L77" s="343"/>
      <c r="M77" s="67">
        <f t="shared" si="10"/>
        <v>0</v>
      </c>
      <c r="N77" s="324"/>
    </row>
    <row r="78">
      <c r="A78" s="322"/>
      <c r="B78" s="228"/>
      <c r="C78" s="398"/>
      <c r="D78" s="422"/>
      <c r="E78" s="67"/>
      <c r="F78" s="324"/>
      <c r="G78" s="386"/>
      <c r="H78" s="388"/>
      <c r="I78" s="322"/>
      <c r="J78" s="348"/>
      <c r="K78" s="346"/>
      <c r="L78" s="373"/>
      <c r="M78" s="67">
        <f t="shared" si="10"/>
        <v>0</v>
      </c>
      <c r="N78" s="324"/>
    </row>
    <row r="79">
      <c r="A79" s="322"/>
      <c r="B79" s="348"/>
      <c r="C79" s="346"/>
      <c r="D79" s="373"/>
      <c r="E79" s="67">
        <f t="shared" ref="E79:E81" si="11">D79*C79</f>
        <v>0</v>
      </c>
      <c r="F79" s="324"/>
      <c r="G79" s="386"/>
      <c r="H79" s="388"/>
      <c r="I79" s="322"/>
      <c r="J79" s="348"/>
      <c r="K79" s="346"/>
      <c r="L79" s="373"/>
      <c r="M79" s="67">
        <f t="shared" si="10"/>
        <v>0</v>
      </c>
      <c r="N79" s="324"/>
    </row>
    <row r="80">
      <c r="A80" s="322"/>
      <c r="B80" s="348"/>
      <c r="C80" s="346"/>
      <c r="D80" s="373"/>
      <c r="E80" s="67">
        <f t="shared" si="11"/>
        <v>0</v>
      </c>
      <c r="F80" s="324"/>
      <c r="G80" s="386"/>
      <c r="H80" s="388"/>
      <c r="I80" s="322"/>
      <c r="J80" s="348"/>
      <c r="K80" s="346"/>
      <c r="L80" s="373"/>
      <c r="M80" s="67">
        <f t="shared" si="10"/>
        <v>0</v>
      </c>
      <c r="N80" s="324"/>
    </row>
    <row r="81">
      <c r="A81" s="322"/>
      <c r="B81" s="354"/>
      <c r="C81" s="355"/>
      <c r="D81" s="356"/>
      <c r="E81" s="67">
        <f t="shared" si="11"/>
        <v>0</v>
      </c>
      <c r="F81" s="324"/>
      <c r="G81" s="386"/>
      <c r="H81" s="388"/>
      <c r="I81" s="322"/>
      <c r="J81" s="354"/>
      <c r="K81" s="355"/>
      <c r="L81" s="356"/>
      <c r="M81" s="67">
        <f t="shared" si="10"/>
        <v>0</v>
      </c>
      <c r="N81" s="324"/>
    </row>
    <row r="82">
      <c r="A82" s="322"/>
      <c r="B82" s="362" t="s">
        <v>84</v>
      </c>
      <c r="C82" s="374"/>
      <c r="D82" s="374"/>
      <c r="E82" s="375">
        <f>IF(SUM(E72:E81)=0,"",SUM(E72:E81))</f>
        <v>18212.68799</v>
      </c>
      <c r="F82" s="324"/>
      <c r="G82" s="386"/>
      <c r="H82" s="388"/>
      <c r="I82" s="322"/>
      <c r="J82" s="362" t="s">
        <v>84</v>
      </c>
      <c r="K82" s="374"/>
      <c r="L82" s="374"/>
      <c r="M82" s="375">
        <f>IF(SUM(M72:M81)=0,"",SUM(M72:M81))</f>
        <v>13365.06299</v>
      </c>
      <c r="N82" s="324"/>
    </row>
    <row r="83">
      <c r="A83" s="322"/>
      <c r="B83" s="360"/>
      <c r="C83" s="360"/>
      <c r="D83" s="360"/>
      <c r="E83" s="361"/>
      <c r="F83" s="324"/>
      <c r="G83" s="386"/>
      <c r="H83" s="388"/>
      <c r="I83" s="322"/>
      <c r="J83" s="360"/>
      <c r="K83" s="360"/>
      <c r="L83" s="360"/>
      <c r="M83" s="361"/>
      <c r="N83" s="324"/>
    </row>
    <row r="84">
      <c r="A84" s="322"/>
      <c r="B84" s="34" t="s">
        <v>17</v>
      </c>
      <c r="C84" s="35"/>
      <c r="D84" s="35"/>
      <c r="E84" s="35"/>
      <c r="F84" s="324"/>
      <c r="G84" s="386"/>
      <c r="H84" s="388"/>
      <c r="I84" s="322"/>
      <c r="J84" s="34" t="s">
        <v>17</v>
      </c>
      <c r="K84" s="35"/>
      <c r="L84" s="35"/>
      <c r="M84" s="35"/>
      <c r="N84" s="324"/>
    </row>
    <row r="85">
      <c r="A85" s="322"/>
      <c r="B85" s="52" t="s">
        <v>42</v>
      </c>
      <c r="C85" s="54"/>
      <c r="D85" s="54"/>
      <c r="E85" s="56" t="s">
        <v>35</v>
      </c>
      <c r="F85" s="324"/>
      <c r="G85" s="386"/>
      <c r="H85" s="388"/>
      <c r="I85" s="322"/>
      <c r="J85" s="52" t="s">
        <v>42</v>
      </c>
      <c r="K85" s="54"/>
      <c r="L85" s="54"/>
      <c r="M85" s="56" t="s">
        <v>35</v>
      </c>
      <c r="N85" s="324"/>
    </row>
    <row r="86">
      <c r="A86" s="322"/>
      <c r="B86" s="60" t="s">
        <v>40</v>
      </c>
      <c r="C86" s="343">
        <f>'UTL COST'!$B$3</f>
        <v>369000</v>
      </c>
      <c r="D86" s="379">
        <f>'UTL COST'!$C$3</f>
        <v>0.0075</v>
      </c>
      <c r="E86" s="246">
        <v>22950.0</v>
      </c>
      <c r="F86" s="324"/>
      <c r="G86" s="386"/>
      <c r="H86" s="388"/>
      <c r="I86" s="322"/>
      <c r="J86" s="60" t="s">
        <v>40</v>
      </c>
      <c r="K86" s="343">
        <f>'UTL COST'!$B$3</f>
        <v>369000</v>
      </c>
      <c r="L86" s="379">
        <f>'UTL COST'!$C$3</f>
        <v>0.0075</v>
      </c>
      <c r="M86" s="270">
        <v>0.0</v>
      </c>
      <c r="N86" s="324"/>
    </row>
    <row r="87">
      <c r="A87" s="322"/>
      <c r="B87" s="75" t="s">
        <v>51</v>
      </c>
      <c r="C87" s="371" t="str">
        <f>'UTL COST'!$B$4</f>
        <v>#REF!</v>
      </c>
      <c r="D87" s="382">
        <f>'UTL COST'!$C$4</f>
        <v>7000</v>
      </c>
      <c r="E87" s="76" t="str">
        <f>'UTL COST'!$D$4</f>
        <v>#REF!</v>
      </c>
      <c r="F87" s="324"/>
      <c r="G87" s="386"/>
      <c r="H87" s="388"/>
      <c r="I87" s="322"/>
      <c r="J87" s="75" t="s">
        <v>51</v>
      </c>
      <c r="K87" s="371" t="str">
        <f>'UTL COST'!$B$4</f>
        <v>#REF!</v>
      </c>
      <c r="L87" s="382">
        <f>'UTL COST'!$C$4</f>
        <v>7000</v>
      </c>
      <c r="M87" s="76" t="str">
        <f>'UTL COST'!$D$4</f>
        <v>#REF!</v>
      </c>
      <c r="N87" s="324"/>
    </row>
    <row r="88">
      <c r="A88" s="322"/>
      <c r="B88" s="75" t="s">
        <v>59</v>
      </c>
      <c r="C88" s="371" t="str">
        <f>'UTL COST'!$B$5</f>
        <v>#REF!</v>
      </c>
      <c r="D88" s="382">
        <f>'UTL COST'!$C$5</f>
        <v>45000</v>
      </c>
      <c r="E88" s="76" t="str">
        <f>'UTL COST'!$D$5</f>
        <v>#REF!</v>
      </c>
      <c r="F88" s="324"/>
      <c r="G88" s="386"/>
      <c r="H88" s="388"/>
      <c r="I88" s="322"/>
      <c r="J88" s="75" t="s">
        <v>59</v>
      </c>
      <c r="K88" s="371" t="str">
        <f>'UTL COST'!$B$5</f>
        <v>#REF!</v>
      </c>
      <c r="L88" s="382">
        <f>'UTL COST'!$C$5</f>
        <v>45000</v>
      </c>
      <c r="M88" s="76" t="str">
        <f>'UTL COST'!$D$5</f>
        <v>#REF!</v>
      </c>
      <c r="N88" s="324"/>
    </row>
    <row r="89">
      <c r="A89" s="322"/>
      <c r="B89" s="87" t="s">
        <v>78</v>
      </c>
      <c r="C89" s="371" t="str">
        <f>'UTL COST'!$B$6</f>
        <v>#REF!</v>
      </c>
      <c r="D89" s="383">
        <f>'UTL COST'!$C$6</f>
        <v>525</v>
      </c>
      <c r="E89" s="89">
        <v>0.1</v>
      </c>
      <c r="F89" s="324"/>
      <c r="G89" s="386"/>
      <c r="H89" s="388"/>
      <c r="I89" s="322"/>
      <c r="J89" s="87" t="s">
        <v>78</v>
      </c>
      <c r="K89" s="371" t="str">
        <f>'UTL COST'!$B$6</f>
        <v>#REF!</v>
      </c>
      <c r="L89" s="383">
        <f>'UTL COST'!$C$6</f>
        <v>525</v>
      </c>
      <c r="M89" s="89">
        <v>0.1</v>
      </c>
      <c r="N89" s="324"/>
    </row>
    <row r="90">
      <c r="A90" s="322"/>
      <c r="B90" s="34" t="s">
        <v>84</v>
      </c>
      <c r="C90" s="102"/>
      <c r="D90" s="102"/>
      <c r="E90" s="110" t="str">
        <f>IF(SUM(E86:E89)=0,"",SUM(E86:E89))</f>
        <v>#REF!</v>
      </c>
      <c r="F90" s="324"/>
      <c r="G90" s="386"/>
      <c r="H90" s="388"/>
      <c r="I90" s="322"/>
      <c r="J90" s="34" t="s">
        <v>84</v>
      </c>
      <c r="K90" s="102"/>
      <c r="L90" s="102"/>
      <c r="M90" s="110" t="str">
        <f>IF(SUM(M86:M89)=0,"",SUM(M86:M89))</f>
        <v>#REF!</v>
      </c>
      <c r="N90" s="324"/>
    </row>
    <row r="91">
      <c r="A91" s="322"/>
      <c r="B91" s="360"/>
      <c r="C91" s="360"/>
      <c r="D91" s="360"/>
      <c r="E91" s="361"/>
      <c r="F91" s="324"/>
      <c r="G91" s="386"/>
      <c r="H91" s="388"/>
      <c r="I91" s="322"/>
      <c r="J91" s="360"/>
      <c r="K91" s="360"/>
      <c r="L91" s="360"/>
      <c r="M91" s="361"/>
      <c r="N91" s="324"/>
    </row>
    <row r="95">
      <c r="A95" s="322"/>
      <c r="B95" s="322"/>
      <c r="C95" s="322"/>
      <c r="D95" s="322"/>
      <c r="E95" s="323"/>
      <c r="F95" s="324"/>
    </row>
    <row r="96">
      <c r="A96" s="322"/>
      <c r="B96" s="325"/>
      <c r="C96" s="322"/>
      <c r="D96" s="322"/>
      <c r="E96" s="323"/>
      <c r="F96" s="326"/>
    </row>
    <row r="97">
      <c r="A97" s="322"/>
      <c r="B97" s="327" t="s">
        <v>931</v>
      </c>
      <c r="C97" s="330" t="s">
        <v>1040</v>
      </c>
      <c r="D97" s="329"/>
      <c r="E97" s="323"/>
      <c r="F97" s="326"/>
    </row>
    <row r="98">
      <c r="A98" s="322"/>
      <c r="B98" s="325"/>
      <c r="C98" s="322"/>
      <c r="D98" s="322"/>
      <c r="E98" s="323"/>
      <c r="F98" s="326"/>
    </row>
    <row r="99">
      <c r="A99" s="322"/>
      <c r="B99" s="327" t="s">
        <v>935</v>
      </c>
      <c r="C99" s="413">
        <v>11.0</v>
      </c>
      <c r="D99" s="329"/>
      <c r="E99" s="323"/>
      <c r="F99" s="326"/>
    </row>
    <row r="100">
      <c r="A100" s="322"/>
      <c r="B100" s="327"/>
      <c r="C100" s="332"/>
      <c r="D100" s="332"/>
      <c r="E100" s="323"/>
      <c r="F100" s="326"/>
    </row>
    <row r="101">
      <c r="A101" s="322"/>
      <c r="B101" s="327" t="s">
        <v>939</v>
      </c>
      <c r="C101" s="414" t="str">
        <f>IF(SUM(E113,E128,E136)=0,"",SUM(E113,E128,E136))</f>
        <v>#REF!</v>
      </c>
      <c r="D101" s="321"/>
      <c r="E101" s="323"/>
      <c r="F101" s="415"/>
    </row>
    <row r="102">
      <c r="A102" s="322"/>
      <c r="B102" s="327"/>
      <c r="C102" s="334"/>
      <c r="D102" s="334"/>
      <c r="E102" s="323"/>
      <c r="F102" s="326"/>
    </row>
    <row r="103">
      <c r="A103" s="322"/>
      <c r="B103" s="327" t="s">
        <v>946</v>
      </c>
      <c r="C103" s="335" t="str">
        <f>IF(C101="","",IF(ISBLANK(C99),"",C101/C99))</f>
        <v>#REF!</v>
      </c>
      <c r="D103" s="321"/>
      <c r="E103" s="323"/>
      <c r="F103" s="326"/>
    </row>
    <row r="104">
      <c r="A104" s="322"/>
      <c r="B104" s="327"/>
      <c r="C104" s="334"/>
      <c r="D104" s="334"/>
      <c r="E104" s="323"/>
      <c r="F104" s="326"/>
    </row>
    <row r="105">
      <c r="A105" s="322"/>
      <c r="B105" s="327" t="s">
        <v>950</v>
      </c>
      <c r="C105" s="414" t="str">
        <f>C99-C101</f>
        <v>#REF!</v>
      </c>
      <c r="D105" s="321"/>
      <c r="E105" s="323"/>
      <c r="F105" s="326"/>
    </row>
    <row r="106">
      <c r="A106" s="322"/>
      <c r="B106" s="322"/>
      <c r="C106" s="322"/>
      <c r="D106" s="322"/>
      <c r="E106" s="323"/>
      <c r="F106" s="324"/>
    </row>
    <row r="107">
      <c r="A107" s="322"/>
      <c r="B107" s="322"/>
      <c r="C107" s="322"/>
      <c r="D107" s="322"/>
      <c r="E107" s="337"/>
      <c r="F107" s="324"/>
    </row>
    <row r="108">
      <c r="A108" s="322"/>
      <c r="B108" s="338" t="s">
        <v>951</v>
      </c>
      <c r="C108" s="339"/>
      <c r="D108" s="339"/>
      <c r="E108" s="339"/>
      <c r="F108" s="324"/>
    </row>
    <row r="109">
      <c r="A109" s="322"/>
      <c r="B109" s="340" t="s">
        <v>953</v>
      </c>
      <c r="C109" s="341" t="s">
        <v>954</v>
      </c>
      <c r="D109" s="341" t="s">
        <v>955</v>
      </c>
      <c r="E109" s="341" t="s">
        <v>35</v>
      </c>
      <c r="F109" s="324"/>
    </row>
    <row r="110">
      <c r="A110" s="322"/>
      <c r="B110" s="139" t="s">
        <v>1018</v>
      </c>
      <c r="C110" s="344">
        <v>1.0</v>
      </c>
      <c r="D110" s="403" t="str">
        <f>D64</f>
        <v>#REF!</v>
      </c>
      <c r="E110" s="67" t="str">
        <f t="shared" ref="E110:E112" si="12">IF(OR(ISBLANK(C110),ISBLANK(D110)),"",D110*C110)</f>
        <v>#REF!</v>
      </c>
      <c r="F110" s="324"/>
    </row>
    <row r="111">
      <c r="A111" s="322"/>
      <c r="B111" s="228" t="s">
        <v>703</v>
      </c>
      <c r="C111" s="398">
        <v>0.18</v>
      </c>
      <c r="D111" s="403">
        <f>'F&amp;B'!F278</f>
        <v>103500</v>
      </c>
      <c r="E111" s="67">
        <f t="shared" si="12"/>
        <v>18630</v>
      </c>
      <c r="F111" s="324"/>
    </row>
    <row r="112">
      <c r="A112" s="322"/>
      <c r="B112" s="406" t="s">
        <v>54</v>
      </c>
      <c r="C112" s="351">
        <v>0.015</v>
      </c>
      <c r="D112" s="403">
        <f>'F&amp;B'!F158/8</f>
        <v>10125</v>
      </c>
      <c r="E112" s="67">
        <f t="shared" si="12"/>
        <v>151.875</v>
      </c>
      <c r="F112" s="324"/>
    </row>
    <row r="113">
      <c r="A113" s="322"/>
      <c r="B113" s="338" t="s">
        <v>84</v>
      </c>
      <c r="C113" s="358"/>
      <c r="D113" s="358"/>
      <c r="E113" s="359" t="str">
        <f>IF(SUM(E110:E112)=0,"",SUM(E110:E112))</f>
        <v>#REF!</v>
      </c>
      <c r="F113" s="324"/>
    </row>
    <row r="114">
      <c r="A114" s="322"/>
      <c r="B114" s="360"/>
      <c r="C114" s="360"/>
      <c r="D114" s="360"/>
      <c r="E114" s="361"/>
      <c r="F114" s="324"/>
    </row>
    <row r="115">
      <c r="A115" s="322"/>
      <c r="B115" s="362" t="s">
        <v>972</v>
      </c>
      <c r="C115" s="363"/>
      <c r="D115" s="363"/>
      <c r="E115" s="363"/>
      <c r="F115" s="324"/>
    </row>
    <row r="116">
      <c r="A116" s="322"/>
      <c r="B116" s="365" t="s">
        <v>953</v>
      </c>
      <c r="C116" s="366" t="s">
        <v>3</v>
      </c>
      <c r="D116" s="366" t="s">
        <v>975</v>
      </c>
      <c r="E116" s="367" t="s">
        <v>35</v>
      </c>
      <c r="F116" s="324"/>
    </row>
    <row r="117">
      <c r="A117" s="322"/>
      <c r="B117" s="368"/>
      <c r="C117" s="366"/>
      <c r="D117" s="366"/>
      <c r="E117" s="368"/>
      <c r="F117" s="324"/>
    </row>
    <row r="118">
      <c r="A118" s="322"/>
      <c r="B118" s="139" t="s">
        <v>332</v>
      </c>
      <c r="C118" s="344">
        <v>0.005</v>
      </c>
      <c r="D118" s="403">
        <f>'F&amp;B'!F217</f>
        <v>108000</v>
      </c>
      <c r="E118" s="67">
        <f>D118*C118</f>
        <v>540</v>
      </c>
      <c r="F118" s="324"/>
    </row>
    <row r="119">
      <c r="A119" s="322"/>
      <c r="B119" s="228"/>
      <c r="C119" s="405"/>
      <c r="D119" s="371"/>
      <c r="E119" s="67"/>
      <c r="F119" s="324"/>
    </row>
    <row r="120">
      <c r="A120" s="322"/>
      <c r="B120" s="228"/>
      <c r="C120" s="405"/>
      <c r="D120" s="371"/>
      <c r="E120" s="67"/>
      <c r="F120" s="324"/>
    </row>
    <row r="121">
      <c r="A121" s="322"/>
      <c r="B121" s="228" t="s">
        <v>256</v>
      </c>
      <c r="C121" s="344">
        <v>1.0</v>
      </c>
      <c r="D121" s="343" t="str">
        <f>K56</f>
        <v/>
      </c>
      <c r="E121" s="67">
        <f t="shared" ref="E121:E127" si="13">D121*C121</f>
        <v>0</v>
      </c>
      <c r="F121" s="324"/>
    </row>
    <row r="122">
      <c r="A122" s="322"/>
      <c r="B122" s="228" t="s">
        <v>812</v>
      </c>
      <c r="C122" s="398">
        <v>0.015</v>
      </c>
      <c r="D122" s="371">
        <f>'F&amp;B'!F113</f>
        <v>67500</v>
      </c>
      <c r="E122" s="67">
        <f t="shared" si="13"/>
        <v>1012.5</v>
      </c>
      <c r="F122" s="324"/>
    </row>
    <row r="123">
      <c r="A123" s="322"/>
      <c r="B123" s="228" t="s">
        <v>1041</v>
      </c>
      <c r="C123" s="398">
        <v>1.0</v>
      </c>
      <c r="D123" s="422">
        <f>SAUCES!D179</f>
        <v>9000</v>
      </c>
      <c r="E123" s="67">
        <f t="shared" si="13"/>
        <v>9000</v>
      </c>
      <c r="F123" s="324"/>
    </row>
    <row r="124">
      <c r="A124" s="322"/>
      <c r="B124" s="228" t="s">
        <v>1042</v>
      </c>
      <c r="C124" s="398">
        <v>1.0</v>
      </c>
      <c r="D124" s="422" t="str">
        <f>SAUCES!D94</f>
        <v/>
      </c>
      <c r="E124" s="67">
        <f t="shared" si="13"/>
        <v>0</v>
      </c>
      <c r="F124" s="324"/>
    </row>
    <row r="125">
      <c r="A125" s="322"/>
      <c r="B125" s="348"/>
      <c r="C125" s="346"/>
      <c r="D125" s="373"/>
      <c r="E125" s="67">
        <f t="shared" si="13"/>
        <v>0</v>
      </c>
      <c r="F125" s="324"/>
    </row>
    <row r="126">
      <c r="A126" s="322"/>
      <c r="B126" s="348"/>
      <c r="C126" s="346"/>
      <c r="D126" s="373"/>
      <c r="E126" s="67">
        <f t="shared" si="13"/>
        <v>0</v>
      </c>
      <c r="F126" s="324"/>
    </row>
    <row r="127">
      <c r="A127" s="322"/>
      <c r="B127" s="354"/>
      <c r="C127" s="355"/>
      <c r="D127" s="356"/>
      <c r="E127" s="67">
        <f t="shared" si="13"/>
        <v>0</v>
      </c>
      <c r="F127" s="324"/>
    </row>
    <row r="128">
      <c r="A128" s="322"/>
      <c r="B128" s="362" t="s">
        <v>84</v>
      </c>
      <c r="C128" s="374"/>
      <c r="D128" s="374"/>
      <c r="E128" s="375">
        <f>IF(SUM(E118:E127)=0,"",SUM(E118:E127))</f>
        <v>10552.5</v>
      </c>
      <c r="F128" s="324"/>
    </row>
    <row r="129">
      <c r="A129" s="322"/>
      <c r="B129" s="360"/>
      <c r="C129" s="360"/>
      <c r="D129" s="360"/>
      <c r="E129" s="361"/>
      <c r="F129" s="324"/>
    </row>
    <row r="130">
      <c r="A130" s="322"/>
      <c r="B130" s="34" t="s">
        <v>17</v>
      </c>
      <c r="C130" s="35"/>
      <c r="D130" s="35"/>
      <c r="E130" s="35"/>
      <c r="F130" s="324"/>
    </row>
    <row r="131">
      <c r="A131" s="322"/>
      <c r="B131" s="52" t="s">
        <v>42</v>
      </c>
      <c r="C131" s="54"/>
      <c r="D131" s="54"/>
      <c r="E131" s="56" t="s">
        <v>35</v>
      </c>
      <c r="F131" s="324"/>
    </row>
    <row r="132">
      <c r="A132" s="322"/>
      <c r="B132" s="60" t="s">
        <v>40</v>
      </c>
      <c r="C132" s="343">
        <f>'UTL COST'!$B$3</f>
        <v>369000</v>
      </c>
      <c r="D132" s="379">
        <f>'UTL COST'!$C$3</f>
        <v>0.0075</v>
      </c>
      <c r="E132" s="246">
        <v>22950.0</v>
      </c>
      <c r="F132" s="324"/>
    </row>
    <row r="133">
      <c r="A133" s="322"/>
      <c r="B133" s="75" t="s">
        <v>51</v>
      </c>
      <c r="C133" s="371" t="str">
        <f>'UTL COST'!$B$4</f>
        <v>#REF!</v>
      </c>
      <c r="D133" s="382">
        <f>'UTL COST'!$C$4</f>
        <v>7000</v>
      </c>
      <c r="E133" s="76" t="str">
        <f>'UTL COST'!$D$4</f>
        <v>#REF!</v>
      </c>
      <c r="F133" s="324"/>
    </row>
    <row r="134">
      <c r="A134" s="322"/>
      <c r="B134" s="75" t="s">
        <v>59</v>
      </c>
      <c r="C134" s="371" t="str">
        <f>'UTL COST'!$B$5</f>
        <v>#REF!</v>
      </c>
      <c r="D134" s="382">
        <f>'UTL COST'!$C$5</f>
        <v>45000</v>
      </c>
      <c r="E134" s="76" t="str">
        <f>'UTL COST'!$D$5</f>
        <v>#REF!</v>
      </c>
      <c r="F134" s="324"/>
    </row>
    <row r="135">
      <c r="A135" s="322"/>
      <c r="B135" s="87" t="s">
        <v>78</v>
      </c>
      <c r="C135" s="371" t="str">
        <f>'UTL COST'!$B$6</f>
        <v>#REF!</v>
      </c>
      <c r="D135" s="383">
        <f>'UTL COST'!$C$6</f>
        <v>525</v>
      </c>
      <c r="E135" s="89">
        <v>0.1</v>
      </c>
      <c r="F135" s="324"/>
    </row>
    <row r="136">
      <c r="A136" s="322"/>
      <c r="B136" s="34" t="s">
        <v>84</v>
      </c>
      <c r="C136" s="102"/>
      <c r="D136" s="102"/>
      <c r="E136" s="110" t="str">
        <f>IF(SUM(E132:E135)=0,"",SUM(E132:E135))</f>
        <v>#REF!</v>
      </c>
      <c r="F136" s="324"/>
    </row>
    <row r="137">
      <c r="A137" s="322"/>
      <c r="B137" s="360"/>
      <c r="C137" s="360"/>
      <c r="D137" s="360"/>
      <c r="E137" s="361"/>
      <c r="F137" s="324"/>
    </row>
  </sheetData>
  <mergeCells count="37">
    <mergeCell ref="A1:F1"/>
    <mergeCell ref="C6:D6"/>
    <mergeCell ref="K6:L6"/>
    <mergeCell ref="C8:D8"/>
    <mergeCell ref="K8:L8"/>
    <mergeCell ref="E10:F10"/>
    <mergeCell ref="K10:L10"/>
    <mergeCell ref="C10:D10"/>
    <mergeCell ref="C12:D12"/>
    <mergeCell ref="C14:D14"/>
    <mergeCell ref="B25:B26"/>
    <mergeCell ref="E25:E26"/>
    <mergeCell ref="C51:D51"/>
    <mergeCell ref="C53:D53"/>
    <mergeCell ref="K57:L57"/>
    <mergeCell ref="K59:L59"/>
    <mergeCell ref="J70:J71"/>
    <mergeCell ref="M70:M71"/>
    <mergeCell ref="K12:L12"/>
    <mergeCell ref="K14:L14"/>
    <mergeCell ref="J25:J26"/>
    <mergeCell ref="M25:M26"/>
    <mergeCell ref="K51:L51"/>
    <mergeCell ref="K53:L53"/>
    <mergeCell ref="K55:L55"/>
    <mergeCell ref="C101:D101"/>
    <mergeCell ref="C103:D103"/>
    <mergeCell ref="C105:D105"/>
    <mergeCell ref="B116:B117"/>
    <mergeCell ref="E116:E117"/>
    <mergeCell ref="C55:D55"/>
    <mergeCell ref="C57:D57"/>
    <mergeCell ref="C59:D59"/>
    <mergeCell ref="B70:B71"/>
    <mergeCell ref="E70:E71"/>
    <mergeCell ref="C97:D97"/>
    <mergeCell ref="C99:D99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3734"/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3.25"/>
    <col customWidth="1" min="4" max="4" width="11.38"/>
    <col customWidth="1" min="5" max="5" width="12.63"/>
    <col customWidth="1" min="6" max="7" width="3.0"/>
    <col customWidth="1" min="8" max="10" width="7.75"/>
    <col customWidth="1" min="11" max="11" width="24.38"/>
    <col customWidth="1" min="12" max="12" width="12.75"/>
    <col customWidth="1" min="13" max="13" width="13.88"/>
    <col customWidth="1" min="14" max="14" width="13.38"/>
    <col customWidth="1" min="15" max="16" width="7.75"/>
    <col customWidth="1" min="17" max="26" width="14.38"/>
  </cols>
  <sheetData>
    <row r="1" ht="46.5" customHeight="1">
      <c r="A1" s="399" t="s">
        <v>1017</v>
      </c>
      <c r="B1" s="321"/>
      <c r="C1" s="321"/>
      <c r="D1" s="321"/>
      <c r="E1" s="321"/>
      <c r="F1" s="321"/>
      <c r="G1" s="402"/>
      <c r="H1" s="387"/>
      <c r="I1" s="387"/>
      <c r="J1" s="387"/>
      <c r="K1" s="387"/>
      <c r="L1" s="387"/>
      <c r="M1" s="387"/>
      <c r="N1" s="387"/>
      <c r="O1" s="387"/>
      <c r="P1" s="387"/>
    </row>
    <row r="2" ht="18.0" customHeight="1">
      <c r="A2" s="388"/>
      <c r="B2" s="388"/>
      <c r="C2" s="388"/>
      <c r="D2" s="388"/>
      <c r="E2" s="389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</row>
    <row r="3" ht="6.75" customHeight="1">
      <c r="A3" s="388"/>
      <c r="B3" s="388"/>
      <c r="C3" s="388"/>
      <c r="D3" s="388"/>
      <c r="E3" s="389"/>
      <c r="F3" s="387"/>
      <c r="G3" s="387"/>
      <c r="H3" s="387"/>
      <c r="I3" s="387"/>
      <c r="J3" s="387"/>
      <c r="K3" s="387"/>
      <c r="L3" s="387"/>
      <c r="M3" s="387"/>
      <c r="N3" s="387"/>
      <c r="O3" s="387"/>
      <c r="P3" s="387"/>
    </row>
    <row r="4" ht="15.0" customHeight="1">
      <c r="A4" s="322"/>
      <c r="B4" s="322"/>
      <c r="C4" s="322"/>
      <c r="D4" s="322"/>
      <c r="E4" s="323"/>
      <c r="F4" s="324"/>
      <c r="G4" s="324"/>
      <c r="H4" s="387"/>
      <c r="I4" s="388"/>
      <c r="J4" s="322"/>
      <c r="K4" s="322"/>
      <c r="L4" s="322"/>
      <c r="M4" s="322"/>
      <c r="N4" s="323"/>
      <c r="O4" s="324"/>
      <c r="P4" s="387"/>
    </row>
    <row r="5" ht="4.5" customHeight="1">
      <c r="A5" s="322"/>
      <c r="B5" s="325"/>
      <c r="C5" s="322"/>
      <c r="D5" s="322"/>
      <c r="E5" s="323"/>
      <c r="F5" s="326"/>
      <c r="G5" s="326"/>
      <c r="H5" s="404"/>
      <c r="I5" s="388"/>
      <c r="J5" s="322"/>
      <c r="K5" s="325"/>
      <c r="L5" s="322"/>
      <c r="M5" s="322"/>
      <c r="N5" s="323"/>
      <c r="O5" s="326"/>
      <c r="P5" s="387"/>
    </row>
    <row r="6" ht="18.0" customHeight="1">
      <c r="A6" s="322"/>
      <c r="B6" s="327" t="s">
        <v>931</v>
      </c>
      <c r="C6" s="328" t="s">
        <v>1019</v>
      </c>
      <c r="D6" s="329"/>
      <c r="E6" s="323"/>
      <c r="F6" s="326"/>
      <c r="G6" s="326"/>
      <c r="H6" s="404"/>
      <c r="I6" s="388"/>
      <c r="J6" s="322"/>
      <c r="K6" s="327" t="s">
        <v>931</v>
      </c>
      <c r="L6" s="328" t="s">
        <v>57</v>
      </c>
      <c r="M6" s="329"/>
      <c r="N6" s="323"/>
      <c r="O6" s="326"/>
      <c r="P6" s="387"/>
    </row>
    <row r="7" ht="4.5" customHeight="1">
      <c r="A7" s="322"/>
      <c r="B7" s="325"/>
      <c r="C7" s="322"/>
      <c r="D7" s="322"/>
      <c r="E7" s="323"/>
      <c r="F7" s="326"/>
      <c r="G7" s="326"/>
      <c r="H7" s="404"/>
      <c r="I7" s="388"/>
      <c r="J7" s="322"/>
      <c r="K7" s="325"/>
      <c r="L7" s="322"/>
      <c r="M7" s="322"/>
      <c r="N7" s="323"/>
      <c r="O7" s="326"/>
      <c r="P7" s="387"/>
    </row>
    <row r="8" ht="18.0" customHeight="1">
      <c r="A8" s="322"/>
      <c r="B8" s="327" t="s">
        <v>935</v>
      </c>
      <c r="C8" s="331">
        <f>3.5*100000</f>
        <v>350000</v>
      </c>
      <c r="D8" s="329"/>
      <c r="E8" s="323"/>
      <c r="F8" s="326"/>
      <c r="G8" s="326"/>
      <c r="H8" s="404"/>
      <c r="I8" s="388"/>
      <c r="J8" s="322"/>
      <c r="K8" s="327" t="s">
        <v>935</v>
      </c>
      <c r="L8" s="331">
        <v>70000.0</v>
      </c>
      <c r="M8" s="329"/>
      <c r="N8" s="323"/>
      <c r="O8" s="326"/>
      <c r="P8" s="387"/>
    </row>
    <row r="9" ht="4.5" customHeight="1">
      <c r="A9" s="322"/>
      <c r="B9" s="327"/>
      <c r="C9" s="332"/>
      <c r="D9" s="332"/>
      <c r="E9" s="323"/>
      <c r="F9" s="326"/>
      <c r="G9" s="326"/>
      <c r="H9" s="404"/>
      <c r="I9" s="388"/>
      <c r="J9" s="322"/>
      <c r="K9" s="327"/>
      <c r="L9" s="332"/>
      <c r="M9" s="332"/>
      <c r="N9" s="323"/>
      <c r="O9" s="326"/>
      <c r="P9" s="387"/>
    </row>
    <row r="10" ht="18.0" customHeight="1">
      <c r="A10" s="322"/>
      <c r="B10" s="327" t="s">
        <v>939</v>
      </c>
      <c r="C10" s="333" t="str">
        <f>IF(SUM(E22,E37,E45)=0,"",SUM(E22,E37,E45))</f>
        <v>#REF!</v>
      </c>
      <c r="D10" s="321"/>
      <c r="E10" s="323" t="str">
        <f>C10/90000</f>
        <v>#REF!</v>
      </c>
      <c r="F10" s="326"/>
      <c r="G10" s="326"/>
      <c r="H10" s="404"/>
      <c r="I10" s="388"/>
      <c r="J10" s="322"/>
      <c r="K10" s="327" t="s">
        <v>939</v>
      </c>
      <c r="L10" s="333" t="str">
        <f>IF(SUM(N22,N37,N45)=0,"",SUM(N22,N37,N45))</f>
        <v>#REF!</v>
      </c>
      <c r="M10" s="321"/>
      <c r="N10" s="323"/>
      <c r="O10" s="326"/>
      <c r="P10" s="387"/>
    </row>
    <row r="11" ht="4.5" customHeight="1">
      <c r="A11" s="322"/>
      <c r="B11" s="327"/>
      <c r="C11" s="334"/>
      <c r="D11" s="334"/>
      <c r="E11" s="323"/>
      <c r="F11" s="326"/>
      <c r="G11" s="326"/>
      <c r="H11" s="404"/>
      <c r="I11" s="388"/>
      <c r="J11" s="322"/>
      <c r="K11" s="327"/>
      <c r="L11" s="334"/>
      <c r="M11" s="334"/>
      <c r="N11" s="323"/>
      <c r="O11" s="326"/>
      <c r="P11" s="387"/>
    </row>
    <row r="12" ht="18.0" customHeight="1">
      <c r="A12" s="322"/>
      <c r="B12" s="327" t="s">
        <v>946</v>
      </c>
      <c r="C12" s="335" t="str">
        <f>IF(C10="","",IF(ISBLANK(C8),"",C10/C8))</f>
        <v>#REF!</v>
      </c>
      <c r="D12" s="321"/>
      <c r="E12" s="323"/>
      <c r="F12" s="326"/>
      <c r="G12" s="326"/>
      <c r="H12" s="404"/>
      <c r="I12" s="388"/>
      <c r="J12" s="322"/>
      <c r="K12" s="327" t="s">
        <v>946</v>
      </c>
      <c r="L12" s="335" t="str">
        <f>IF(L10="","",IF(ISBLANK(L8),"",L10/L8))</f>
        <v>#REF!</v>
      </c>
      <c r="M12" s="321"/>
      <c r="N12" s="323"/>
      <c r="O12" s="326"/>
      <c r="P12" s="387"/>
    </row>
    <row r="13" ht="4.5" customHeight="1">
      <c r="A13" s="322"/>
      <c r="B13" s="327"/>
      <c r="C13" s="334"/>
      <c r="D13" s="334"/>
      <c r="E13" s="323"/>
      <c r="F13" s="326"/>
      <c r="G13" s="326"/>
      <c r="H13" s="404"/>
      <c r="I13" s="388"/>
      <c r="J13" s="322"/>
      <c r="K13" s="327"/>
      <c r="L13" s="334"/>
      <c r="M13" s="334"/>
      <c r="N13" s="323"/>
      <c r="O13" s="326"/>
      <c r="P13" s="387"/>
    </row>
    <row r="14" ht="18.0" customHeight="1">
      <c r="A14" s="322"/>
      <c r="B14" s="327" t="s">
        <v>950</v>
      </c>
      <c r="C14" s="333" t="str">
        <f>C8-C10</f>
        <v>#REF!</v>
      </c>
      <c r="D14" s="321"/>
      <c r="E14" s="323"/>
      <c r="F14" s="326"/>
      <c r="G14" s="326"/>
      <c r="H14" s="404"/>
      <c r="I14" s="388"/>
      <c r="J14" s="322"/>
      <c r="K14" s="327" t="s">
        <v>950</v>
      </c>
      <c r="L14" s="333" t="str">
        <f>L8-L10</f>
        <v>#REF!</v>
      </c>
      <c r="M14" s="321"/>
      <c r="N14" s="323"/>
      <c r="O14" s="326"/>
      <c r="P14" s="387"/>
    </row>
    <row r="15" ht="15.0" customHeight="1">
      <c r="A15" s="322"/>
      <c r="B15" s="322"/>
      <c r="C15" s="322"/>
      <c r="D15" s="322"/>
      <c r="E15" s="323"/>
      <c r="F15" s="324"/>
      <c r="G15" s="324"/>
      <c r="H15" s="404"/>
      <c r="I15" s="388"/>
      <c r="J15" s="322"/>
      <c r="K15" s="322"/>
      <c r="L15" s="322"/>
      <c r="M15" s="322"/>
      <c r="N15" s="323"/>
      <c r="O15" s="324"/>
      <c r="P15" s="387"/>
    </row>
    <row r="16" ht="12.75" customHeight="1">
      <c r="A16" s="322"/>
      <c r="B16" s="322"/>
      <c r="C16" s="322"/>
      <c r="D16" s="322"/>
      <c r="E16" s="337"/>
      <c r="F16" s="324"/>
      <c r="G16" s="324"/>
      <c r="H16" s="387"/>
      <c r="I16" s="388"/>
      <c r="J16" s="322"/>
      <c r="K16" s="322"/>
      <c r="L16" s="322"/>
      <c r="M16" s="322"/>
      <c r="N16" s="337"/>
      <c r="O16" s="324"/>
      <c r="P16" s="387"/>
    </row>
    <row r="17" ht="12.75" customHeight="1">
      <c r="A17" s="322"/>
      <c r="B17" s="338" t="s">
        <v>951</v>
      </c>
      <c r="C17" s="339"/>
      <c r="D17" s="339"/>
      <c r="E17" s="339"/>
      <c r="F17" s="324"/>
      <c r="G17" s="324"/>
      <c r="H17" s="410"/>
      <c r="I17" s="388"/>
      <c r="J17" s="322"/>
      <c r="K17" s="338" t="s">
        <v>951</v>
      </c>
      <c r="L17" s="339"/>
      <c r="M17" s="339"/>
      <c r="N17" s="339"/>
      <c r="O17" s="324"/>
      <c r="P17" s="387"/>
    </row>
    <row r="18" ht="12.75" customHeight="1">
      <c r="A18" s="322"/>
      <c r="B18" s="340" t="s">
        <v>953</v>
      </c>
      <c r="C18" s="341" t="s">
        <v>954</v>
      </c>
      <c r="D18" s="341" t="s">
        <v>955</v>
      </c>
      <c r="E18" s="341" t="s">
        <v>35</v>
      </c>
      <c r="F18" s="324"/>
      <c r="G18" s="324"/>
      <c r="H18" s="387"/>
      <c r="I18" s="388"/>
      <c r="J18" s="322"/>
      <c r="K18" s="340" t="s">
        <v>953</v>
      </c>
      <c r="L18" s="341" t="s">
        <v>954</v>
      </c>
      <c r="M18" s="341" t="s">
        <v>955</v>
      </c>
      <c r="N18" s="341" t="s">
        <v>35</v>
      </c>
      <c r="O18" s="324"/>
      <c r="P18" s="387"/>
    </row>
    <row r="19" ht="12.75" customHeight="1">
      <c r="A19" s="322"/>
      <c r="B19" s="60" t="s">
        <v>33</v>
      </c>
      <c r="C19" s="342">
        <v>0.4</v>
      </c>
      <c r="D19" s="343">
        <f>'F&amp;B'!$F$68/10</f>
        <v>19665</v>
      </c>
      <c r="E19" s="67">
        <f>IF(OR(ISBLANK(C19),ISBLANK(D19)),"",D19*C19)</f>
        <v>7866</v>
      </c>
      <c r="F19" s="324"/>
      <c r="G19" s="324"/>
      <c r="H19" s="387"/>
      <c r="I19" s="388"/>
      <c r="J19" s="322"/>
      <c r="K19" s="60" t="s">
        <v>33</v>
      </c>
      <c r="L19" s="342">
        <v>0.4</v>
      </c>
      <c r="M19" s="343">
        <f>D19</f>
        <v>19665</v>
      </c>
      <c r="N19" s="67">
        <f>IF(OR(ISBLANK(L19),ISBLANK(M19)),"",M19*L19)</f>
        <v>7866</v>
      </c>
      <c r="O19" s="324"/>
      <c r="P19" s="387"/>
    </row>
    <row r="20" ht="12.75" customHeight="1">
      <c r="A20" s="322"/>
      <c r="B20" s="348"/>
      <c r="C20" s="346"/>
      <c r="D20" s="347"/>
      <c r="E20" s="349"/>
      <c r="F20" s="324"/>
      <c r="G20" s="324"/>
      <c r="H20" s="387"/>
      <c r="I20" s="388"/>
      <c r="J20" s="322"/>
      <c r="K20" s="348"/>
      <c r="L20" s="346"/>
      <c r="M20" s="347"/>
      <c r="N20" s="349"/>
      <c r="O20" s="324"/>
      <c r="P20" s="387"/>
    </row>
    <row r="21" ht="12.75" customHeight="1">
      <c r="A21" s="322"/>
      <c r="B21" s="354"/>
      <c r="C21" s="355"/>
      <c r="D21" s="356"/>
      <c r="E21" s="357" t="str">
        <f>IF(OR(ISBLANK(C21),ISBLANK(D21)),"",D21*C21)</f>
        <v/>
      </c>
      <c r="F21" s="324"/>
      <c r="G21" s="324"/>
      <c r="H21" s="387"/>
      <c r="I21" s="388"/>
      <c r="J21" s="322"/>
      <c r="K21" s="354"/>
      <c r="L21" s="355"/>
      <c r="M21" s="356"/>
      <c r="N21" s="357" t="str">
        <f>IF(OR(ISBLANK(L21),ISBLANK(M21)),"",M21*L21)</f>
        <v/>
      </c>
      <c r="O21" s="324"/>
      <c r="P21" s="387"/>
    </row>
    <row r="22" ht="12.75" customHeight="1">
      <c r="A22" s="322"/>
      <c r="B22" s="338" t="s">
        <v>84</v>
      </c>
      <c r="C22" s="358"/>
      <c r="D22" s="358"/>
      <c r="E22" s="359">
        <f>IF(SUM(E19:E21)=0,"",SUM(E19:E21))</f>
        <v>7866</v>
      </c>
      <c r="F22" s="324"/>
      <c r="G22" s="324"/>
      <c r="H22" s="387"/>
      <c r="I22" s="388"/>
      <c r="J22" s="322"/>
      <c r="K22" s="338" t="s">
        <v>84</v>
      </c>
      <c r="L22" s="358"/>
      <c r="M22" s="358"/>
      <c r="N22" s="359">
        <f>IF(SUM(N19:N21)=0,"",SUM(N19:N21))</f>
        <v>7866</v>
      </c>
      <c r="O22" s="324"/>
      <c r="P22" s="387"/>
    </row>
    <row r="23" ht="12.75" customHeight="1">
      <c r="A23" s="322"/>
      <c r="B23" s="360"/>
      <c r="C23" s="360"/>
      <c r="D23" s="360"/>
      <c r="E23" s="361"/>
      <c r="F23" s="324"/>
      <c r="G23" s="324"/>
      <c r="H23" s="387"/>
      <c r="I23" s="388"/>
      <c r="J23" s="322"/>
      <c r="K23" s="360"/>
      <c r="L23" s="360"/>
      <c r="M23" s="360"/>
      <c r="N23" s="361"/>
      <c r="O23" s="324"/>
      <c r="P23" s="387"/>
    </row>
    <row r="24" ht="12.75" customHeight="1">
      <c r="A24" s="322"/>
      <c r="B24" s="362" t="s">
        <v>972</v>
      </c>
      <c r="C24" s="363"/>
      <c r="D24" s="363"/>
      <c r="E24" s="363"/>
      <c r="F24" s="324"/>
      <c r="G24" s="324"/>
      <c r="H24" s="387"/>
      <c r="I24" s="388"/>
      <c r="J24" s="322"/>
      <c r="K24" s="362" t="s">
        <v>972</v>
      </c>
      <c r="L24" s="363"/>
      <c r="M24" s="363"/>
      <c r="N24" s="363"/>
      <c r="O24" s="324"/>
      <c r="P24" s="387"/>
    </row>
    <row r="25" ht="12.75" customHeight="1">
      <c r="A25" s="322"/>
      <c r="B25" s="365" t="s">
        <v>953</v>
      </c>
      <c r="C25" s="366" t="s">
        <v>3</v>
      </c>
      <c r="D25" s="366" t="s">
        <v>975</v>
      </c>
      <c r="E25" s="367" t="s">
        <v>35</v>
      </c>
      <c r="F25" s="324"/>
      <c r="G25" s="324"/>
      <c r="H25" s="387"/>
      <c r="I25" s="388"/>
      <c r="J25" s="322"/>
      <c r="K25" s="365" t="s">
        <v>953</v>
      </c>
      <c r="L25" s="366" t="s">
        <v>3</v>
      </c>
      <c r="M25" s="366" t="s">
        <v>975</v>
      </c>
      <c r="N25" s="367" t="s">
        <v>35</v>
      </c>
      <c r="O25" s="324"/>
      <c r="P25" s="387"/>
    </row>
    <row r="26" ht="12.75" customHeight="1">
      <c r="A26" s="322"/>
      <c r="B26" s="368"/>
      <c r="C26" s="366"/>
      <c r="D26" s="366"/>
      <c r="E26" s="368"/>
      <c r="F26" s="324"/>
      <c r="G26" s="324"/>
      <c r="H26" s="387"/>
      <c r="I26" s="388"/>
      <c r="J26" s="322"/>
      <c r="K26" s="368"/>
      <c r="L26" s="366"/>
      <c r="M26" s="366"/>
      <c r="N26" s="368"/>
      <c r="O26" s="324"/>
      <c r="P26" s="387"/>
    </row>
    <row r="27" ht="12.75" customHeight="1">
      <c r="A27" s="322"/>
      <c r="B27" s="60"/>
      <c r="C27" s="342"/>
      <c r="D27" s="343"/>
      <c r="E27" s="67">
        <f t="shared" ref="E27:E36" si="1">D27*C27</f>
        <v>0</v>
      </c>
      <c r="F27" s="324"/>
      <c r="G27" s="324"/>
      <c r="H27" s="387"/>
      <c r="I27" s="388"/>
      <c r="J27" s="322"/>
      <c r="K27" s="60" t="s">
        <v>1025</v>
      </c>
      <c r="L27" s="342">
        <v>0.05</v>
      </c>
      <c r="M27" s="343">
        <f>'F&amp;B'!$F$246/3.79</f>
        <v>56160.94987</v>
      </c>
      <c r="N27" s="67">
        <f t="shared" ref="N27:N36" si="2">M27*L27</f>
        <v>2808.047493</v>
      </c>
      <c r="O27" s="324"/>
      <c r="P27" s="387"/>
    </row>
    <row r="28" ht="12.75" customHeight="1">
      <c r="A28" s="322"/>
      <c r="B28" s="75"/>
      <c r="C28" s="370"/>
      <c r="D28" s="371"/>
      <c r="E28" s="67">
        <f t="shared" si="1"/>
        <v>0</v>
      </c>
      <c r="F28" s="324"/>
      <c r="G28" s="324"/>
      <c r="H28" s="387"/>
      <c r="I28" s="388"/>
      <c r="J28" s="322"/>
      <c r="K28" s="75"/>
      <c r="L28" s="370"/>
      <c r="M28" s="371"/>
      <c r="N28" s="67">
        <f t="shared" si="2"/>
        <v>0</v>
      </c>
      <c r="O28" s="324"/>
      <c r="P28" s="387"/>
    </row>
    <row r="29" ht="12.75" customHeight="1">
      <c r="A29" s="322"/>
      <c r="B29" s="75"/>
      <c r="C29" s="372"/>
      <c r="D29" s="371"/>
      <c r="E29" s="67">
        <f t="shared" si="1"/>
        <v>0</v>
      </c>
      <c r="F29" s="324"/>
      <c r="G29" s="324"/>
      <c r="H29" s="387"/>
      <c r="I29" s="388"/>
      <c r="J29" s="322"/>
      <c r="K29" s="75"/>
      <c r="L29" s="372"/>
      <c r="M29" s="371"/>
      <c r="N29" s="67">
        <f t="shared" si="2"/>
        <v>0</v>
      </c>
      <c r="O29" s="324"/>
      <c r="P29" s="387"/>
    </row>
    <row r="30" ht="12.75" customHeight="1">
      <c r="A30" s="322"/>
      <c r="B30" s="75"/>
      <c r="C30" s="346"/>
      <c r="D30" s="371"/>
      <c r="E30" s="67">
        <f t="shared" si="1"/>
        <v>0</v>
      </c>
      <c r="F30" s="324"/>
      <c r="G30" s="324"/>
      <c r="H30" s="387"/>
      <c r="I30" s="388"/>
      <c r="J30" s="322"/>
      <c r="K30" s="75"/>
      <c r="L30" s="346"/>
      <c r="M30" s="371"/>
      <c r="N30" s="67">
        <f t="shared" si="2"/>
        <v>0</v>
      </c>
      <c r="O30" s="324"/>
      <c r="P30" s="387"/>
    </row>
    <row r="31" ht="12.75" customHeight="1">
      <c r="A31" s="322"/>
      <c r="B31" s="75"/>
      <c r="C31" s="346"/>
      <c r="D31" s="371"/>
      <c r="E31" s="67">
        <f t="shared" si="1"/>
        <v>0</v>
      </c>
      <c r="F31" s="324"/>
      <c r="G31" s="324"/>
      <c r="H31" s="387"/>
      <c r="I31" s="388"/>
      <c r="J31" s="322"/>
      <c r="K31" s="75"/>
      <c r="L31" s="346"/>
      <c r="M31" s="371"/>
      <c r="N31" s="67">
        <f t="shared" si="2"/>
        <v>0</v>
      </c>
      <c r="O31" s="324"/>
      <c r="P31" s="387"/>
    </row>
    <row r="32" ht="12.75" customHeight="1">
      <c r="A32" s="322"/>
      <c r="B32" s="75"/>
      <c r="C32" s="346"/>
      <c r="D32" s="373"/>
      <c r="E32" s="67">
        <f t="shared" si="1"/>
        <v>0</v>
      </c>
      <c r="F32" s="324"/>
      <c r="G32" s="324"/>
      <c r="H32" s="387"/>
      <c r="I32" s="388"/>
      <c r="J32" s="322"/>
      <c r="K32" s="75"/>
      <c r="L32" s="346"/>
      <c r="M32" s="373"/>
      <c r="N32" s="67">
        <f t="shared" si="2"/>
        <v>0</v>
      </c>
      <c r="O32" s="324"/>
      <c r="P32" s="387"/>
    </row>
    <row r="33" ht="12.75" customHeight="1">
      <c r="A33" s="322"/>
      <c r="B33" s="348"/>
      <c r="C33" s="346"/>
      <c r="D33" s="373"/>
      <c r="E33" s="67">
        <f t="shared" si="1"/>
        <v>0</v>
      </c>
      <c r="F33" s="324"/>
      <c r="G33" s="324"/>
      <c r="H33" s="387"/>
      <c r="I33" s="388"/>
      <c r="J33" s="322"/>
      <c r="K33" s="348"/>
      <c r="L33" s="346"/>
      <c r="M33" s="373"/>
      <c r="N33" s="67">
        <f t="shared" si="2"/>
        <v>0</v>
      </c>
      <c r="O33" s="324"/>
      <c r="P33" s="387"/>
    </row>
    <row r="34" ht="12.75" customHeight="1">
      <c r="A34" s="322"/>
      <c r="B34" s="348"/>
      <c r="C34" s="346"/>
      <c r="D34" s="373"/>
      <c r="E34" s="67">
        <f t="shared" si="1"/>
        <v>0</v>
      </c>
      <c r="F34" s="324"/>
      <c r="G34" s="324"/>
      <c r="H34" s="387"/>
      <c r="I34" s="388"/>
      <c r="J34" s="322"/>
      <c r="K34" s="348"/>
      <c r="L34" s="346"/>
      <c r="M34" s="373"/>
      <c r="N34" s="67">
        <f t="shared" si="2"/>
        <v>0</v>
      </c>
      <c r="O34" s="324"/>
      <c r="P34" s="387"/>
    </row>
    <row r="35" ht="12.75" customHeight="1">
      <c r="A35" s="322"/>
      <c r="B35" s="348"/>
      <c r="C35" s="346"/>
      <c r="D35" s="373"/>
      <c r="E35" s="67">
        <f t="shared" si="1"/>
        <v>0</v>
      </c>
      <c r="F35" s="324"/>
      <c r="G35" s="324"/>
      <c r="H35" s="387"/>
      <c r="I35" s="388"/>
      <c r="J35" s="322"/>
      <c r="K35" s="348"/>
      <c r="L35" s="346"/>
      <c r="M35" s="373"/>
      <c r="N35" s="67">
        <f t="shared" si="2"/>
        <v>0</v>
      </c>
      <c r="O35" s="324"/>
      <c r="P35" s="387"/>
    </row>
    <row r="36" ht="12.75" customHeight="1">
      <c r="A36" s="322"/>
      <c r="B36" s="354"/>
      <c r="C36" s="355"/>
      <c r="D36" s="356"/>
      <c r="E36" s="67">
        <f t="shared" si="1"/>
        <v>0</v>
      </c>
      <c r="F36" s="324"/>
      <c r="G36" s="324"/>
      <c r="H36" s="387"/>
      <c r="I36" s="388"/>
      <c r="J36" s="322"/>
      <c r="K36" s="354"/>
      <c r="L36" s="355"/>
      <c r="M36" s="356"/>
      <c r="N36" s="67">
        <f t="shared" si="2"/>
        <v>0</v>
      </c>
      <c r="O36" s="324"/>
      <c r="P36" s="387"/>
    </row>
    <row r="37" ht="12.75" customHeight="1">
      <c r="A37" s="322"/>
      <c r="B37" s="362" t="s">
        <v>84</v>
      </c>
      <c r="C37" s="374"/>
      <c r="D37" s="374"/>
      <c r="E37" s="375" t="str">
        <f>IF(SUM(E27:E36)=0,"",SUM(E27:E36))</f>
        <v/>
      </c>
      <c r="F37" s="324"/>
      <c r="G37" s="324"/>
      <c r="H37" s="387"/>
      <c r="I37" s="388"/>
      <c r="J37" s="322"/>
      <c r="K37" s="362" t="s">
        <v>84</v>
      </c>
      <c r="L37" s="374"/>
      <c r="M37" s="374"/>
      <c r="N37" s="375">
        <f>IF(SUM(N27:N36)=0,"",SUM(N27:N36))</f>
        <v>2808.047493</v>
      </c>
      <c r="O37" s="324"/>
      <c r="P37" s="387"/>
    </row>
    <row r="38" ht="12.75" customHeight="1">
      <c r="A38" s="322"/>
      <c r="B38" s="360"/>
      <c r="C38" s="360"/>
      <c r="D38" s="360"/>
      <c r="E38" s="361"/>
      <c r="F38" s="324"/>
      <c r="G38" s="324"/>
      <c r="H38" s="387"/>
      <c r="I38" s="388"/>
      <c r="J38" s="322"/>
      <c r="K38" s="360"/>
      <c r="L38" s="360"/>
      <c r="M38" s="360"/>
      <c r="N38" s="361"/>
      <c r="O38" s="324"/>
      <c r="P38" s="387"/>
    </row>
    <row r="39" ht="12.75" customHeight="1">
      <c r="A39" s="322"/>
      <c r="B39" s="34" t="s">
        <v>17</v>
      </c>
      <c r="C39" s="35"/>
      <c r="D39" s="35"/>
      <c r="E39" s="35"/>
      <c r="F39" s="324"/>
      <c r="G39" s="324"/>
      <c r="H39" s="387"/>
      <c r="I39" s="388"/>
      <c r="J39" s="322"/>
      <c r="K39" s="34" t="s">
        <v>17</v>
      </c>
      <c r="L39" s="35"/>
      <c r="M39" s="35"/>
      <c r="N39" s="35"/>
      <c r="O39" s="324"/>
      <c r="P39" s="387"/>
    </row>
    <row r="40" ht="12.75" customHeight="1">
      <c r="A40" s="322"/>
      <c r="B40" s="52" t="s">
        <v>42</v>
      </c>
      <c r="C40" s="54"/>
      <c r="D40" s="54"/>
      <c r="E40" s="56" t="s">
        <v>35</v>
      </c>
      <c r="F40" s="324"/>
      <c r="G40" s="324"/>
      <c r="H40" s="387"/>
      <c r="I40" s="388"/>
      <c r="J40" s="322"/>
      <c r="K40" s="52" t="s">
        <v>42</v>
      </c>
      <c r="L40" s="54"/>
      <c r="M40" s="54"/>
      <c r="N40" s="56" t="s">
        <v>35</v>
      </c>
      <c r="O40" s="324"/>
      <c r="P40" s="387"/>
    </row>
    <row r="41" ht="12.75" customHeight="1">
      <c r="A41" s="322"/>
      <c r="B41" s="60" t="s">
        <v>40</v>
      </c>
      <c r="C41" s="343">
        <f>'UTL COST'!$B$3</f>
        <v>369000</v>
      </c>
      <c r="D41" s="379">
        <f>'UTL COST'!$C$3</f>
        <v>0.0075</v>
      </c>
      <c r="E41" s="67">
        <f>'UTL COST'!$D$3</f>
        <v>2767.5</v>
      </c>
      <c r="F41" s="324"/>
      <c r="G41" s="324"/>
      <c r="H41" s="387"/>
      <c r="I41" s="388"/>
      <c r="J41" s="322"/>
      <c r="K41" s="60" t="s">
        <v>40</v>
      </c>
      <c r="L41" s="343">
        <f>'UTL COST'!$B$3</f>
        <v>369000</v>
      </c>
      <c r="M41" s="379">
        <f>'UTL COST'!$C$3</f>
        <v>0.0075</v>
      </c>
      <c r="N41" s="67">
        <f>'UTL COST'!$D$3</f>
        <v>2767.5</v>
      </c>
      <c r="O41" s="324"/>
      <c r="P41" s="387"/>
    </row>
    <row r="42" ht="12.75" customHeight="1">
      <c r="A42" s="322"/>
      <c r="B42" s="75" t="s">
        <v>51</v>
      </c>
      <c r="C42" s="371" t="str">
        <f>'UTL COST'!$B$4</f>
        <v>#REF!</v>
      </c>
      <c r="D42" s="382">
        <f>'UTL COST'!$C$4</f>
        <v>7000</v>
      </c>
      <c r="E42" s="76" t="str">
        <f>'UTL COST'!$D$4</f>
        <v>#REF!</v>
      </c>
      <c r="F42" s="324"/>
      <c r="G42" s="324"/>
      <c r="H42" s="416"/>
      <c r="I42" s="388"/>
      <c r="J42" s="322"/>
      <c r="K42" s="75" t="s">
        <v>51</v>
      </c>
      <c r="L42" s="371" t="str">
        <f>'UTL COST'!$B$4</f>
        <v>#REF!</v>
      </c>
      <c r="M42" s="382">
        <f>'UTL COST'!$C$4</f>
        <v>7000</v>
      </c>
      <c r="N42" s="76" t="str">
        <f>'UTL COST'!$D$4</f>
        <v>#REF!</v>
      </c>
      <c r="O42" s="324"/>
      <c r="P42" s="387"/>
    </row>
    <row r="43" ht="12.75" customHeight="1">
      <c r="A43" s="322"/>
      <c r="B43" s="75" t="s">
        <v>59</v>
      </c>
      <c r="C43" s="371" t="str">
        <f>'UTL COST'!$B$5</f>
        <v>#REF!</v>
      </c>
      <c r="D43" s="382">
        <f>'UTL COST'!$C$5</f>
        <v>45000</v>
      </c>
      <c r="E43" s="76" t="str">
        <f>'UTL COST'!$D$5</f>
        <v>#REF!</v>
      </c>
      <c r="F43" s="324"/>
      <c r="G43" s="324"/>
      <c r="H43" s="387"/>
      <c r="I43" s="388"/>
      <c r="J43" s="322"/>
      <c r="K43" s="75" t="s">
        <v>59</v>
      </c>
      <c r="L43" s="371" t="str">
        <f>'UTL COST'!$B$5</f>
        <v>#REF!</v>
      </c>
      <c r="M43" s="382">
        <f>'UTL COST'!$C$5</f>
        <v>45000</v>
      </c>
      <c r="N43" s="76" t="str">
        <f>'UTL COST'!$D$5</f>
        <v>#REF!</v>
      </c>
      <c r="O43" s="324"/>
      <c r="P43" s="387"/>
    </row>
    <row r="44" ht="12.75" customHeight="1">
      <c r="A44" s="322"/>
      <c r="B44" s="87" t="s">
        <v>78</v>
      </c>
      <c r="C44" s="371" t="str">
        <f>'UTL COST'!$B$6</f>
        <v>#REF!</v>
      </c>
      <c r="D44" s="383">
        <f>'UTL COST'!$C$6</f>
        <v>525</v>
      </c>
      <c r="E44" s="89">
        <v>0.1</v>
      </c>
      <c r="F44" s="324"/>
      <c r="G44" s="324"/>
      <c r="H44" s="387"/>
      <c r="I44" s="388"/>
      <c r="J44" s="322"/>
      <c r="K44" s="87" t="s">
        <v>78</v>
      </c>
      <c r="L44" s="371" t="str">
        <f>'UTL COST'!$B$6</f>
        <v>#REF!</v>
      </c>
      <c r="M44" s="383">
        <f>'UTL COST'!$C$6</f>
        <v>525</v>
      </c>
      <c r="N44" s="89">
        <v>0.1</v>
      </c>
      <c r="O44" s="324"/>
      <c r="P44" s="387"/>
    </row>
    <row r="45" ht="12.75" customHeight="1">
      <c r="A45" s="322"/>
      <c r="B45" s="34" t="s">
        <v>84</v>
      </c>
      <c r="C45" s="102"/>
      <c r="D45" s="102"/>
      <c r="E45" s="104" t="str">
        <f>IF(SUM(E41:E44)=0,"",SUM(E41:E44))</f>
        <v>#REF!</v>
      </c>
      <c r="F45" s="324"/>
      <c r="G45" s="324"/>
      <c r="H45" s="387"/>
      <c r="I45" s="388"/>
      <c r="J45" s="322"/>
      <c r="K45" s="34" t="s">
        <v>84</v>
      </c>
      <c r="L45" s="102"/>
      <c r="M45" s="102"/>
      <c r="N45" s="104" t="str">
        <f>IF(SUM(N41:N44)=0,"",SUM(N41:N44))</f>
        <v>#REF!</v>
      </c>
      <c r="O45" s="324"/>
      <c r="P45" s="387"/>
    </row>
    <row r="46" ht="12.75" customHeight="1">
      <c r="A46" s="322"/>
      <c r="B46" s="360"/>
      <c r="C46" s="360"/>
      <c r="D46" s="360"/>
      <c r="E46" s="361"/>
      <c r="F46" s="324"/>
      <c r="G46" s="324"/>
      <c r="H46" s="387"/>
      <c r="I46" s="388"/>
      <c r="J46" s="322"/>
      <c r="K46" s="360"/>
      <c r="L46" s="360"/>
      <c r="M46" s="360"/>
      <c r="N46" s="361"/>
      <c r="O46" s="324"/>
      <c r="P46" s="387"/>
    </row>
    <row r="47" ht="12.75" customHeight="1">
      <c r="A47" s="387"/>
      <c r="B47" s="387"/>
      <c r="C47" s="387"/>
      <c r="D47" s="387"/>
      <c r="E47" s="418"/>
      <c r="F47" s="387"/>
      <c r="G47" s="387"/>
      <c r="H47" s="387"/>
      <c r="I47" s="387"/>
      <c r="J47" s="387"/>
      <c r="K47" s="387"/>
      <c r="L47" s="387"/>
      <c r="M47" s="387"/>
      <c r="N47" s="387"/>
      <c r="O47" s="387"/>
      <c r="P47" s="387"/>
    </row>
    <row r="48" ht="12.75" customHeight="1">
      <c r="A48" s="322"/>
      <c r="B48" s="322"/>
      <c r="C48" s="322"/>
      <c r="D48" s="322"/>
      <c r="E48" s="323"/>
      <c r="F48" s="324"/>
      <c r="G48" s="324"/>
      <c r="H48" s="387"/>
      <c r="I48" s="388"/>
      <c r="J48" s="322"/>
      <c r="K48" s="322"/>
      <c r="L48" s="322"/>
      <c r="M48" s="322"/>
      <c r="N48" s="323"/>
      <c r="O48" s="324"/>
      <c r="P48" s="387"/>
    </row>
    <row r="49" ht="12.75" customHeight="1">
      <c r="A49" s="322"/>
      <c r="B49" s="325"/>
      <c r="C49" s="322"/>
      <c r="D49" s="322"/>
      <c r="E49" s="323"/>
      <c r="F49" s="326"/>
      <c r="G49" s="326"/>
      <c r="H49" s="404"/>
      <c r="I49" s="388"/>
      <c r="J49" s="322"/>
      <c r="K49" s="325"/>
      <c r="L49" s="322"/>
      <c r="M49" s="322"/>
      <c r="N49" s="323"/>
      <c r="O49" s="326"/>
      <c r="P49" s="387"/>
    </row>
    <row r="50" ht="12.75" customHeight="1">
      <c r="A50" s="322"/>
      <c r="B50" s="327" t="s">
        <v>931</v>
      </c>
      <c r="C50" s="328" t="s">
        <v>67</v>
      </c>
      <c r="D50" s="329"/>
      <c r="E50" s="323"/>
      <c r="F50" s="326"/>
      <c r="G50" s="326"/>
      <c r="H50" s="404"/>
      <c r="I50" s="388"/>
      <c r="J50" s="322"/>
      <c r="K50" s="327" t="s">
        <v>931</v>
      </c>
      <c r="L50" s="328" t="s">
        <v>85</v>
      </c>
      <c r="M50" s="329"/>
      <c r="N50" s="323"/>
      <c r="O50" s="326"/>
      <c r="P50" s="387"/>
    </row>
    <row r="51" ht="12.75" customHeight="1">
      <c r="A51" s="322"/>
      <c r="B51" s="325"/>
      <c r="C51" s="322"/>
      <c r="D51" s="322"/>
      <c r="E51" s="323"/>
      <c r="F51" s="326"/>
      <c r="G51" s="326"/>
      <c r="H51" s="404"/>
      <c r="I51" s="388"/>
      <c r="J51" s="322"/>
      <c r="K51" s="325"/>
      <c r="L51" s="322"/>
      <c r="M51" s="322"/>
      <c r="N51" s="323"/>
      <c r="O51" s="326"/>
      <c r="P51" s="387"/>
    </row>
    <row r="52" ht="12.75" customHeight="1">
      <c r="A52" s="322"/>
      <c r="B52" s="327" t="s">
        <v>935</v>
      </c>
      <c r="C52" s="331">
        <v>53000.0</v>
      </c>
      <c r="D52" s="329"/>
      <c r="E52" s="323"/>
      <c r="F52" s="326"/>
      <c r="G52" s="326"/>
      <c r="H52" s="404"/>
      <c r="I52" s="388"/>
      <c r="J52" s="322"/>
      <c r="K52" s="327" t="s">
        <v>935</v>
      </c>
      <c r="L52" s="331">
        <v>82000.0</v>
      </c>
      <c r="M52" s="329"/>
      <c r="N52" s="323"/>
      <c r="O52" s="326"/>
      <c r="P52" s="387"/>
    </row>
    <row r="53" ht="12.75" customHeight="1">
      <c r="A53" s="322"/>
      <c r="B53" s="327"/>
      <c r="C53" s="332"/>
      <c r="D53" s="332"/>
      <c r="E53" s="323"/>
      <c r="F53" s="326"/>
      <c r="G53" s="326"/>
      <c r="H53" s="404"/>
      <c r="I53" s="388"/>
      <c r="J53" s="322"/>
      <c r="K53" s="327"/>
      <c r="L53" s="332"/>
      <c r="M53" s="332"/>
      <c r="N53" s="323"/>
      <c r="O53" s="326"/>
      <c r="P53" s="387"/>
    </row>
    <row r="54" ht="12.75" customHeight="1">
      <c r="A54" s="322"/>
      <c r="B54" s="327" t="s">
        <v>939</v>
      </c>
      <c r="C54" s="333" t="str">
        <f>IF(SUM(E66,E81,E89)=0,"",SUM(E66,E81,E89))</f>
        <v>#REF!</v>
      </c>
      <c r="D54" s="321"/>
      <c r="E54" s="323"/>
      <c r="F54" s="326"/>
      <c r="G54" s="326"/>
      <c r="H54" s="404"/>
      <c r="I54" s="388"/>
      <c r="J54" s="322"/>
      <c r="K54" s="327" t="s">
        <v>939</v>
      </c>
      <c r="L54" s="333" t="str">
        <f>IF(SUM(N66,N81,N89)=0,"",SUM(N66,N81,N89))</f>
        <v>#REF!</v>
      </c>
      <c r="M54" s="321"/>
      <c r="N54" s="323"/>
      <c r="O54" s="326"/>
      <c r="P54" s="387"/>
    </row>
    <row r="55" ht="12.75" customHeight="1">
      <c r="A55" s="322"/>
      <c r="B55" s="327"/>
      <c r="C55" s="334"/>
      <c r="D55" s="334"/>
      <c r="E55" s="323"/>
      <c r="F55" s="326"/>
      <c r="G55" s="326"/>
      <c r="H55" s="404"/>
      <c r="I55" s="388"/>
      <c r="J55" s="322"/>
      <c r="K55" s="327"/>
      <c r="L55" s="334"/>
      <c r="M55" s="334"/>
      <c r="N55" s="323"/>
      <c r="O55" s="326"/>
      <c r="P55" s="387"/>
    </row>
    <row r="56" ht="12.75" customHeight="1">
      <c r="A56" s="322"/>
      <c r="B56" s="327" t="s">
        <v>946</v>
      </c>
      <c r="C56" s="335" t="str">
        <f>IF(C54="","",IF(ISBLANK(C52),"",C54/C52))</f>
        <v>#REF!</v>
      </c>
      <c r="D56" s="321"/>
      <c r="E56" s="323"/>
      <c r="F56" s="326"/>
      <c r="G56" s="326"/>
      <c r="H56" s="404"/>
      <c r="I56" s="388"/>
      <c r="J56" s="322"/>
      <c r="K56" s="327" t="s">
        <v>946</v>
      </c>
      <c r="L56" s="335" t="str">
        <f>IF(L54="","",IF(ISBLANK(L52),"",L54/L52))</f>
        <v>#REF!</v>
      </c>
      <c r="M56" s="321"/>
      <c r="N56" s="323"/>
      <c r="O56" s="326"/>
      <c r="P56" s="387"/>
    </row>
    <row r="57" ht="12.75" customHeight="1">
      <c r="A57" s="322"/>
      <c r="B57" s="327"/>
      <c r="C57" s="334"/>
      <c r="D57" s="334"/>
      <c r="E57" s="323"/>
      <c r="F57" s="326"/>
      <c r="G57" s="326"/>
      <c r="H57" s="404"/>
      <c r="I57" s="388"/>
      <c r="J57" s="322"/>
      <c r="K57" s="327"/>
      <c r="L57" s="334"/>
      <c r="M57" s="334"/>
      <c r="N57" s="323"/>
      <c r="O57" s="326"/>
      <c r="P57" s="387"/>
    </row>
    <row r="58" ht="12.75" customHeight="1">
      <c r="A58" s="322"/>
      <c r="B58" s="327" t="s">
        <v>950</v>
      </c>
      <c r="C58" s="333" t="str">
        <f>C52-C54</f>
        <v>#REF!</v>
      </c>
      <c r="D58" s="321"/>
      <c r="E58" s="323"/>
      <c r="F58" s="326"/>
      <c r="G58" s="326"/>
      <c r="H58" s="404"/>
      <c r="I58" s="388"/>
      <c r="J58" s="322"/>
      <c r="K58" s="327" t="s">
        <v>950</v>
      </c>
      <c r="L58" s="333" t="str">
        <f>L52-L54</f>
        <v>#REF!</v>
      </c>
      <c r="M58" s="321"/>
      <c r="N58" s="323"/>
      <c r="O58" s="326"/>
      <c r="P58" s="387"/>
    </row>
    <row r="59" ht="12.75" customHeight="1">
      <c r="A59" s="322"/>
      <c r="B59" s="322"/>
      <c r="C59" s="322"/>
      <c r="D59" s="322"/>
      <c r="E59" s="323"/>
      <c r="F59" s="324"/>
      <c r="G59" s="324"/>
      <c r="H59" s="404"/>
      <c r="I59" s="388"/>
      <c r="J59" s="322"/>
      <c r="K59" s="322"/>
      <c r="L59" s="322"/>
      <c r="M59" s="322"/>
      <c r="N59" s="323"/>
      <c r="O59" s="324"/>
      <c r="P59" s="387"/>
    </row>
    <row r="60" ht="12.75" customHeight="1">
      <c r="A60" s="322"/>
      <c r="B60" s="322"/>
      <c r="C60" s="322"/>
      <c r="D60" s="322"/>
      <c r="E60" s="337"/>
      <c r="F60" s="324"/>
      <c r="G60" s="324"/>
      <c r="H60" s="387"/>
      <c r="I60" s="388"/>
      <c r="J60" s="322"/>
      <c r="K60" s="322"/>
      <c r="L60" s="322"/>
      <c r="M60" s="322"/>
      <c r="N60" s="337"/>
      <c r="O60" s="324"/>
      <c r="P60" s="387"/>
    </row>
    <row r="61" ht="12.75" customHeight="1">
      <c r="A61" s="322"/>
      <c r="B61" s="338" t="s">
        <v>951</v>
      </c>
      <c r="C61" s="339"/>
      <c r="D61" s="339"/>
      <c r="E61" s="339"/>
      <c r="F61" s="324"/>
      <c r="G61" s="324"/>
      <c r="H61" s="410"/>
      <c r="I61" s="388"/>
      <c r="J61" s="322"/>
      <c r="K61" s="338" t="s">
        <v>951</v>
      </c>
      <c r="L61" s="339"/>
      <c r="M61" s="339"/>
      <c r="N61" s="339"/>
      <c r="O61" s="324"/>
      <c r="P61" s="387"/>
    </row>
    <row r="62" ht="12.75" customHeight="1">
      <c r="A62" s="322"/>
      <c r="B62" s="340" t="s">
        <v>953</v>
      </c>
      <c r="C62" s="341" t="s">
        <v>954</v>
      </c>
      <c r="D62" s="341" t="s">
        <v>955</v>
      </c>
      <c r="E62" s="341" t="s">
        <v>35</v>
      </c>
      <c r="F62" s="324"/>
      <c r="G62" s="324"/>
      <c r="H62" s="387" t="s">
        <v>1035</v>
      </c>
      <c r="I62" s="388"/>
      <c r="J62" s="322"/>
      <c r="K62" s="340" t="s">
        <v>953</v>
      </c>
      <c r="L62" s="341" t="s">
        <v>954</v>
      </c>
      <c r="M62" s="341" t="s">
        <v>955</v>
      </c>
      <c r="N62" s="341" t="s">
        <v>35</v>
      </c>
      <c r="O62" s="324"/>
      <c r="P62" s="387"/>
    </row>
    <row r="63" ht="12.75" customHeight="1">
      <c r="A63" s="322"/>
      <c r="B63" s="60" t="s">
        <v>842</v>
      </c>
      <c r="C63" s="342">
        <v>0.4</v>
      </c>
      <c r="D63" s="343">
        <f>'F&amp;B'!$F$281</f>
        <v>5400</v>
      </c>
      <c r="E63" s="67">
        <f>IF(OR(ISBLANK(C63),ISBLANK(D63)),"",D63*C63)</f>
        <v>2160</v>
      </c>
      <c r="F63" s="324"/>
      <c r="G63" s="324"/>
      <c r="H63" s="387"/>
      <c r="I63" s="388"/>
      <c r="J63" s="322"/>
      <c r="K63" s="60" t="s">
        <v>850</v>
      </c>
      <c r="L63" s="342">
        <v>0.06</v>
      </c>
      <c r="M63" s="343">
        <f>'F&amp;B'!$F$99/12</f>
        <v>63000</v>
      </c>
      <c r="N63" s="67">
        <f t="shared" ref="N63:N65" si="3">IF(OR(ISBLANK(L63),ISBLANK(M63)),"",M63*L63)</f>
        <v>3780</v>
      </c>
      <c r="O63" s="324"/>
      <c r="P63" s="387"/>
    </row>
    <row r="64" ht="12.75" customHeight="1">
      <c r="A64" s="322"/>
      <c r="B64" s="348"/>
      <c r="C64" s="346"/>
      <c r="D64" s="347"/>
      <c r="E64" s="349"/>
      <c r="F64" s="324"/>
      <c r="G64" s="324"/>
      <c r="H64" s="387"/>
      <c r="I64" s="388"/>
      <c r="J64" s="322"/>
      <c r="K64" s="75" t="s">
        <v>482</v>
      </c>
      <c r="L64" s="370">
        <v>0.08</v>
      </c>
      <c r="M64" s="371">
        <f>SAUCES!D107</f>
        <v>13438.65816</v>
      </c>
      <c r="N64" s="67">
        <f t="shared" si="3"/>
        <v>1075.092653</v>
      </c>
      <c r="O64" s="324"/>
      <c r="P64" s="387"/>
    </row>
    <row r="65" ht="12.75" customHeight="1">
      <c r="A65" s="322"/>
      <c r="B65" s="354"/>
      <c r="C65" s="355"/>
      <c r="D65" s="356"/>
      <c r="E65" s="357" t="str">
        <f>IF(OR(ISBLANK(C65),ISBLANK(D65)),"",D65*C65)</f>
        <v/>
      </c>
      <c r="F65" s="324"/>
      <c r="G65" s="324"/>
      <c r="H65" s="387"/>
      <c r="I65" s="388"/>
      <c r="J65" s="322"/>
      <c r="K65" s="87" t="s">
        <v>1037</v>
      </c>
      <c r="L65" s="412">
        <v>0.5</v>
      </c>
      <c r="M65" s="408">
        <f>'F&amp;B'!$F$15/40</f>
        <v>5296.5</v>
      </c>
      <c r="N65" s="89">
        <f t="shared" si="3"/>
        <v>2648.25</v>
      </c>
      <c r="O65" s="324"/>
      <c r="P65" s="387"/>
    </row>
    <row r="66" ht="12.75" customHeight="1">
      <c r="A66" s="322"/>
      <c r="B66" s="338" t="s">
        <v>84</v>
      </c>
      <c r="C66" s="358"/>
      <c r="D66" s="358"/>
      <c r="E66" s="359">
        <f>IF(SUM(E63:E65)=0,"",SUM(E63:E65))</f>
        <v>2160</v>
      </c>
      <c r="F66" s="324"/>
      <c r="G66" s="324"/>
      <c r="H66" s="387"/>
      <c r="I66" s="388"/>
      <c r="J66" s="322"/>
      <c r="K66" s="338" t="s">
        <v>84</v>
      </c>
      <c r="L66" s="358"/>
      <c r="M66" s="358"/>
      <c r="N66" s="359">
        <f>IF(SUM(N63:N65)=0,"",SUM(N63:N65))</f>
        <v>7503.342653</v>
      </c>
      <c r="O66" s="324"/>
      <c r="P66" s="387"/>
    </row>
    <row r="67" ht="12.75" customHeight="1">
      <c r="A67" s="322"/>
      <c r="B67" s="360"/>
      <c r="C67" s="360"/>
      <c r="D67" s="360"/>
      <c r="E67" s="361"/>
      <c r="F67" s="324"/>
      <c r="G67" s="324"/>
      <c r="H67" s="387"/>
      <c r="I67" s="388"/>
      <c r="J67" s="322"/>
      <c r="K67" s="360"/>
      <c r="L67" s="360"/>
      <c r="M67" s="360"/>
      <c r="N67" s="361"/>
      <c r="O67" s="324"/>
      <c r="P67" s="387"/>
    </row>
    <row r="68" ht="12.75" customHeight="1">
      <c r="A68" s="322"/>
      <c r="B68" s="362" t="s">
        <v>972</v>
      </c>
      <c r="C68" s="363"/>
      <c r="D68" s="363"/>
      <c r="E68" s="363"/>
      <c r="F68" s="324"/>
      <c r="G68" s="324"/>
      <c r="H68" s="387"/>
      <c r="I68" s="388"/>
      <c r="J68" s="322"/>
      <c r="K68" s="362" t="s">
        <v>972</v>
      </c>
      <c r="L68" s="363"/>
      <c r="M68" s="363"/>
      <c r="N68" s="363"/>
      <c r="O68" s="324"/>
      <c r="P68" s="387"/>
    </row>
    <row r="69" ht="12.75" customHeight="1">
      <c r="A69" s="322"/>
      <c r="B69" s="365" t="s">
        <v>953</v>
      </c>
      <c r="C69" s="366" t="s">
        <v>3</v>
      </c>
      <c r="D69" s="366" t="s">
        <v>975</v>
      </c>
      <c r="E69" s="367" t="s">
        <v>35</v>
      </c>
      <c r="F69" s="324"/>
      <c r="G69" s="324"/>
      <c r="H69" s="387"/>
      <c r="I69" s="388"/>
      <c r="J69" s="322"/>
      <c r="K69" s="365" t="s">
        <v>953</v>
      </c>
      <c r="L69" s="366" t="s">
        <v>3</v>
      </c>
      <c r="M69" s="366" t="s">
        <v>975</v>
      </c>
      <c r="N69" s="367" t="s">
        <v>35</v>
      </c>
      <c r="O69" s="324"/>
      <c r="P69" s="387"/>
    </row>
    <row r="70" ht="12.75" customHeight="1">
      <c r="A70" s="322"/>
      <c r="B70" s="368"/>
      <c r="C70" s="366"/>
      <c r="D70" s="366"/>
      <c r="E70" s="368"/>
      <c r="F70" s="324"/>
      <c r="G70" s="324"/>
      <c r="H70" s="387"/>
      <c r="I70" s="388"/>
      <c r="J70" s="322"/>
      <c r="K70" s="368"/>
      <c r="L70" s="366"/>
      <c r="M70" s="366"/>
      <c r="N70" s="368"/>
      <c r="O70" s="324"/>
      <c r="P70" s="387"/>
    </row>
    <row r="71" ht="12.75" customHeight="1">
      <c r="A71" s="322"/>
      <c r="B71" s="60" t="s">
        <v>429</v>
      </c>
      <c r="C71" s="342">
        <v>1.0</v>
      </c>
      <c r="D71" s="343">
        <f>SAUCES!D105</f>
        <v>2661.661085</v>
      </c>
      <c r="E71" s="67">
        <f t="shared" ref="E71:E80" si="4">D71*C71</f>
        <v>2661.661085</v>
      </c>
      <c r="F71" s="324"/>
      <c r="G71" s="324"/>
      <c r="H71" s="387"/>
      <c r="I71" s="388"/>
      <c r="J71" s="322"/>
      <c r="K71" s="60"/>
      <c r="L71" s="342"/>
      <c r="M71" s="343"/>
      <c r="N71" s="67">
        <f t="shared" ref="N71:N80" si="5">M71*L71</f>
        <v>0</v>
      </c>
      <c r="O71" s="324"/>
      <c r="P71" s="387"/>
    </row>
    <row r="72" ht="12.75" customHeight="1">
      <c r="A72" s="322"/>
      <c r="B72" s="75"/>
      <c r="C72" s="370"/>
      <c r="D72" s="371"/>
      <c r="E72" s="67">
        <f t="shared" si="4"/>
        <v>0</v>
      </c>
      <c r="F72" s="324"/>
      <c r="G72" s="324"/>
      <c r="H72" s="387"/>
      <c r="I72" s="388"/>
      <c r="J72" s="322"/>
      <c r="K72" s="75"/>
      <c r="L72" s="370"/>
      <c r="M72" s="371"/>
      <c r="N72" s="67">
        <f t="shared" si="5"/>
        <v>0</v>
      </c>
      <c r="O72" s="324"/>
      <c r="P72" s="387"/>
    </row>
    <row r="73" ht="12.75" customHeight="1">
      <c r="A73" s="322"/>
      <c r="B73" s="75"/>
      <c r="C73" s="372"/>
      <c r="D73" s="371"/>
      <c r="E73" s="67">
        <f t="shared" si="4"/>
        <v>0</v>
      </c>
      <c r="F73" s="324"/>
      <c r="G73" s="324"/>
      <c r="H73" s="387"/>
      <c r="I73" s="388"/>
      <c r="J73" s="322"/>
      <c r="K73" s="75"/>
      <c r="L73" s="372"/>
      <c r="M73" s="371"/>
      <c r="N73" s="67">
        <f t="shared" si="5"/>
        <v>0</v>
      </c>
      <c r="O73" s="324"/>
      <c r="P73" s="387"/>
    </row>
    <row r="74" ht="12.75" customHeight="1">
      <c r="A74" s="322"/>
      <c r="B74" s="75"/>
      <c r="C74" s="346"/>
      <c r="D74" s="371"/>
      <c r="E74" s="67">
        <f t="shared" si="4"/>
        <v>0</v>
      </c>
      <c r="F74" s="324"/>
      <c r="G74" s="324"/>
      <c r="H74" s="387"/>
      <c r="I74" s="388"/>
      <c r="J74" s="322"/>
      <c r="K74" s="75"/>
      <c r="L74" s="346"/>
      <c r="M74" s="371"/>
      <c r="N74" s="67">
        <f t="shared" si="5"/>
        <v>0</v>
      </c>
      <c r="O74" s="324"/>
      <c r="P74" s="387"/>
    </row>
    <row r="75" ht="12.75" customHeight="1">
      <c r="A75" s="322"/>
      <c r="B75" s="75"/>
      <c r="C75" s="346"/>
      <c r="D75" s="371"/>
      <c r="E75" s="67">
        <f t="shared" si="4"/>
        <v>0</v>
      </c>
      <c r="F75" s="324"/>
      <c r="G75" s="324"/>
      <c r="H75" s="387"/>
      <c r="I75" s="388"/>
      <c r="J75" s="322"/>
      <c r="K75" s="75"/>
      <c r="L75" s="346"/>
      <c r="M75" s="371"/>
      <c r="N75" s="67">
        <f t="shared" si="5"/>
        <v>0</v>
      </c>
      <c r="O75" s="324"/>
      <c r="P75" s="387"/>
    </row>
    <row r="76" ht="12.75" customHeight="1">
      <c r="A76" s="322"/>
      <c r="B76" s="75"/>
      <c r="C76" s="346"/>
      <c r="D76" s="373"/>
      <c r="E76" s="67">
        <f t="shared" si="4"/>
        <v>0</v>
      </c>
      <c r="F76" s="324"/>
      <c r="G76" s="324"/>
      <c r="H76" s="387"/>
      <c r="I76" s="388"/>
      <c r="J76" s="322"/>
      <c r="K76" s="75"/>
      <c r="L76" s="346"/>
      <c r="M76" s="373"/>
      <c r="N76" s="67">
        <f t="shared" si="5"/>
        <v>0</v>
      </c>
      <c r="O76" s="324"/>
      <c r="P76" s="387"/>
    </row>
    <row r="77" ht="12.75" customHeight="1">
      <c r="A77" s="322"/>
      <c r="B77" s="348"/>
      <c r="C77" s="346"/>
      <c r="D77" s="373"/>
      <c r="E77" s="67">
        <f t="shared" si="4"/>
        <v>0</v>
      </c>
      <c r="F77" s="324"/>
      <c r="G77" s="324"/>
      <c r="H77" s="387"/>
      <c r="I77" s="388"/>
      <c r="J77" s="322"/>
      <c r="K77" s="348"/>
      <c r="L77" s="346"/>
      <c r="M77" s="373"/>
      <c r="N77" s="67">
        <f t="shared" si="5"/>
        <v>0</v>
      </c>
      <c r="O77" s="324"/>
      <c r="P77" s="387"/>
    </row>
    <row r="78" ht="12.75" customHeight="1">
      <c r="A78" s="322"/>
      <c r="B78" s="348"/>
      <c r="C78" s="346"/>
      <c r="D78" s="373"/>
      <c r="E78" s="67">
        <f t="shared" si="4"/>
        <v>0</v>
      </c>
      <c r="F78" s="324"/>
      <c r="G78" s="324"/>
      <c r="H78" s="387"/>
      <c r="I78" s="388"/>
      <c r="J78" s="322"/>
      <c r="K78" s="348"/>
      <c r="L78" s="346"/>
      <c r="M78" s="373"/>
      <c r="N78" s="67">
        <f t="shared" si="5"/>
        <v>0</v>
      </c>
      <c r="O78" s="324"/>
      <c r="P78" s="387"/>
    </row>
    <row r="79" ht="12.75" customHeight="1">
      <c r="A79" s="322"/>
      <c r="B79" s="348"/>
      <c r="C79" s="346"/>
      <c r="D79" s="373"/>
      <c r="E79" s="67">
        <f t="shared" si="4"/>
        <v>0</v>
      </c>
      <c r="F79" s="324"/>
      <c r="G79" s="324"/>
      <c r="H79" s="387"/>
      <c r="I79" s="388"/>
      <c r="J79" s="322"/>
      <c r="K79" s="348"/>
      <c r="L79" s="346"/>
      <c r="M79" s="373"/>
      <c r="N79" s="67">
        <f t="shared" si="5"/>
        <v>0</v>
      </c>
      <c r="O79" s="324"/>
      <c r="P79" s="387"/>
    </row>
    <row r="80" ht="12.75" customHeight="1">
      <c r="A80" s="322"/>
      <c r="B80" s="354"/>
      <c r="C80" s="355"/>
      <c r="D80" s="356"/>
      <c r="E80" s="67">
        <f t="shared" si="4"/>
        <v>0</v>
      </c>
      <c r="F80" s="324"/>
      <c r="G80" s="324"/>
      <c r="H80" s="387"/>
      <c r="I80" s="388"/>
      <c r="J80" s="322"/>
      <c r="K80" s="354"/>
      <c r="L80" s="355"/>
      <c r="M80" s="356"/>
      <c r="N80" s="67">
        <f t="shared" si="5"/>
        <v>0</v>
      </c>
      <c r="O80" s="324"/>
      <c r="P80" s="387"/>
    </row>
    <row r="81" ht="12.75" customHeight="1">
      <c r="A81" s="322"/>
      <c r="B81" s="362" t="s">
        <v>84</v>
      </c>
      <c r="C81" s="374"/>
      <c r="D81" s="374"/>
      <c r="E81" s="375">
        <f>IF(SUM(E71:E80)=0,"",SUM(E71:E80))</f>
        <v>2661.661085</v>
      </c>
      <c r="F81" s="324"/>
      <c r="G81" s="324"/>
      <c r="H81" s="387"/>
      <c r="I81" s="388"/>
      <c r="J81" s="322"/>
      <c r="K81" s="362" t="s">
        <v>84</v>
      </c>
      <c r="L81" s="374"/>
      <c r="M81" s="374"/>
      <c r="N81" s="375" t="str">
        <f>IF(SUM(N71:N80)=0,"",SUM(N71:N80))</f>
        <v/>
      </c>
      <c r="O81" s="324"/>
      <c r="P81" s="387"/>
    </row>
    <row r="82" ht="12.75" customHeight="1">
      <c r="A82" s="322"/>
      <c r="B82" s="360"/>
      <c r="C82" s="360"/>
      <c r="D82" s="360"/>
      <c r="E82" s="361"/>
      <c r="F82" s="324"/>
      <c r="G82" s="324"/>
      <c r="H82" s="387"/>
      <c r="I82" s="388"/>
      <c r="J82" s="322"/>
      <c r="K82" s="360"/>
      <c r="L82" s="360"/>
      <c r="M82" s="360"/>
      <c r="N82" s="361"/>
      <c r="O82" s="324"/>
      <c r="P82" s="387"/>
    </row>
    <row r="83" ht="12.75" customHeight="1">
      <c r="A83" s="322"/>
      <c r="B83" s="34" t="s">
        <v>17</v>
      </c>
      <c r="C83" s="35"/>
      <c r="D83" s="35"/>
      <c r="E83" s="35"/>
      <c r="F83" s="324"/>
      <c r="G83" s="324"/>
      <c r="H83" s="387"/>
      <c r="I83" s="388"/>
      <c r="J83" s="322"/>
      <c r="K83" s="34" t="s">
        <v>17</v>
      </c>
      <c r="L83" s="35"/>
      <c r="M83" s="35"/>
      <c r="N83" s="35"/>
      <c r="O83" s="324"/>
      <c r="P83" s="387"/>
    </row>
    <row r="84" ht="12.75" customHeight="1">
      <c r="A84" s="322"/>
      <c r="B84" s="52" t="s">
        <v>42</v>
      </c>
      <c r="C84" s="54"/>
      <c r="D84" s="54"/>
      <c r="E84" s="56" t="s">
        <v>35</v>
      </c>
      <c r="F84" s="324"/>
      <c r="G84" s="324"/>
      <c r="H84" s="387"/>
      <c r="I84" s="388"/>
      <c r="J84" s="322"/>
      <c r="K84" s="52" t="s">
        <v>42</v>
      </c>
      <c r="L84" s="54"/>
      <c r="M84" s="54"/>
      <c r="N84" s="56" t="s">
        <v>35</v>
      </c>
      <c r="O84" s="324"/>
      <c r="P84" s="387"/>
    </row>
    <row r="85" ht="12.75" customHeight="1">
      <c r="A85" s="322"/>
      <c r="B85" s="60" t="s">
        <v>40</v>
      </c>
      <c r="C85" s="343">
        <f>'UTL COST'!$B$3</f>
        <v>369000</v>
      </c>
      <c r="D85" s="379">
        <f>'UTL COST'!$C$3</f>
        <v>0.0075</v>
      </c>
      <c r="E85" s="67">
        <v>0.0</v>
      </c>
      <c r="F85" s="324"/>
      <c r="G85" s="324"/>
      <c r="H85" s="387"/>
      <c r="I85" s="388"/>
      <c r="J85" s="322"/>
      <c r="K85" s="60" t="s">
        <v>40</v>
      </c>
      <c r="L85" s="343">
        <f>'UTL COST'!$B$3</f>
        <v>369000</v>
      </c>
      <c r="M85" s="379">
        <f>'UTL COST'!$C$3</f>
        <v>0.0075</v>
      </c>
      <c r="N85" s="67">
        <v>0.0</v>
      </c>
      <c r="O85" s="324"/>
      <c r="P85" s="387"/>
    </row>
    <row r="86" ht="12.75" customHeight="1">
      <c r="A86" s="322"/>
      <c r="B86" s="75" t="s">
        <v>51</v>
      </c>
      <c r="C86" s="371" t="str">
        <f>'UTL COST'!$B$4</f>
        <v>#REF!</v>
      </c>
      <c r="D86" s="382">
        <f>'UTL COST'!$C$4</f>
        <v>7000</v>
      </c>
      <c r="E86" s="76" t="str">
        <f>'UTL COST'!$D$4</f>
        <v>#REF!</v>
      </c>
      <c r="F86" s="324"/>
      <c r="G86" s="324"/>
      <c r="H86" s="387"/>
      <c r="I86" s="388"/>
      <c r="J86" s="322"/>
      <c r="K86" s="75" t="s">
        <v>51</v>
      </c>
      <c r="L86" s="371" t="str">
        <f>'UTL COST'!$B$4</f>
        <v>#REF!</v>
      </c>
      <c r="M86" s="382">
        <f>'UTL COST'!$C$4</f>
        <v>7000</v>
      </c>
      <c r="N86" s="76" t="str">
        <f>'UTL COST'!$D$4</f>
        <v>#REF!</v>
      </c>
      <c r="O86" s="324"/>
      <c r="P86" s="387"/>
    </row>
    <row r="87" ht="12.75" customHeight="1">
      <c r="A87" s="322"/>
      <c r="B87" s="75" t="s">
        <v>59</v>
      </c>
      <c r="C87" s="371" t="str">
        <f>'UTL COST'!$B$5</f>
        <v>#REF!</v>
      </c>
      <c r="D87" s="382">
        <f>'UTL COST'!$C$5</f>
        <v>45000</v>
      </c>
      <c r="E87" s="76" t="str">
        <f>'UTL COST'!$D$5</f>
        <v>#REF!</v>
      </c>
      <c r="F87" s="324"/>
      <c r="G87" s="324"/>
      <c r="H87" s="387"/>
      <c r="I87" s="388"/>
      <c r="J87" s="322"/>
      <c r="K87" s="75" t="s">
        <v>59</v>
      </c>
      <c r="L87" s="371" t="str">
        <f>'UTL COST'!$B$5</f>
        <v>#REF!</v>
      </c>
      <c r="M87" s="382">
        <f>'UTL COST'!$C$5</f>
        <v>45000</v>
      </c>
      <c r="N87" s="76" t="str">
        <f>'UTL COST'!$D$5</f>
        <v>#REF!</v>
      </c>
      <c r="O87" s="324"/>
      <c r="P87" s="387"/>
    </row>
    <row r="88" ht="12.75" customHeight="1">
      <c r="A88" s="322"/>
      <c r="B88" s="87" t="s">
        <v>78</v>
      </c>
      <c r="C88" s="371" t="str">
        <f>'UTL COST'!$B$6</f>
        <v>#REF!</v>
      </c>
      <c r="D88" s="383">
        <f>'UTL COST'!$C$6</f>
        <v>525</v>
      </c>
      <c r="E88" s="89">
        <v>0.1</v>
      </c>
      <c r="F88" s="324"/>
      <c r="G88" s="324"/>
      <c r="H88" s="387"/>
      <c r="I88" s="388"/>
      <c r="J88" s="322"/>
      <c r="K88" s="87" t="s">
        <v>78</v>
      </c>
      <c r="L88" s="371" t="str">
        <f>'UTL COST'!$B$6</f>
        <v>#REF!</v>
      </c>
      <c r="M88" s="383">
        <f>'UTL COST'!$C$6</f>
        <v>525</v>
      </c>
      <c r="N88" s="89">
        <v>0.1</v>
      </c>
      <c r="O88" s="324"/>
      <c r="P88" s="387"/>
    </row>
    <row r="89" ht="12.75" customHeight="1">
      <c r="A89" s="322"/>
      <c r="B89" s="34" t="s">
        <v>84</v>
      </c>
      <c r="C89" s="102"/>
      <c r="D89" s="102"/>
      <c r="E89" s="104" t="str">
        <f>IF(SUM(E85:E88)=0,"",SUM(E85:E88))</f>
        <v>#REF!</v>
      </c>
      <c r="F89" s="324"/>
      <c r="G89" s="324"/>
      <c r="H89" s="387"/>
      <c r="I89" s="388"/>
      <c r="J89" s="322"/>
      <c r="K89" s="34" t="s">
        <v>84</v>
      </c>
      <c r="L89" s="102"/>
      <c r="M89" s="102"/>
      <c r="N89" s="104" t="str">
        <f>IF(SUM(N85:N88)=0,"",SUM(N85:N88))</f>
        <v>#REF!</v>
      </c>
      <c r="O89" s="324"/>
      <c r="P89" s="387"/>
    </row>
    <row r="90" ht="12.75" customHeight="1">
      <c r="A90" s="322"/>
      <c r="B90" s="360"/>
      <c r="C90" s="360"/>
      <c r="D90" s="360"/>
      <c r="E90" s="361"/>
      <c r="F90" s="324"/>
      <c r="G90" s="324"/>
      <c r="H90" s="387"/>
      <c r="I90" s="388"/>
      <c r="J90" s="322"/>
      <c r="K90" s="360"/>
      <c r="L90" s="360"/>
      <c r="M90" s="360"/>
      <c r="N90" s="361"/>
      <c r="O90" s="324"/>
      <c r="P90" s="387"/>
    </row>
    <row r="91" ht="12.75" customHeight="1">
      <c r="A91" s="322"/>
      <c r="B91" s="360"/>
      <c r="C91" s="360"/>
      <c r="D91" s="360"/>
      <c r="E91" s="361"/>
      <c r="F91" s="324"/>
      <c r="G91" s="324"/>
      <c r="H91" s="387"/>
      <c r="I91" s="388"/>
      <c r="J91" s="322"/>
      <c r="K91" s="360"/>
      <c r="L91" s="360"/>
      <c r="M91" s="360"/>
      <c r="N91" s="361"/>
      <c r="O91" s="324"/>
      <c r="P91" s="387"/>
    </row>
    <row r="92" ht="12.75" customHeight="1">
      <c r="A92" s="387"/>
      <c r="B92" s="387"/>
      <c r="C92" s="387"/>
      <c r="D92" s="387"/>
      <c r="E92" s="418"/>
      <c r="F92" s="387"/>
      <c r="G92" s="387"/>
      <c r="H92" s="387"/>
      <c r="I92" s="387"/>
      <c r="J92" s="387"/>
      <c r="K92" s="387"/>
      <c r="L92" s="387"/>
      <c r="M92" s="387"/>
      <c r="N92" s="387"/>
      <c r="O92" s="387"/>
      <c r="P92" s="387"/>
    </row>
    <row r="93" ht="12.75" customHeight="1">
      <c r="A93" s="322"/>
      <c r="B93" s="322"/>
      <c r="C93" s="322"/>
      <c r="D93" s="322"/>
      <c r="E93" s="323"/>
      <c r="F93" s="324"/>
      <c r="G93" s="324"/>
      <c r="H93" s="387"/>
      <c r="I93" s="388"/>
      <c r="J93" s="322"/>
      <c r="K93" s="322"/>
      <c r="L93" s="322"/>
      <c r="M93" s="322"/>
      <c r="N93" s="323"/>
      <c r="O93" s="324"/>
      <c r="P93" s="387"/>
    </row>
    <row r="94" ht="12.75" customHeight="1">
      <c r="A94" s="322"/>
      <c r="B94" s="325"/>
      <c r="C94" s="322"/>
      <c r="D94" s="322"/>
      <c r="E94" s="323"/>
      <c r="F94" s="326"/>
      <c r="G94" s="326"/>
      <c r="H94" s="404"/>
      <c r="I94" s="388"/>
      <c r="J94" s="322"/>
      <c r="K94" s="325"/>
      <c r="L94" s="322"/>
      <c r="M94" s="322"/>
      <c r="N94" s="323"/>
      <c r="O94" s="326"/>
      <c r="P94" s="387"/>
    </row>
    <row r="95" ht="12.75" customHeight="1">
      <c r="A95" s="322"/>
      <c r="B95" s="327" t="s">
        <v>931</v>
      </c>
      <c r="C95" s="328" t="s">
        <v>96</v>
      </c>
      <c r="D95" s="329"/>
      <c r="E95" s="323"/>
      <c r="F95" s="326"/>
      <c r="G95" s="326"/>
      <c r="H95" s="404"/>
      <c r="I95" s="388"/>
      <c r="J95" s="322"/>
      <c r="K95" s="327" t="s">
        <v>931</v>
      </c>
      <c r="L95" s="328" t="s">
        <v>101</v>
      </c>
      <c r="M95" s="329"/>
      <c r="N95" s="323"/>
      <c r="O95" s="326"/>
      <c r="P95" s="387"/>
    </row>
    <row r="96" ht="12.75" customHeight="1">
      <c r="A96" s="322"/>
      <c r="B96" s="325"/>
      <c r="C96" s="322"/>
      <c r="D96" s="322"/>
      <c r="E96" s="323"/>
      <c r="F96" s="326"/>
      <c r="G96" s="326"/>
      <c r="H96" s="404"/>
      <c r="I96" s="388"/>
      <c r="J96" s="322"/>
      <c r="K96" s="325"/>
      <c r="L96" s="322"/>
      <c r="M96" s="322"/>
      <c r="N96" s="323"/>
      <c r="O96" s="326"/>
      <c r="P96" s="387"/>
    </row>
    <row r="97" ht="12.75" customHeight="1">
      <c r="A97" s="322"/>
      <c r="B97" s="327" t="s">
        <v>935</v>
      </c>
      <c r="C97" s="331">
        <v>135000.0</v>
      </c>
      <c r="D97" s="329"/>
      <c r="E97" s="323"/>
      <c r="F97" s="326"/>
      <c r="G97" s="326"/>
      <c r="H97" s="404"/>
      <c r="I97" s="388"/>
      <c r="J97" s="322"/>
      <c r="K97" s="327" t="s">
        <v>935</v>
      </c>
      <c r="L97" s="331">
        <v>90000.0</v>
      </c>
      <c r="M97" s="329"/>
      <c r="N97" s="323"/>
      <c r="O97" s="326"/>
      <c r="P97" s="387"/>
    </row>
    <row r="98" ht="12.75" customHeight="1">
      <c r="A98" s="322"/>
      <c r="B98" s="327"/>
      <c r="C98" s="332"/>
      <c r="D98" s="332"/>
      <c r="E98" s="323"/>
      <c r="F98" s="326"/>
      <c r="G98" s="326"/>
      <c r="H98" s="404"/>
      <c r="I98" s="388"/>
      <c r="J98" s="322"/>
      <c r="K98" s="327"/>
      <c r="L98" s="332"/>
      <c r="M98" s="332"/>
      <c r="N98" s="323"/>
      <c r="O98" s="326"/>
      <c r="P98" s="387"/>
    </row>
    <row r="99" ht="12.75" customHeight="1">
      <c r="A99" s="322"/>
      <c r="B99" s="327" t="s">
        <v>939</v>
      </c>
      <c r="C99" s="333" t="str">
        <f>IF(SUM(E111,E126,E134)=0,"",SUM(E111,E126,E134))</f>
        <v>#REF!</v>
      </c>
      <c r="D99" s="321"/>
      <c r="E99" s="323"/>
      <c r="F99" s="326"/>
      <c r="G99" s="326"/>
      <c r="H99" s="404"/>
      <c r="I99" s="388"/>
      <c r="J99" s="322"/>
      <c r="K99" s="327" t="s">
        <v>939</v>
      </c>
      <c r="L99" s="333" t="str">
        <f>IF(SUM(N111,N126,N134)=0,"",SUM(N111,N126,N134))</f>
        <v>#REF!</v>
      </c>
      <c r="M99" s="321"/>
      <c r="N99" s="323" t="str">
        <f>L99/90000</f>
        <v>#REF!</v>
      </c>
      <c r="O99" s="326"/>
      <c r="P99" s="387"/>
    </row>
    <row r="100" ht="12.75" customHeight="1">
      <c r="A100" s="322"/>
      <c r="B100" s="327"/>
      <c r="C100" s="334"/>
      <c r="D100" s="334"/>
      <c r="E100" s="323"/>
      <c r="F100" s="326"/>
      <c r="G100" s="326"/>
      <c r="H100" s="404"/>
      <c r="I100" s="388"/>
      <c r="J100" s="322"/>
      <c r="K100" s="327"/>
      <c r="L100" s="334"/>
      <c r="M100" s="334"/>
      <c r="N100" s="323"/>
      <c r="O100" s="326"/>
      <c r="P100" s="387"/>
    </row>
    <row r="101" ht="12.75" customHeight="1">
      <c r="A101" s="322"/>
      <c r="B101" s="327" t="s">
        <v>946</v>
      </c>
      <c r="C101" s="335" t="str">
        <f>IF(C99="","",IF(ISBLANK(C97),"",C99/C97))</f>
        <v>#REF!</v>
      </c>
      <c r="D101" s="321"/>
      <c r="E101" s="323"/>
      <c r="F101" s="326"/>
      <c r="G101" s="326"/>
      <c r="H101" s="404"/>
      <c r="I101" s="388"/>
      <c r="J101" s="322"/>
      <c r="K101" s="327" t="s">
        <v>946</v>
      </c>
      <c r="L101" s="335" t="str">
        <f>IF(L99="","",IF(ISBLANK(L97),"",L99/L97))</f>
        <v>#REF!</v>
      </c>
      <c r="M101" s="321"/>
      <c r="N101" s="323"/>
      <c r="O101" s="326"/>
      <c r="P101" s="387"/>
    </row>
    <row r="102" ht="12.75" customHeight="1">
      <c r="A102" s="322"/>
      <c r="B102" s="327"/>
      <c r="C102" s="334"/>
      <c r="D102" s="334"/>
      <c r="E102" s="323"/>
      <c r="F102" s="326"/>
      <c r="G102" s="326"/>
      <c r="H102" s="404"/>
      <c r="I102" s="388"/>
      <c r="J102" s="322"/>
      <c r="K102" s="327"/>
      <c r="L102" s="334"/>
      <c r="M102" s="334"/>
      <c r="N102" s="323"/>
      <c r="O102" s="326"/>
      <c r="P102" s="387"/>
    </row>
    <row r="103" ht="12.75" customHeight="1">
      <c r="A103" s="322"/>
      <c r="B103" s="327" t="s">
        <v>950</v>
      </c>
      <c r="C103" s="333" t="str">
        <f>C97-C99</f>
        <v>#REF!</v>
      </c>
      <c r="D103" s="321"/>
      <c r="E103" s="323"/>
      <c r="F103" s="326"/>
      <c r="G103" s="326"/>
      <c r="H103" s="404"/>
      <c r="I103" s="388"/>
      <c r="J103" s="322"/>
      <c r="K103" s="327" t="s">
        <v>950</v>
      </c>
      <c r="L103" s="333" t="str">
        <f>L97-L99</f>
        <v>#REF!</v>
      </c>
      <c r="M103" s="321"/>
      <c r="N103" s="323"/>
      <c r="O103" s="326"/>
      <c r="P103" s="387"/>
    </row>
    <row r="104" ht="12.75" customHeight="1">
      <c r="A104" s="322"/>
      <c r="B104" s="322"/>
      <c r="C104" s="322"/>
      <c r="D104" s="322"/>
      <c r="E104" s="323"/>
      <c r="F104" s="324"/>
      <c r="G104" s="324"/>
      <c r="H104" s="404"/>
      <c r="I104" s="388"/>
      <c r="J104" s="322"/>
      <c r="K104" s="322"/>
      <c r="L104" s="322"/>
      <c r="M104" s="322"/>
      <c r="N104" s="323"/>
      <c r="O104" s="324"/>
      <c r="P104" s="387"/>
    </row>
    <row r="105" ht="12.75" customHeight="1">
      <c r="A105" s="322"/>
      <c r="B105" s="322"/>
      <c r="C105" s="322"/>
      <c r="D105" s="322"/>
      <c r="E105" s="337"/>
      <c r="F105" s="324"/>
      <c r="G105" s="324"/>
      <c r="H105" s="387"/>
      <c r="I105" s="388"/>
      <c r="J105" s="322"/>
      <c r="K105" s="322"/>
      <c r="L105" s="322"/>
      <c r="M105" s="322"/>
      <c r="N105" s="337"/>
      <c r="O105" s="324"/>
      <c r="P105" s="387"/>
    </row>
    <row r="106" ht="12.75" customHeight="1">
      <c r="A106" s="322"/>
      <c r="B106" s="338" t="s">
        <v>951</v>
      </c>
      <c r="C106" s="339"/>
      <c r="D106" s="339"/>
      <c r="E106" s="339"/>
      <c r="F106" s="324"/>
      <c r="G106" s="324"/>
      <c r="H106" s="410"/>
      <c r="I106" s="388"/>
      <c r="J106" s="322"/>
      <c r="K106" s="338" t="s">
        <v>951</v>
      </c>
      <c r="L106" s="339"/>
      <c r="M106" s="339"/>
      <c r="N106" s="339"/>
      <c r="O106" s="324"/>
      <c r="P106" s="387"/>
    </row>
    <row r="107" ht="12.75" customHeight="1">
      <c r="A107" s="322"/>
      <c r="B107" s="340" t="s">
        <v>953</v>
      </c>
      <c r="C107" s="341" t="s">
        <v>954</v>
      </c>
      <c r="D107" s="341" t="s">
        <v>955</v>
      </c>
      <c r="E107" s="341" t="s">
        <v>35</v>
      </c>
      <c r="F107" s="324"/>
      <c r="G107" s="324"/>
      <c r="H107" s="387"/>
      <c r="I107" s="388"/>
      <c r="J107" s="322"/>
      <c r="K107" s="340" t="s">
        <v>953</v>
      </c>
      <c r="L107" s="341" t="s">
        <v>954</v>
      </c>
      <c r="M107" s="341" t="s">
        <v>955</v>
      </c>
      <c r="N107" s="341" t="s">
        <v>35</v>
      </c>
      <c r="O107" s="324"/>
      <c r="P107" s="387"/>
    </row>
    <row r="108" ht="12.75" customHeight="1">
      <c r="A108" s="322"/>
      <c r="B108" s="60" t="s">
        <v>1044</v>
      </c>
      <c r="C108" s="342">
        <v>0.12</v>
      </c>
      <c r="D108" s="343">
        <f>'F&amp;B'!$F$28/10</f>
        <v>58500</v>
      </c>
      <c r="E108" s="67">
        <f t="shared" ref="E108:E110" si="6">IF(OR(ISBLANK(C108),ISBLANK(D108)),"",D108*C108)</f>
        <v>7020</v>
      </c>
      <c r="F108" s="324"/>
      <c r="G108" s="324"/>
      <c r="H108" s="387"/>
      <c r="I108" s="388"/>
      <c r="J108" s="322"/>
      <c r="K108" s="60" t="s">
        <v>1045</v>
      </c>
      <c r="L108" s="342">
        <v>0.3</v>
      </c>
      <c r="M108" s="343">
        <f>'F&amp;B'!F232</f>
        <v>27810</v>
      </c>
      <c r="N108" s="67">
        <f>IF(OR(ISBLANK(L108),ISBLANK(M108)),"",M108*L108)</f>
        <v>8343</v>
      </c>
      <c r="O108" s="324"/>
      <c r="P108" s="387"/>
    </row>
    <row r="109" ht="12.75" customHeight="1">
      <c r="A109" s="322"/>
      <c r="B109" s="75" t="s">
        <v>1046</v>
      </c>
      <c r="C109" s="370">
        <v>0.05</v>
      </c>
      <c r="D109" s="371">
        <f>'F&amp;B'!F80</f>
        <v>103500</v>
      </c>
      <c r="E109" s="67">
        <f t="shared" si="6"/>
        <v>5175</v>
      </c>
      <c r="F109" s="324"/>
      <c r="G109" s="324"/>
      <c r="H109" s="387"/>
      <c r="I109" s="388"/>
      <c r="J109" s="322"/>
      <c r="K109" s="348"/>
      <c r="L109" s="346"/>
      <c r="M109" s="347"/>
      <c r="N109" s="349"/>
      <c r="O109" s="324"/>
      <c r="P109" s="387"/>
    </row>
    <row r="110" ht="12.75" customHeight="1">
      <c r="A110" s="322"/>
      <c r="B110" s="87" t="s">
        <v>850</v>
      </c>
      <c r="C110" s="412">
        <v>0.1</v>
      </c>
      <c r="D110" s="408">
        <f>M63</f>
        <v>63000</v>
      </c>
      <c r="E110" s="89">
        <f t="shared" si="6"/>
        <v>6300</v>
      </c>
      <c r="F110" s="324"/>
      <c r="G110" s="324"/>
      <c r="H110" s="387"/>
      <c r="I110" s="388"/>
      <c r="J110" s="322"/>
      <c r="K110" s="354"/>
      <c r="L110" s="355"/>
      <c r="M110" s="356"/>
      <c r="N110" s="357" t="str">
        <f>IF(OR(ISBLANK(L110),ISBLANK(M110)),"",M110*L110)</f>
        <v/>
      </c>
      <c r="O110" s="324"/>
      <c r="P110" s="387"/>
    </row>
    <row r="111" ht="12.75" customHeight="1">
      <c r="A111" s="322"/>
      <c r="B111" s="338" t="s">
        <v>84</v>
      </c>
      <c r="C111" s="358"/>
      <c r="D111" s="358"/>
      <c r="E111" s="359">
        <f>IF(SUM(E108:E110)=0,"",SUM(E108:E110))</f>
        <v>18495</v>
      </c>
      <c r="F111" s="324"/>
      <c r="G111" s="324"/>
      <c r="H111" s="387"/>
      <c r="I111" s="388"/>
      <c r="J111" s="322"/>
      <c r="K111" s="338" t="s">
        <v>84</v>
      </c>
      <c r="L111" s="358"/>
      <c r="M111" s="358"/>
      <c r="N111" s="359">
        <f>IF(SUM(N108:N110)=0,"",SUM(N108:N110))</f>
        <v>8343</v>
      </c>
      <c r="O111" s="324"/>
      <c r="P111" s="387"/>
    </row>
    <row r="112" ht="12.75" customHeight="1">
      <c r="A112" s="322"/>
      <c r="B112" s="360"/>
      <c r="C112" s="360"/>
      <c r="D112" s="360"/>
      <c r="E112" s="361"/>
      <c r="F112" s="324"/>
      <c r="G112" s="324"/>
      <c r="H112" s="387"/>
      <c r="I112" s="388"/>
      <c r="J112" s="322"/>
      <c r="K112" s="360"/>
      <c r="L112" s="360"/>
      <c r="M112" s="360"/>
      <c r="N112" s="361"/>
      <c r="O112" s="324"/>
      <c r="P112" s="387"/>
    </row>
    <row r="113" ht="12.75" customHeight="1">
      <c r="A113" s="322"/>
      <c r="B113" s="362" t="s">
        <v>972</v>
      </c>
      <c r="C113" s="363"/>
      <c r="D113" s="363"/>
      <c r="E113" s="363"/>
      <c r="F113" s="324"/>
      <c r="G113" s="324"/>
      <c r="H113" s="387"/>
      <c r="I113" s="388"/>
      <c r="J113" s="322"/>
      <c r="K113" s="362" t="s">
        <v>972</v>
      </c>
      <c r="L113" s="363"/>
      <c r="M113" s="363"/>
      <c r="N113" s="363"/>
      <c r="O113" s="324"/>
      <c r="P113" s="387"/>
    </row>
    <row r="114" ht="12.75" customHeight="1">
      <c r="A114" s="322"/>
      <c r="B114" s="365" t="s">
        <v>953</v>
      </c>
      <c r="C114" s="366" t="s">
        <v>3</v>
      </c>
      <c r="D114" s="366" t="s">
        <v>975</v>
      </c>
      <c r="E114" s="367" t="s">
        <v>35</v>
      </c>
      <c r="F114" s="324"/>
      <c r="G114" s="324"/>
      <c r="H114" s="387"/>
      <c r="I114" s="388"/>
      <c r="J114" s="322"/>
      <c r="K114" s="365" t="s">
        <v>953</v>
      </c>
      <c r="L114" s="366" t="s">
        <v>3</v>
      </c>
      <c r="M114" s="366" t="s">
        <v>975</v>
      </c>
      <c r="N114" s="367" t="s">
        <v>35</v>
      </c>
      <c r="O114" s="324"/>
      <c r="P114" s="387"/>
    </row>
    <row r="115" ht="12.75" customHeight="1">
      <c r="A115" s="322"/>
      <c r="B115" s="368"/>
      <c r="C115" s="366"/>
      <c r="D115" s="366"/>
      <c r="E115" s="368"/>
      <c r="F115" s="324"/>
      <c r="G115" s="324"/>
      <c r="H115" s="387"/>
      <c r="I115" s="388"/>
      <c r="J115" s="322"/>
      <c r="K115" s="368"/>
      <c r="L115" s="366"/>
      <c r="M115" s="366"/>
      <c r="N115" s="368"/>
      <c r="O115" s="324"/>
      <c r="P115" s="387"/>
    </row>
    <row r="116" ht="12.75" customHeight="1">
      <c r="A116" s="322"/>
      <c r="B116" s="60" t="s">
        <v>1047</v>
      </c>
      <c r="C116" s="342">
        <v>1.0</v>
      </c>
      <c r="D116" s="343">
        <f>SAUCES!D105</f>
        <v>2661.661085</v>
      </c>
      <c r="E116" s="67">
        <f t="shared" ref="E116:E125" si="7">D116*C116</f>
        <v>2661.661085</v>
      </c>
      <c r="F116" s="324"/>
      <c r="G116" s="324"/>
      <c r="H116" s="387"/>
      <c r="I116" s="388"/>
      <c r="J116" s="322"/>
      <c r="K116" s="60" t="s">
        <v>1048</v>
      </c>
      <c r="L116" s="342">
        <v>0.05</v>
      </c>
      <c r="M116" s="343">
        <f>'F&amp;B'!$F$246/3.79</f>
        <v>56160.94987</v>
      </c>
      <c r="N116" s="67">
        <v>0.0</v>
      </c>
      <c r="O116" s="324"/>
      <c r="P116" s="387"/>
    </row>
    <row r="117" ht="12.75" customHeight="1">
      <c r="A117" s="322"/>
      <c r="B117" s="75" t="s">
        <v>1049</v>
      </c>
      <c r="C117" s="370">
        <v>1.0</v>
      </c>
      <c r="D117" s="371">
        <f>SAUCES!$L$105</f>
        <v>1090.94156</v>
      </c>
      <c r="E117" s="67">
        <f t="shared" si="7"/>
        <v>1090.94156</v>
      </c>
      <c r="F117" s="324"/>
      <c r="G117" s="324"/>
      <c r="H117" s="387"/>
      <c r="I117" s="388"/>
      <c r="J117" s="322"/>
      <c r="K117" s="75" t="s">
        <v>1050</v>
      </c>
      <c r="L117" s="405">
        <v>0.1</v>
      </c>
      <c r="M117" s="343">
        <f>'F&amp;B'!$F$258/3.75</f>
        <v>55440</v>
      </c>
      <c r="N117" s="67">
        <f>M117*L117</f>
        <v>5544</v>
      </c>
      <c r="O117" s="324"/>
      <c r="P117" s="387"/>
    </row>
    <row r="118" ht="12.75" customHeight="1">
      <c r="A118" s="322"/>
      <c r="B118" s="75"/>
      <c r="C118" s="372"/>
      <c r="D118" s="371"/>
      <c r="E118" s="67">
        <f t="shared" si="7"/>
        <v>0</v>
      </c>
      <c r="F118" s="324"/>
      <c r="G118" s="324"/>
      <c r="H118" s="387"/>
      <c r="I118" s="388"/>
      <c r="J118" s="322"/>
      <c r="K118" s="75"/>
      <c r="L118" s="372"/>
      <c r="M118" s="371"/>
      <c r="N118" s="67">
        <v>0.0</v>
      </c>
      <c r="O118" s="324"/>
      <c r="P118" s="387"/>
    </row>
    <row r="119" ht="12.75" customHeight="1">
      <c r="A119" s="322"/>
      <c r="B119" s="75"/>
      <c r="C119" s="346"/>
      <c r="D119" s="371"/>
      <c r="E119" s="67">
        <f t="shared" si="7"/>
        <v>0</v>
      </c>
      <c r="F119" s="324"/>
      <c r="G119" s="324"/>
      <c r="H119" s="387"/>
      <c r="I119" s="388"/>
      <c r="J119" s="322"/>
      <c r="K119" s="75"/>
      <c r="L119" s="346"/>
      <c r="M119" s="371"/>
      <c r="N119" s="67">
        <f t="shared" ref="N119:N125" si="8">M119*L119</f>
        <v>0</v>
      </c>
      <c r="O119" s="324"/>
      <c r="P119" s="387"/>
    </row>
    <row r="120" ht="12.75" customHeight="1">
      <c r="A120" s="322"/>
      <c r="B120" s="75"/>
      <c r="C120" s="346"/>
      <c r="D120" s="371"/>
      <c r="E120" s="67">
        <f t="shared" si="7"/>
        <v>0</v>
      </c>
      <c r="F120" s="324"/>
      <c r="G120" s="324"/>
      <c r="H120" s="387"/>
      <c r="I120" s="388"/>
      <c r="J120" s="322"/>
      <c r="K120" s="75"/>
      <c r="L120" s="346"/>
      <c r="M120" s="371"/>
      <c r="N120" s="67">
        <f t="shared" si="8"/>
        <v>0</v>
      </c>
      <c r="O120" s="324"/>
      <c r="P120" s="387"/>
    </row>
    <row r="121" ht="12.75" customHeight="1">
      <c r="A121" s="322"/>
      <c r="B121" s="75"/>
      <c r="C121" s="346"/>
      <c r="D121" s="373"/>
      <c r="E121" s="67">
        <f t="shared" si="7"/>
        <v>0</v>
      </c>
      <c r="F121" s="324"/>
      <c r="G121" s="324"/>
      <c r="H121" s="387"/>
      <c r="I121" s="388"/>
      <c r="J121" s="322"/>
      <c r="K121" s="75"/>
      <c r="L121" s="346"/>
      <c r="M121" s="373"/>
      <c r="N121" s="67">
        <f t="shared" si="8"/>
        <v>0</v>
      </c>
      <c r="O121" s="324"/>
      <c r="P121" s="387"/>
    </row>
    <row r="122" ht="12.75" customHeight="1">
      <c r="A122" s="322"/>
      <c r="B122" s="348"/>
      <c r="C122" s="346"/>
      <c r="D122" s="373"/>
      <c r="E122" s="67">
        <f t="shared" si="7"/>
        <v>0</v>
      </c>
      <c r="F122" s="324"/>
      <c r="G122" s="324"/>
      <c r="H122" s="387"/>
      <c r="I122" s="388"/>
      <c r="J122" s="322"/>
      <c r="K122" s="348"/>
      <c r="L122" s="346"/>
      <c r="M122" s="373"/>
      <c r="N122" s="67">
        <f t="shared" si="8"/>
        <v>0</v>
      </c>
      <c r="O122" s="324"/>
      <c r="P122" s="387"/>
    </row>
    <row r="123" ht="12.75" customHeight="1">
      <c r="A123" s="322"/>
      <c r="B123" s="348"/>
      <c r="C123" s="346"/>
      <c r="D123" s="373"/>
      <c r="E123" s="67">
        <f t="shared" si="7"/>
        <v>0</v>
      </c>
      <c r="F123" s="324"/>
      <c r="G123" s="324"/>
      <c r="H123" s="387"/>
      <c r="I123" s="388"/>
      <c r="J123" s="322"/>
      <c r="K123" s="348"/>
      <c r="L123" s="346"/>
      <c r="M123" s="373"/>
      <c r="N123" s="67">
        <f t="shared" si="8"/>
        <v>0</v>
      </c>
      <c r="O123" s="324"/>
      <c r="P123" s="387"/>
    </row>
    <row r="124" ht="12.75" customHeight="1">
      <c r="A124" s="322"/>
      <c r="B124" s="348"/>
      <c r="C124" s="346"/>
      <c r="D124" s="373"/>
      <c r="E124" s="67">
        <f t="shared" si="7"/>
        <v>0</v>
      </c>
      <c r="F124" s="324"/>
      <c r="G124" s="324"/>
      <c r="H124" s="387"/>
      <c r="I124" s="388"/>
      <c r="J124" s="322"/>
      <c r="K124" s="348"/>
      <c r="L124" s="346"/>
      <c r="M124" s="373"/>
      <c r="N124" s="67">
        <f t="shared" si="8"/>
        <v>0</v>
      </c>
      <c r="O124" s="324"/>
      <c r="P124" s="387"/>
    </row>
    <row r="125" ht="12.75" customHeight="1">
      <c r="A125" s="322"/>
      <c r="B125" s="354"/>
      <c r="C125" s="355"/>
      <c r="D125" s="356"/>
      <c r="E125" s="67">
        <f t="shared" si="7"/>
        <v>0</v>
      </c>
      <c r="F125" s="324"/>
      <c r="G125" s="324"/>
      <c r="H125" s="387"/>
      <c r="I125" s="388"/>
      <c r="J125" s="322"/>
      <c r="K125" s="354"/>
      <c r="L125" s="355"/>
      <c r="M125" s="356"/>
      <c r="N125" s="67">
        <f t="shared" si="8"/>
        <v>0</v>
      </c>
      <c r="O125" s="324"/>
      <c r="P125" s="387"/>
    </row>
    <row r="126" ht="12.75" customHeight="1">
      <c r="A126" s="322"/>
      <c r="B126" s="362" t="s">
        <v>84</v>
      </c>
      <c r="C126" s="374"/>
      <c r="D126" s="374"/>
      <c r="E126" s="375">
        <f>IF(SUM(E116:E125)=0,"",SUM(E116:E125))</f>
        <v>3752.602645</v>
      </c>
      <c r="F126" s="324"/>
      <c r="G126" s="324"/>
      <c r="H126" s="387"/>
      <c r="I126" s="388"/>
      <c r="J126" s="322"/>
      <c r="K126" s="362" t="s">
        <v>84</v>
      </c>
      <c r="L126" s="374"/>
      <c r="M126" s="374"/>
      <c r="N126" s="375">
        <f>IF(SUM(N116:N125)=0,"",SUM(N116:N125))</f>
        <v>5544</v>
      </c>
      <c r="O126" s="324"/>
      <c r="P126" s="387"/>
    </row>
    <row r="127" ht="12.75" customHeight="1">
      <c r="A127" s="322"/>
      <c r="B127" s="360"/>
      <c r="C127" s="360"/>
      <c r="D127" s="360"/>
      <c r="E127" s="361"/>
      <c r="F127" s="324"/>
      <c r="G127" s="324"/>
      <c r="H127" s="387"/>
      <c r="I127" s="388"/>
      <c r="J127" s="322"/>
      <c r="K127" s="360"/>
      <c r="L127" s="360"/>
      <c r="M127" s="360"/>
      <c r="N127" s="361"/>
      <c r="O127" s="324"/>
      <c r="P127" s="387"/>
    </row>
    <row r="128" ht="12.75" customHeight="1">
      <c r="A128" s="322"/>
      <c r="B128" s="34" t="s">
        <v>17</v>
      </c>
      <c r="C128" s="35"/>
      <c r="D128" s="35"/>
      <c r="E128" s="35"/>
      <c r="F128" s="324"/>
      <c r="G128" s="324"/>
      <c r="H128" s="387"/>
      <c r="I128" s="388"/>
      <c r="J128" s="322"/>
      <c r="K128" s="34" t="s">
        <v>17</v>
      </c>
      <c r="L128" s="35"/>
      <c r="M128" s="35"/>
      <c r="N128" s="35"/>
      <c r="O128" s="324"/>
      <c r="P128" s="387"/>
    </row>
    <row r="129" ht="12.75" customHeight="1">
      <c r="A129" s="322"/>
      <c r="B129" s="52" t="s">
        <v>42</v>
      </c>
      <c r="C129" s="54"/>
      <c r="D129" s="54"/>
      <c r="E129" s="56" t="s">
        <v>35</v>
      </c>
      <c r="F129" s="324"/>
      <c r="G129" s="324"/>
      <c r="H129" s="387"/>
      <c r="I129" s="388"/>
      <c r="J129" s="322"/>
      <c r="K129" s="52" t="s">
        <v>42</v>
      </c>
      <c r="L129" s="54"/>
      <c r="M129" s="54"/>
      <c r="N129" s="56" t="s">
        <v>35</v>
      </c>
      <c r="O129" s="324"/>
      <c r="P129" s="387"/>
    </row>
    <row r="130" ht="12.75" customHeight="1">
      <c r="A130" s="322"/>
      <c r="B130" s="60" t="s">
        <v>40</v>
      </c>
      <c r="C130" s="343">
        <f>'UTL COST'!$B$3</f>
        <v>369000</v>
      </c>
      <c r="D130" s="379">
        <f>'UTL COST'!$C$3</f>
        <v>0.0075</v>
      </c>
      <c r="E130" s="67">
        <f>'UTL COST'!$D$3/5</f>
        <v>553.5</v>
      </c>
      <c r="F130" s="324"/>
      <c r="G130" s="324"/>
      <c r="H130" s="387"/>
      <c r="I130" s="388"/>
      <c r="J130" s="322"/>
      <c r="K130" s="60" t="s">
        <v>40</v>
      </c>
      <c r="L130" s="343">
        <f>'UTL COST'!$B$3</f>
        <v>369000</v>
      </c>
      <c r="M130" s="379">
        <f>'UTL COST'!$C$3</f>
        <v>0.0075</v>
      </c>
      <c r="N130" s="67">
        <f>'UTL COST'!$D$3</f>
        <v>2767.5</v>
      </c>
      <c r="O130" s="324"/>
      <c r="P130" s="387"/>
    </row>
    <row r="131" ht="12.75" customHeight="1">
      <c r="A131" s="322"/>
      <c r="B131" s="75" t="s">
        <v>51</v>
      </c>
      <c r="C131" s="371" t="str">
        <f>'UTL COST'!$B$4</f>
        <v>#REF!</v>
      </c>
      <c r="D131" s="382">
        <f>'UTL COST'!$C$4</f>
        <v>7000</v>
      </c>
      <c r="E131" s="67">
        <f>'UTL COST'!$D$3/5</f>
        <v>553.5</v>
      </c>
      <c r="F131" s="324"/>
      <c r="G131" s="324"/>
      <c r="H131" s="387"/>
      <c r="I131" s="388"/>
      <c r="J131" s="322"/>
      <c r="K131" s="75" t="s">
        <v>51</v>
      </c>
      <c r="L131" s="371" t="str">
        <f>'UTL COST'!$B$4</f>
        <v>#REF!</v>
      </c>
      <c r="M131" s="382">
        <f>'UTL COST'!$C$4</f>
        <v>7000</v>
      </c>
      <c r="N131" s="76" t="str">
        <f>'UTL COST'!$D$4</f>
        <v>#REF!</v>
      </c>
      <c r="O131" s="324"/>
      <c r="P131" s="387"/>
    </row>
    <row r="132" ht="12.75" customHeight="1">
      <c r="A132" s="322"/>
      <c r="B132" s="75" t="s">
        <v>59</v>
      </c>
      <c r="C132" s="371" t="str">
        <f>'UTL COST'!$B$5</f>
        <v>#REF!</v>
      </c>
      <c r="D132" s="382">
        <f>'UTL COST'!$C$5</f>
        <v>45000</v>
      </c>
      <c r="E132" s="76" t="str">
        <f>'UTL COST'!$D$5</f>
        <v>#REF!</v>
      </c>
      <c r="F132" s="324"/>
      <c r="G132" s="324"/>
      <c r="H132" s="387"/>
      <c r="I132" s="388"/>
      <c r="J132" s="322"/>
      <c r="K132" s="75" t="s">
        <v>59</v>
      </c>
      <c r="L132" s="371" t="str">
        <f>'UTL COST'!$B$5</f>
        <v>#REF!</v>
      </c>
      <c r="M132" s="382">
        <f>'UTL COST'!$C$5</f>
        <v>45000</v>
      </c>
      <c r="N132" s="76" t="str">
        <f>'UTL COST'!$D$5</f>
        <v>#REF!</v>
      </c>
      <c r="O132" s="324"/>
      <c r="P132" s="387"/>
    </row>
    <row r="133" ht="12.75" customHeight="1">
      <c r="A133" s="322"/>
      <c r="B133" s="87" t="s">
        <v>78</v>
      </c>
      <c r="C133" s="371" t="str">
        <f>'UTL COST'!$B$6</f>
        <v>#REF!</v>
      </c>
      <c r="D133" s="383">
        <f>'UTL COST'!$C$6</f>
        <v>525</v>
      </c>
      <c r="E133" s="89">
        <v>0.1</v>
      </c>
      <c r="F133" s="324"/>
      <c r="G133" s="324"/>
      <c r="H133" s="387"/>
      <c r="I133" s="388"/>
      <c r="J133" s="322"/>
      <c r="K133" s="87" t="s">
        <v>78</v>
      </c>
      <c r="L133" s="371" t="str">
        <f>'UTL COST'!$B$6</f>
        <v>#REF!</v>
      </c>
      <c r="M133" s="383">
        <f>'UTL COST'!$C$6</f>
        <v>525</v>
      </c>
      <c r="N133" s="89">
        <v>0.1</v>
      </c>
      <c r="O133" s="324"/>
      <c r="P133" s="387"/>
    </row>
    <row r="134" ht="12.75" customHeight="1">
      <c r="A134" s="322"/>
      <c r="B134" s="34" t="s">
        <v>84</v>
      </c>
      <c r="C134" s="102"/>
      <c r="D134" s="102"/>
      <c r="E134" s="104" t="str">
        <f>IF(SUM(E130:E133)=0,"",SUM(E130:E133))</f>
        <v>#REF!</v>
      </c>
      <c r="F134" s="324"/>
      <c r="G134" s="324"/>
      <c r="H134" s="387"/>
      <c r="I134" s="388"/>
      <c r="J134" s="322"/>
      <c r="K134" s="34" t="s">
        <v>84</v>
      </c>
      <c r="L134" s="102"/>
      <c r="M134" s="102"/>
      <c r="N134" s="104" t="str">
        <f>IF(SUM(N130:N133)=0,"",SUM(N130:N133))</f>
        <v>#REF!</v>
      </c>
      <c r="O134" s="324"/>
      <c r="P134" s="387"/>
    </row>
    <row r="135" ht="12.75" customHeight="1">
      <c r="A135" s="322"/>
      <c r="B135" s="360"/>
      <c r="C135" s="360"/>
      <c r="D135" s="360"/>
      <c r="E135" s="361"/>
      <c r="F135" s="324"/>
      <c r="G135" s="324"/>
      <c r="H135" s="387"/>
      <c r="I135" s="388"/>
      <c r="J135" s="322"/>
      <c r="K135" s="360"/>
      <c r="L135" s="360"/>
      <c r="M135" s="360"/>
      <c r="N135" s="361"/>
      <c r="O135" s="324"/>
      <c r="P135" s="387"/>
    </row>
    <row r="136" ht="12.75" customHeight="1">
      <c r="A136" s="387"/>
      <c r="B136" s="387"/>
      <c r="C136" s="387"/>
      <c r="D136" s="387"/>
      <c r="E136" s="418"/>
      <c r="F136" s="387"/>
      <c r="G136" s="387"/>
      <c r="H136" s="387"/>
      <c r="I136" s="387"/>
      <c r="J136" s="387"/>
      <c r="K136" s="387"/>
      <c r="L136" s="387"/>
      <c r="M136" s="387"/>
      <c r="N136" s="387"/>
      <c r="O136" s="387"/>
      <c r="P136" s="387"/>
    </row>
    <row r="137" ht="12.75" customHeight="1">
      <c r="A137" s="388"/>
      <c r="B137" s="388"/>
      <c r="C137" s="388"/>
      <c r="D137" s="388"/>
      <c r="E137" s="389"/>
      <c r="F137" s="387"/>
      <c r="G137" s="387"/>
      <c r="H137" s="387"/>
      <c r="I137" s="388"/>
      <c r="J137" s="388"/>
      <c r="K137" s="388"/>
      <c r="L137" s="388"/>
      <c r="M137" s="388"/>
      <c r="N137" s="389"/>
      <c r="O137" s="387"/>
      <c r="P137" s="387"/>
    </row>
    <row r="138" ht="12.75" customHeight="1">
      <c r="A138" s="388"/>
      <c r="B138" s="388"/>
      <c r="C138" s="388"/>
      <c r="D138" s="388"/>
      <c r="E138" s="389"/>
      <c r="F138" s="387"/>
      <c r="G138" s="387"/>
      <c r="H138" s="387"/>
      <c r="I138" s="388"/>
      <c r="J138" s="388"/>
      <c r="K138" s="388"/>
      <c r="L138" s="388"/>
      <c r="M138" s="388"/>
      <c r="N138" s="389"/>
      <c r="O138" s="387"/>
      <c r="P138" s="387"/>
    </row>
    <row r="139" ht="12.75" customHeight="1">
      <c r="A139" s="322"/>
      <c r="B139" s="325"/>
      <c r="C139" s="322"/>
      <c r="D139" s="322"/>
      <c r="E139" s="323"/>
      <c r="F139" s="326"/>
      <c r="G139" s="326"/>
      <c r="H139" s="404"/>
      <c r="I139" s="388"/>
      <c r="J139" s="322"/>
      <c r="K139" s="325"/>
      <c r="L139" s="322"/>
      <c r="M139" s="322"/>
      <c r="N139" s="323"/>
      <c r="O139" s="326"/>
      <c r="P139" s="387"/>
    </row>
    <row r="140" ht="12.75" customHeight="1">
      <c r="A140" s="322"/>
      <c r="B140" s="327" t="s">
        <v>931</v>
      </c>
      <c r="C140" s="328" t="s">
        <v>120</v>
      </c>
      <c r="D140" s="329"/>
      <c r="E140" s="323"/>
      <c r="F140" s="326"/>
      <c r="G140" s="326"/>
      <c r="H140" s="404"/>
      <c r="I140" s="388"/>
      <c r="J140" s="322"/>
      <c r="K140" s="327" t="s">
        <v>931</v>
      </c>
      <c r="L140" s="328" t="s">
        <v>1053</v>
      </c>
      <c r="M140" s="329"/>
      <c r="N140" s="323"/>
      <c r="O140" s="326"/>
      <c r="P140" s="387"/>
    </row>
    <row r="141" ht="12.75" customHeight="1">
      <c r="A141" s="322"/>
      <c r="B141" s="325"/>
      <c r="C141" s="322"/>
      <c r="D141" s="322"/>
      <c r="E141" s="323"/>
      <c r="F141" s="326"/>
      <c r="G141" s="326"/>
      <c r="H141" s="404"/>
      <c r="I141" s="388"/>
      <c r="J141" s="322"/>
      <c r="K141" s="325"/>
      <c r="L141" s="322"/>
      <c r="M141" s="322"/>
      <c r="N141" s="323"/>
      <c r="O141" s="326"/>
      <c r="P141" s="387"/>
    </row>
    <row r="142" ht="12.75" customHeight="1">
      <c r="A142" s="322"/>
      <c r="B142" s="327" t="s">
        <v>935</v>
      </c>
      <c r="C142" s="331">
        <v>120000.0</v>
      </c>
      <c r="D142" s="329"/>
      <c r="E142" s="323"/>
      <c r="F142" s="326"/>
      <c r="G142" s="326"/>
      <c r="H142" s="404"/>
      <c r="I142" s="388"/>
      <c r="J142" s="322"/>
      <c r="K142" s="327" t="s">
        <v>935</v>
      </c>
      <c r="L142" s="331">
        <v>190000.0</v>
      </c>
      <c r="M142" s="329"/>
      <c r="N142" s="323"/>
      <c r="O142" s="326"/>
      <c r="P142" s="387"/>
    </row>
    <row r="143" ht="12.75" customHeight="1">
      <c r="A143" s="322"/>
      <c r="B143" s="327"/>
      <c r="C143" s="332"/>
      <c r="D143" s="332"/>
      <c r="E143" s="323"/>
      <c r="F143" s="326"/>
      <c r="G143" s="326"/>
      <c r="H143" s="404"/>
      <c r="I143" s="388"/>
      <c r="J143" s="322"/>
      <c r="K143" s="327"/>
      <c r="L143" s="332"/>
      <c r="M143" s="332"/>
      <c r="N143" s="323"/>
      <c r="O143" s="326"/>
      <c r="P143" s="387"/>
    </row>
    <row r="144" ht="12.75" customHeight="1">
      <c r="A144" s="322"/>
      <c r="B144" s="327" t="s">
        <v>939</v>
      </c>
      <c r="C144" s="333" t="str">
        <f>IF(SUM(E156,E171,E179)=0,"",SUM(E156,E171,E179))</f>
        <v>#REF!</v>
      </c>
      <c r="D144" s="321"/>
      <c r="E144" s="323"/>
      <c r="F144" s="326"/>
      <c r="G144" s="326"/>
      <c r="H144" s="404" t="str">
        <f>C144/90000</f>
        <v>#REF!</v>
      </c>
      <c r="I144" s="388" t="str">
        <f>L144/90000</f>
        <v>#REF!</v>
      </c>
      <c r="J144" s="322"/>
      <c r="K144" s="327" t="s">
        <v>939</v>
      </c>
      <c r="L144" s="333" t="str">
        <f>IF(SUM(N156,N171,N179)=0,"",SUM(N156,N171,N179))</f>
        <v>#REF!</v>
      </c>
      <c r="M144" s="321"/>
      <c r="N144" s="323"/>
      <c r="O144" s="326"/>
      <c r="P144" s="387"/>
    </row>
    <row r="145" ht="12.75" customHeight="1">
      <c r="A145" s="322"/>
      <c r="B145" s="327"/>
      <c r="C145" s="334"/>
      <c r="D145" s="334"/>
      <c r="E145" s="323"/>
      <c r="F145" s="326"/>
      <c r="G145" s="326"/>
      <c r="H145" s="404"/>
      <c r="I145" s="388"/>
      <c r="J145" s="322"/>
      <c r="K145" s="327"/>
      <c r="L145" s="334"/>
      <c r="M145" s="334"/>
      <c r="N145" s="323"/>
      <c r="O145" s="326"/>
      <c r="P145" s="387"/>
    </row>
    <row r="146" ht="12.75" customHeight="1">
      <c r="A146" s="322"/>
      <c r="B146" s="327" t="s">
        <v>946</v>
      </c>
      <c r="C146" s="335" t="str">
        <f>IF(C144="","",IF(ISBLANK(C142),"",C144/C142))</f>
        <v>#REF!</v>
      </c>
      <c r="D146" s="321"/>
      <c r="E146" s="323"/>
      <c r="F146" s="326"/>
      <c r="G146" s="326"/>
      <c r="H146" s="404"/>
      <c r="I146" s="388"/>
      <c r="J146" s="322"/>
      <c r="K146" s="327" t="s">
        <v>946</v>
      </c>
      <c r="L146" s="335" t="str">
        <f>IF(L144="","",IF(ISBLANK(L142),"",L144/L142))</f>
        <v>#REF!</v>
      </c>
      <c r="M146" s="321"/>
      <c r="N146" s="323"/>
      <c r="O146" s="326"/>
      <c r="P146" s="387"/>
    </row>
    <row r="147" ht="12.75" customHeight="1">
      <c r="A147" s="322"/>
      <c r="B147" s="327"/>
      <c r="C147" s="334"/>
      <c r="D147" s="334"/>
      <c r="E147" s="323"/>
      <c r="F147" s="326"/>
      <c r="G147" s="326"/>
      <c r="H147" s="404"/>
      <c r="I147" s="388"/>
      <c r="J147" s="322"/>
      <c r="K147" s="327"/>
      <c r="L147" s="334"/>
      <c r="M147" s="334"/>
      <c r="N147" s="323"/>
      <c r="O147" s="326"/>
      <c r="P147" s="387"/>
    </row>
    <row r="148" ht="12.75" customHeight="1">
      <c r="A148" s="322"/>
      <c r="B148" s="327" t="s">
        <v>950</v>
      </c>
      <c r="C148" s="333" t="str">
        <f>C142-C144</f>
        <v>#REF!</v>
      </c>
      <c r="D148" s="321"/>
      <c r="E148" s="323"/>
      <c r="F148" s="326"/>
      <c r="G148" s="326"/>
      <c r="H148" s="404"/>
      <c r="I148" s="388"/>
      <c r="J148" s="322"/>
      <c r="K148" s="327" t="s">
        <v>950</v>
      </c>
      <c r="L148" s="333" t="str">
        <f>L142-L144</f>
        <v>#REF!</v>
      </c>
      <c r="M148" s="321"/>
      <c r="N148" s="323"/>
      <c r="O148" s="326"/>
      <c r="P148" s="387"/>
    </row>
    <row r="149" ht="12.75" customHeight="1">
      <c r="A149" s="322"/>
      <c r="B149" s="322"/>
      <c r="C149" s="322"/>
      <c r="D149" s="322"/>
      <c r="E149" s="323"/>
      <c r="F149" s="324"/>
      <c r="G149" s="324"/>
      <c r="H149" s="404"/>
      <c r="I149" s="388"/>
      <c r="J149" s="322"/>
      <c r="K149" s="322"/>
      <c r="L149" s="322"/>
      <c r="M149" s="322"/>
      <c r="N149" s="323"/>
      <c r="O149" s="324"/>
      <c r="P149" s="387"/>
    </row>
    <row r="150" ht="12.75" customHeight="1">
      <c r="A150" s="322"/>
      <c r="B150" s="322"/>
      <c r="C150" s="322"/>
      <c r="D150" s="322"/>
      <c r="E150" s="337"/>
      <c r="F150" s="324"/>
      <c r="G150" s="324"/>
      <c r="H150" s="387"/>
      <c r="I150" s="388"/>
      <c r="J150" s="322"/>
      <c r="K150" s="322"/>
      <c r="L150" s="322"/>
      <c r="M150" s="322"/>
      <c r="N150" s="337"/>
      <c r="O150" s="324"/>
      <c r="P150" s="387"/>
    </row>
    <row r="151" ht="12.75" customHeight="1">
      <c r="A151" s="322"/>
      <c r="B151" s="338" t="s">
        <v>951</v>
      </c>
      <c r="C151" s="339"/>
      <c r="D151" s="339"/>
      <c r="E151" s="339"/>
      <c r="F151" s="324"/>
      <c r="G151" s="324"/>
      <c r="H151" s="410"/>
      <c r="I151" s="388"/>
      <c r="J151" s="322"/>
      <c r="K151" s="338" t="s">
        <v>951</v>
      </c>
      <c r="L151" s="339"/>
      <c r="M151" s="339"/>
      <c r="N151" s="339"/>
      <c r="O151" s="324"/>
      <c r="P151" s="387"/>
    </row>
    <row r="152" ht="12.75" customHeight="1">
      <c r="A152" s="322"/>
      <c r="B152" s="340" t="s">
        <v>953</v>
      </c>
      <c r="C152" s="341" t="s">
        <v>954</v>
      </c>
      <c r="D152" s="341" t="s">
        <v>955</v>
      </c>
      <c r="E152" s="341" t="s">
        <v>35</v>
      </c>
      <c r="F152" s="324"/>
      <c r="G152" s="324"/>
      <c r="H152" s="387"/>
      <c r="I152" s="388"/>
      <c r="J152" s="322"/>
      <c r="K152" s="340" t="s">
        <v>953</v>
      </c>
      <c r="L152" s="341" t="s">
        <v>954</v>
      </c>
      <c r="M152" s="341" t="s">
        <v>955</v>
      </c>
      <c r="N152" s="341" t="s">
        <v>35</v>
      </c>
      <c r="O152" s="324"/>
      <c r="P152" s="387"/>
    </row>
    <row r="153" ht="12.75" customHeight="1">
      <c r="A153" s="322"/>
      <c r="B153" s="60" t="s">
        <v>703</v>
      </c>
      <c r="C153" s="342">
        <v>0.2</v>
      </c>
      <c r="D153" s="343">
        <f>'F&amp;B'!$F$229</f>
        <v>81000</v>
      </c>
      <c r="E153" s="67">
        <f>IF(OR(ISBLANK(C153),ISBLANK(D153)),"",D153*C153)</f>
        <v>16200</v>
      </c>
      <c r="F153" s="324"/>
      <c r="G153" s="324"/>
      <c r="H153" s="387"/>
      <c r="I153" s="388"/>
      <c r="J153" s="322"/>
      <c r="K153" s="60" t="s">
        <v>1056</v>
      </c>
      <c r="L153" s="342">
        <v>0.15</v>
      </c>
      <c r="M153" s="343">
        <f>'F&amp;B'!$F$98</f>
        <v>76500</v>
      </c>
      <c r="N153" s="67">
        <f t="shared" ref="N153:N155" si="9">IF(OR(ISBLANK(L153),ISBLANK(M153)),"",M153*L153)</f>
        <v>11475</v>
      </c>
      <c r="O153" s="324"/>
      <c r="P153" s="387"/>
    </row>
    <row r="154" ht="12.75" customHeight="1">
      <c r="A154" s="322"/>
      <c r="B154" s="348" t="s">
        <v>1048</v>
      </c>
      <c r="C154" s="346">
        <v>0.01</v>
      </c>
      <c r="D154" s="347">
        <f>'F&amp;B'!$F$246/3.79</f>
        <v>56160.94987</v>
      </c>
      <c r="E154" s="67">
        <v>0.0</v>
      </c>
      <c r="F154" s="324"/>
      <c r="G154" s="324"/>
      <c r="H154" s="387"/>
      <c r="I154" s="388"/>
      <c r="J154" s="322"/>
      <c r="K154" s="348" t="s">
        <v>1043</v>
      </c>
      <c r="L154" s="370">
        <v>5.0</v>
      </c>
      <c r="M154" s="371">
        <f>D161</f>
        <v>563.76</v>
      </c>
      <c r="N154" s="67">
        <f t="shared" si="9"/>
        <v>2818.8</v>
      </c>
      <c r="O154" s="324"/>
      <c r="P154" s="387"/>
    </row>
    <row r="155" ht="12.75" customHeight="1">
      <c r="A155" s="322"/>
      <c r="B155" s="354" t="s">
        <v>1041</v>
      </c>
      <c r="C155" s="355">
        <v>1.0</v>
      </c>
      <c r="D155" s="352">
        <f>SAUCES!$D$133</f>
        <v>2010.930109</v>
      </c>
      <c r="E155" s="353">
        <f>IF(OR(ISBLANK(C155),ISBLANK(D155)),"",D155*C155)</f>
        <v>2010.930109</v>
      </c>
      <c r="F155" s="324"/>
      <c r="G155" s="324"/>
      <c r="H155" s="387"/>
      <c r="I155" s="388"/>
      <c r="J155" s="322"/>
      <c r="K155" s="428"/>
      <c r="L155" s="355"/>
      <c r="M155" s="356"/>
      <c r="N155" s="357" t="str">
        <f t="shared" si="9"/>
        <v/>
      </c>
      <c r="O155" s="324"/>
      <c r="P155" s="387"/>
    </row>
    <row r="156" ht="12.75" customHeight="1">
      <c r="A156" s="322"/>
      <c r="B156" s="338" t="s">
        <v>84</v>
      </c>
      <c r="C156" s="358"/>
      <c r="D156" s="358"/>
      <c r="E156" s="359">
        <f>IF(SUM(E153:E155)=0,"",SUM(E153:E155))</f>
        <v>18210.93011</v>
      </c>
      <c r="F156" s="324"/>
      <c r="G156" s="324"/>
      <c r="H156" s="387"/>
      <c r="I156" s="388"/>
      <c r="J156" s="322"/>
      <c r="K156" s="338" t="s">
        <v>84</v>
      </c>
      <c r="L156" s="358"/>
      <c r="M156" s="358"/>
      <c r="N156" s="359">
        <f>IF(SUM(N153:N155)=0,"",SUM(N153:N155))</f>
        <v>14293.8</v>
      </c>
      <c r="O156" s="324"/>
      <c r="P156" s="387"/>
    </row>
    <row r="157" ht="12.75" customHeight="1">
      <c r="A157" s="322"/>
      <c r="B157" s="360"/>
      <c r="C157" s="360"/>
      <c r="D157" s="360"/>
      <c r="E157" s="361"/>
      <c r="F157" s="324"/>
      <c r="G157" s="324"/>
      <c r="H157" s="387"/>
      <c r="I157" s="388"/>
      <c r="J157" s="322"/>
      <c r="K157" s="360"/>
      <c r="L157" s="360"/>
      <c r="M157" s="360"/>
      <c r="N157" s="361"/>
      <c r="O157" s="324"/>
      <c r="P157" s="387"/>
    </row>
    <row r="158" ht="12.75" customHeight="1">
      <c r="A158" s="322"/>
      <c r="B158" s="362" t="s">
        <v>972</v>
      </c>
      <c r="C158" s="363"/>
      <c r="D158" s="363"/>
      <c r="E158" s="363"/>
      <c r="F158" s="324"/>
      <c r="G158" s="324"/>
      <c r="H158" s="387"/>
      <c r="I158" s="388"/>
      <c r="J158" s="322"/>
      <c r="K158" s="362" t="s">
        <v>972</v>
      </c>
      <c r="L158" s="363"/>
      <c r="M158" s="363"/>
      <c r="N158" s="363"/>
      <c r="O158" s="324"/>
      <c r="P158" s="387"/>
    </row>
    <row r="159" ht="12.75" customHeight="1">
      <c r="A159" s="322"/>
      <c r="B159" s="365" t="s">
        <v>953</v>
      </c>
      <c r="C159" s="366" t="s">
        <v>3</v>
      </c>
      <c r="D159" s="366" t="s">
        <v>975</v>
      </c>
      <c r="E159" s="367" t="s">
        <v>35</v>
      </c>
      <c r="F159" s="324"/>
      <c r="G159" s="324"/>
      <c r="H159" s="387"/>
      <c r="I159" s="388"/>
      <c r="J159" s="322"/>
      <c r="K159" s="365" t="s">
        <v>953</v>
      </c>
      <c r="L159" s="366" t="s">
        <v>3</v>
      </c>
      <c r="M159" s="366" t="s">
        <v>975</v>
      </c>
      <c r="N159" s="367" t="s">
        <v>35</v>
      </c>
      <c r="O159" s="324"/>
      <c r="P159" s="387"/>
    </row>
    <row r="160" ht="12.75" customHeight="1">
      <c r="A160" s="322"/>
      <c r="B160" s="368"/>
      <c r="C160" s="366"/>
      <c r="D160" s="366"/>
      <c r="E160" s="368"/>
      <c r="F160" s="324"/>
      <c r="G160" s="324"/>
      <c r="H160" s="387"/>
      <c r="I160" s="388"/>
      <c r="J160" s="322"/>
      <c r="K160" s="368"/>
      <c r="L160" s="366"/>
      <c r="M160" s="366"/>
      <c r="N160" s="368"/>
      <c r="O160" s="324"/>
      <c r="P160" s="387"/>
    </row>
    <row r="161" ht="12.75" customHeight="1">
      <c r="A161" s="322"/>
      <c r="B161" s="60" t="s">
        <v>202</v>
      </c>
      <c r="C161" s="342">
        <v>2.0</v>
      </c>
      <c r="D161" s="343">
        <f>SAUCES!D48</f>
        <v>563.76</v>
      </c>
      <c r="E161" s="67">
        <f>D161*C161</f>
        <v>1127.52</v>
      </c>
      <c r="F161" s="324"/>
      <c r="G161" s="324"/>
      <c r="H161" s="387"/>
      <c r="I161" s="388"/>
      <c r="J161" s="322"/>
      <c r="K161" s="60" t="s">
        <v>105</v>
      </c>
      <c r="L161" s="342">
        <v>1.0</v>
      </c>
      <c r="M161" s="343">
        <f>SAUCES!$D$34</f>
        <v>1195.819259</v>
      </c>
      <c r="N161" s="67">
        <f t="shared" ref="N161:N170" si="10">M161*L161</f>
        <v>1195.819259</v>
      </c>
      <c r="O161" s="324"/>
      <c r="P161" s="387"/>
    </row>
    <row r="162" ht="12.75" customHeight="1">
      <c r="A162" s="322"/>
      <c r="B162" s="75"/>
      <c r="C162" s="370"/>
      <c r="D162" s="371"/>
      <c r="E162" s="67"/>
      <c r="F162" s="324"/>
      <c r="G162" s="324"/>
      <c r="H162" s="387"/>
      <c r="I162" s="388"/>
      <c r="J162" s="322"/>
      <c r="K162" s="75"/>
      <c r="L162" s="370"/>
      <c r="M162" s="371"/>
      <c r="N162" s="67">
        <f t="shared" si="10"/>
        <v>0</v>
      </c>
      <c r="O162" s="324"/>
      <c r="P162" s="387"/>
    </row>
    <row r="163" ht="12.75" customHeight="1">
      <c r="A163" s="322"/>
      <c r="B163" s="75"/>
      <c r="C163" s="370"/>
      <c r="D163" s="371"/>
      <c r="E163" s="67"/>
      <c r="F163" s="324"/>
      <c r="G163" s="324"/>
      <c r="H163" s="387"/>
      <c r="I163" s="388"/>
      <c r="J163" s="322"/>
      <c r="K163" s="75"/>
      <c r="L163" s="372"/>
      <c r="M163" s="371"/>
      <c r="N163" s="67">
        <f t="shared" si="10"/>
        <v>0</v>
      </c>
      <c r="O163" s="324"/>
      <c r="P163" s="387"/>
    </row>
    <row r="164" ht="12.75" customHeight="1">
      <c r="A164" s="322"/>
      <c r="B164" s="75"/>
      <c r="C164" s="346"/>
      <c r="D164" s="371"/>
      <c r="E164" s="67"/>
      <c r="F164" s="324"/>
      <c r="G164" s="324"/>
      <c r="H164" s="387"/>
      <c r="I164" s="388"/>
      <c r="J164" s="322"/>
      <c r="K164" s="75"/>
      <c r="L164" s="346"/>
      <c r="M164" s="371"/>
      <c r="N164" s="67">
        <f t="shared" si="10"/>
        <v>0</v>
      </c>
      <c r="O164" s="324"/>
      <c r="P164" s="387"/>
    </row>
    <row r="165" ht="12.75" customHeight="1">
      <c r="A165" s="322"/>
      <c r="B165" s="75"/>
      <c r="C165" s="346"/>
      <c r="D165" s="371"/>
      <c r="E165" s="67"/>
      <c r="F165" s="324"/>
      <c r="G165" s="324"/>
      <c r="H165" s="387"/>
      <c r="I165" s="388"/>
      <c r="J165" s="322"/>
      <c r="K165" s="75"/>
      <c r="L165" s="346"/>
      <c r="M165" s="371"/>
      <c r="N165" s="67">
        <f t="shared" si="10"/>
        <v>0</v>
      </c>
      <c r="O165" s="324"/>
      <c r="P165" s="387"/>
    </row>
    <row r="166" ht="12.75" customHeight="1">
      <c r="A166" s="322"/>
      <c r="B166" s="75"/>
      <c r="C166" s="346"/>
      <c r="D166" s="373"/>
      <c r="E166" s="67"/>
      <c r="F166" s="324"/>
      <c r="G166" s="324"/>
      <c r="H166" s="387"/>
      <c r="I166" s="388"/>
      <c r="J166" s="322"/>
      <c r="K166" s="75"/>
      <c r="L166" s="346"/>
      <c r="M166" s="373"/>
      <c r="N166" s="67">
        <f t="shared" si="10"/>
        <v>0</v>
      </c>
      <c r="O166" s="324"/>
      <c r="P166" s="387"/>
    </row>
    <row r="167" ht="12.75" customHeight="1">
      <c r="A167" s="322"/>
      <c r="B167" s="348"/>
      <c r="C167" s="346"/>
      <c r="D167" s="373"/>
      <c r="E167" s="67"/>
      <c r="F167" s="324"/>
      <c r="G167" s="324"/>
      <c r="H167" s="387"/>
      <c r="I167" s="388"/>
      <c r="J167" s="322"/>
      <c r="K167" s="348"/>
      <c r="L167" s="346"/>
      <c r="M167" s="373"/>
      <c r="N167" s="67">
        <f t="shared" si="10"/>
        <v>0</v>
      </c>
      <c r="O167" s="324"/>
      <c r="P167" s="387"/>
    </row>
    <row r="168" ht="12.75" customHeight="1">
      <c r="A168" s="322"/>
      <c r="B168" s="348"/>
      <c r="C168" s="346"/>
      <c r="D168" s="373"/>
      <c r="E168" s="67"/>
      <c r="F168" s="324"/>
      <c r="G168" s="324"/>
      <c r="H168" s="387"/>
      <c r="I168" s="388"/>
      <c r="J168" s="322"/>
      <c r="K168" s="348"/>
      <c r="L168" s="346"/>
      <c r="M168" s="373"/>
      <c r="N168" s="67">
        <f t="shared" si="10"/>
        <v>0</v>
      </c>
      <c r="O168" s="324"/>
      <c r="P168" s="387"/>
    </row>
    <row r="169" ht="12.75" customHeight="1">
      <c r="A169" s="322"/>
      <c r="B169" s="348"/>
      <c r="C169" s="346"/>
      <c r="D169" s="373"/>
      <c r="E169" s="67"/>
      <c r="F169" s="324"/>
      <c r="G169" s="324"/>
      <c r="H169" s="387"/>
      <c r="I169" s="388"/>
      <c r="J169" s="322"/>
      <c r="K169" s="348"/>
      <c r="L169" s="346"/>
      <c r="M169" s="373"/>
      <c r="N169" s="67">
        <f t="shared" si="10"/>
        <v>0</v>
      </c>
      <c r="O169" s="324"/>
      <c r="P169" s="387"/>
    </row>
    <row r="170" ht="12.75" customHeight="1">
      <c r="A170" s="322"/>
      <c r="B170" s="354"/>
      <c r="C170" s="355"/>
      <c r="D170" s="356"/>
      <c r="E170" s="67"/>
      <c r="F170" s="324"/>
      <c r="G170" s="324"/>
      <c r="H170" s="387"/>
      <c r="I170" s="388"/>
      <c r="J170" s="322"/>
      <c r="K170" s="354"/>
      <c r="L170" s="355"/>
      <c r="M170" s="356"/>
      <c r="N170" s="67">
        <f t="shared" si="10"/>
        <v>0</v>
      </c>
      <c r="O170" s="324"/>
      <c r="P170" s="387"/>
    </row>
    <row r="171" ht="12.75" customHeight="1">
      <c r="A171" s="322"/>
      <c r="B171" s="362" t="s">
        <v>84</v>
      </c>
      <c r="C171" s="374"/>
      <c r="D171" s="374"/>
      <c r="E171" s="375">
        <f>SUM(E161:E170)</f>
        <v>1127.52</v>
      </c>
      <c r="F171" s="324"/>
      <c r="G171" s="324"/>
      <c r="H171" s="387"/>
      <c r="I171" s="388"/>
      <c r="J171" s="322"/>
      <c r="K171" s="362" t="s">
        <v>84</v>
      </c>
      <c r="L171" s="374"/>
      <c r="M171" s="374"/>
      <c r="N171" s="375">
        <f>IF(SUM(N161:N170)=0,"",SUM(N161:N170))</f>
        <v>1195.819259</v>
      </c>
      <c r="O171" s="324"/>
      <c r="P171" s="387"/>
    </row>
    <row r="172" ht="12.75" customHeight="1">
      <c r="A172" s="322"/>
      <c r="B172" s="360"/>
      <c r="C172" s="360"/>
      <c r="D172" s="360"/>
      <c r="E172" s="361"/>
      <c r="F172" s="324"/>
      <c r="G172" s="324"/>
      <c r="H172" s="387"/>
      <c r="I172" s="388"/>
      <c r="J172" s="322"/>
      <c r="K172" s="360"/>
      <c r="L172" s="360"/>
      <c r="M172" s="360"/>
      <c r="N172" s="361"/>
      <c r="O172" s="324"/>
      <c r="P172" s="387"/>
    </row>
    <row r="173" ht="12.75" customHeight="1">
      <c r="A173" s="322"/>
      <c r="B173" s="34" t="s">
        <v>17</v>
      </c>
      <c r="C173" s="35"/>
      <c r="D173" s="35"/>
      <c r="E173" s="35"/>
      <c r="F173" s="324"/>
      <c r="G173" s="324"/>
      <c r="H173" s="387"/>
      <c r="I173" s="388"/>
      <c r="J173" s="322"/>
      <c r="K173" s="34" t="s">
        <v>17</v>
      </c>
      <c r="L173" s="35"/>
      <c r="M173" s="35"/>
      <c r="N173" s="35"/>
      <c r="O173" s="324"/>
      <c r="P173" s="387"/>
    </row>
    <row r="174" ht="12.75" customHeight="1">
      <c r="A174" s="322"/>
      <c r="B174" s="52" t="s">
        <v>42</v>
      </c>
      <c r="C174" s="54"/>
      <c r="D174" s="54"/>
      <c r="E174" s="56" t="s">
        <v>35</v>
      </c>
      <c r="F174" s="324"/>
      <c r="G174" s="324"/>
      <c r="H174" s="387"/>
      <c r="I174" s="388"/>
      <c r="J174" s="322"/>
      <c r="K174" s="52" t="s">
        <v>42</v>
      </c>
      <c r="L174" s="54"/>
      <c r="M174" s="54"/>
      <c r="N174" s="56" t="s">
        <v>35</v>
      </c>
      <c r="O174" s="324"/>
      <c r="P174" s="387"/>
    </row>
    <row r="175" ht="12.75" customHeight="1">
      <c r="A175" s="322"/>
      <c r="B175" s="60" t="s">
        <v>40</v>
      </c>
      <c r="C175" s="343">
        <f>'UTL COST'!$B$3</f>
        <v>369000</v>
      </c>
      <c r="D175" s="379">
        <f>'UTL COST'!$C$3</f>
        <v>0.0075</v>
      </c>
      <c r="E175" s="76">
        <f>'UTL COST'!$D$3</f>
        <v>2767.5</v>
      </c>
      <c r="F175" s="324"/>
      <c r="G175" s="324"/>
      <c r="H175" s="387"/>
      <c r="I175" s="388"/>
      <c r="J175" s="322"/>
      <c r="K175" s="60" t="s">
        <v>40</v>
      </c>
      <c r="L175" s="343">
        <f>'UTL COST'!$B$3</f>
        <v>369000</v>
      </c>
      <c r="M175" s="379">
        <f>'UTL COST'!$C$3</f>
        <v>0.0075</v>
      </c>
      <c r="N175" s="67">
        <f>'UTL COST'!$D$3</f>
        <v>2767.5</v>
      </c>
      <c r="O175" s="324"/>
      <c r="P175" s="387"/>
    </row>
    <row r="176" ht="12.75" customHeight="1">
      <c r="A176" s="322"/>
      <c r="B176" s="75" t="s">
        <v>51</v>
      </c>
      <c r="C176" s="371" t="str">
        <f>'UTL COST'!$B$4</f>
        <v>#REF!</v>
      </c>
      <c r="D176" s="382">
        <f>'UTL COST'!$C$4</f>
        <v>7000</v>
      </c>
      <c r="E176" s="76" t="str">
        <f>'UTL COST'!$D$4</f>
        <v>#REF!</v>
      </c>
      <c r="F176" s="324"/>
      <c r="G176" s="324"/>
      <c r="H176" s="387"/>
      <c r="I176" s="388"/>
      <c r="J176" s="322"/>
      <c r="K176" s="75" t="s">
        <v>51</v>
      </c>
      <c r="L176" s="371" t="str">
        <f>'UTL COST'!$B$4</f>
        <v>#REF!</v>
      </c>
      <c r="M176" s="382">
        <f>'UTL COST'!$C$4</f>
        <v>7000</v>
      </c>
      <c r="N176" s="76" t="str">
        <f>'UTL COST'!$D$4</f>
        <v>#REF!</v>
      </c>
      <c r="O176" s="324"/>
      <c r="P176" s="387"/>
    </row>
    <row r="177" ht="12.75" customHeight="1">
      <c r="A177" s="322"/>
      <c r="B177" s="75" t="s">
        <v>59</v>
      </c>
      <c r="C177" s="371" t="str">
        <f>'UTL COST'!$B$5</f>
        <v>#REF!</v>
      </c>
      <c r="D177" s="382">
        <f>'UTL COST'!$C$5</f>
        <v>45000</v>
      </c>
      <c r="E177" s="76" t="str">
        <f>'UTL COST'!$D$5</f>
        <v>#REF!</v>
      </c>
      <c r="F177" s="324"/>
      <c r="G177" s="324"/>
      <c r="H177" s="387"/>
      <c r="I177" s="388"/>
      <c r="J177" s="322"/>
      <c r="K177" s="75" t="s">
        <v>59</v>
      </c>
      <c r="L177" s="371" t="str">
        <f>'UTL COST'!$B$5</f>
        <v>#REF!</v>
      </c>
      <c r="M177" s="382">
        <f>'UTL COST'!$C$5</f>
        <v>45000</v>
      </c>
      <c r="N177" s="76" t="str">
        <f>'UTL COST'!$D$5</f>
        <v>#REF!</v>
      </c>
      <c r="O177" s="324"/>
      <c r="P177" s="387"/>
    </row>
    <row r="178" ht="12.75" customHeight="1">
      <c r="A178" s="322"/>
      <c r="B178" s="87" t="s">
        <v>78</v>
      </c>
      <c r="C178" s="371" t="str">
        <f>'UTL COST'!$B$6</f>
        <v>#REF!</v>
      </c>
      <c r="D178" s="383">
        <f>'UTL COST'!$C$6</f>
        <v>525</v>
      </c>
      <c r="E178" s="89">
        <v>0.1</v>
      </c>
      <c r="F178" s="324"/>
      <c r="G178" s="324"/>
      <c r="H178" s="387"/>
      <c r="I178" s="388"/>
      <c r="J178" s="322"/>
      <c r="K178" s="87" t="s">
        <v>78</v>
      </c>
      <c r="L178" s="371" t="str">
        <f>'UTL COST'!$B$6</f>
        <v>#REF!</v>
      </c>
      <c r="M178" s="383">
        <f>'UTL COST'!$C$6</f>
        <v>525</v>
      </c>
      <c r="N178" s="89">
        <v>0.1</v>
      </c>
      <c r="O178" s="324"/>
      <c r="P178" s="387"/>
    </row>
    <row r="179" ht="12.75" customHeight="1">
      <c r="A179" s="322"/>
      <c r="B179" s="34" t="s">
        <v>84</v>
      </c>
      <c r="C179" s="102"/>
      <c r="D179" s="102"/>
      <c r="E179" s="104" t="str">
        <f>IF(SUM(E175:E178)=0,"",SUM(E175:E178))</f>
        <v>#REF!</v>
      </c>
      <c r="F179" s="324"/>
      <c r="G179" s="324"/>
      <c r="H179" s="387"/>
      <c r="I179" s="388"/>
      <c r="J179" s="322"/>
      <c r="K179" s="34" t="s">
        <v>84</v>
      </c>
      <c r="L179" s="102"/>
      <c r="M179" s="102"/>
      <c r="N179" s="104" t="str">
        <f>IF(SUM(N175:N178)=0,"",SUM(N175:N178))</f>
        <v>#REF!</v>
      </c>
      <c r="O179" s="324"/>
      <c r="P179" s="387"/>
    </row>
    <row r="180" ht="12.75" customHeight="1">
      <c r="A180" s="322"/>
      <c r="B180" s="360"/>
      <c r="C180" s="360"/>
      <c r="D180" s="360"/>
      <c r="E180" s="361"/>
      <c r="F180" s="324"/>
      <c r="G180" s="324"/>
      <c r="H180" s="387"/>
      <c r="I180" s="388"/>
      <c r="J180" s="322"/>
      <c r="K180" s="360"/>
      <c r="L180" s="360"/>
      <c r="M180" s="360"/>
      <c r="N180" s="361"/>
      <c r="O180" s="324"/>
      <c r="P180" s="387"/>
    </row>
    <row r="181" ht="12.75" customHeight="1">
      <c r="A181" s="387"/>
      <c r="B181" s="387"/>
      <c r="C181" s="387"/>
      <c r="D181" s="387"/>
      <c r="E181" s="418"/>
      <c r="F181" s="387"/>
      <c r="G181" s="387"/>
      <c r="H181" s="387"/>
      <c r="I181" s="387"/>
      <c r="J181" s="387"/>
      <c r="K181" s="387"/>
      <c r="L181" s="387"/>
      <c r="M181" s="387"/>
      <c r="N181" s="387"/>
      <c r="O181" s="387"/>
      <c r="P181" s="387"/>
    </row>
    <row r="182" ht="12.75" customHeight="1">
      <c r="A182" s="387"/>
      <c r="B182" s="387"/>
      <c r="C182" s="387"/>
      <c r="D182" s="387"/>
      <c r="E182" s="418"/>
      <c r="F182" s="387"/>
      <c r="G182" s="387"/>
      <c r="H182" s="387"/>
      <c r="I182" s="387"/>
      <c r="J182" s="387"/>
      <c r="K182" s="387"/>
      <c r="L182" s="387"/>
      <c r="M182" s="387"/>
      <c r="N182" s="387"/>
      <c r="O182" s="387"/>
      <c r="P182" s="387"/>
    </row>
    <row r="183" ht="12.75" customHeight="1">
      <c r="A183" s="387"/>
      <c r="B183" s="387"/>
      <c r="C183" s="387"/>
      <c r="D183" s="387"/>
      <c r="E183" s="418"/>
      <c r="F183" s="387"/>
      <c r="G183" s="387"/>
      <c r="H183" s="387"/>
      <c r="I183" s="387"/>
      <c r="J183" s="387"/>
      <c r="K183" s="387"/>
      <c r="L183" s="387"/>
      <c r="M183" s="387"/>
      <c r="N183" s="387"/>
      <c r="O183" s="387"/>
      <c r="P183" s="387"/>
    </row>
    <row r="184" ht="12.75" customHeight="1">
      <c r="A184" s="387"/>
      <c r="B184" s="387"/>
      <c r="C184" s="387"/>
      <c r="D184" s="387"/>
      <c r="E184" s="418"/>
      <c r="F184" s="387"/>
      <c r="G184" s="387"/>
      <c r="H184" s="387"/>
      <c r="I184" s="387"/>
      <c r="J184" s="387"/>
      <c r="K184" s="387"/>
      <c r="L184" s="387"/>
      <c r="M184" s="387"/>
      <c r="N184" s="387"/>
      <c r="O184" s="387"/>
      <c r="P184" s="387"/>
    </row>
    <row r="185" ht="12.75" customHeight="1">
      <c r="A185" s="322"/>
      <c r="B185" s="322"/>
      <c r="C185" s="322"/>
      <c r="D185" s="322"/>
      <c r="E185" s="323"/>
      <c r="F185" s="324"/>
      <c r="G185" s="324"/>
      <c r="H185" s="387"/>
      <c r="I185" s="387"/>
      <c r="J185" s="322"/>
      <c r="K185" s="322"/>
      <c r="L185" s="322"/>
      <c r="M185" s="322"/>
      <c r="N185" s="323"/>
      <c r="O185" s="324"/>
      <c r="P185" s="387"/>
    </row>
    <row r="186" ht="12.75" customHeight="1">
      <c r="A186" s="322"/>
      <c r="B186" s="325"/>
      <c r="C186" s="322"/>
      <c r="D186" s="322"/>
      <c r="E186" s="323"/>
      <c r="F186" s="326"/>
      <c r="G186" s="326"/>
      <c r="H186" s="387"/>
      <c r="I186" s="387"/>
      <c r="J186" s="322"/>
      <c r="K186" s="325"/>
      <c r="L186" s="322"/>
      <c r="M186" s="322"/>
      <c r="N186" s="323"/>
      <c r="O186" s="326"/>
      <c r="P186" s="404"/>
    </row>
    <row r="187" ht="12.75" customHeight="1">
      <c r="A187" s="322"/>
      <c r="B187" s="327" t="s">
        <v>931</v>
      </c>
      <c r="C187" s="328" t="s">
        <v>1066</v>
      </c>
      <c r="D187" s="329"/>
      <c r="E187" s="323"/>
      <c r="F187" s="326"/>
      <c r="G187" s="326"/>
      <c r="H187" s="387"/>
      <c r="I187" s="387"/>
      <c r="J187" s="322"/>
      <c r="K187" s="327" t="s">
        <v>931</v>
      </c>
      <c r="L187" s="328" t="s">
        <v>978</v>
      </c>
      <c r="M187" s="329"/>
      <c r="N187" s="323"/>
      <c r="O187" s="326"/>
      <c r="P187" s="404"/>
    </row>
    <row r="188" ht="12.75" customHeight="1">
      <c r="A188" s="322"/>
      <c r="B188" s="325"/>
      <c r="C188" s="322"/>
      <c r="D188" s="322"/>
      <c r="E188" s="323"/>
      <c r="F188" s="326"/>
      <c r="G188" s="326"/>
      <c r="H188" s="387"/>
      <c r="I188" s="387"/>
      <c r="J188" s="322"/>
      <c r="K188" s="325"/>
      <c r="L188" s="322"/>
      <c r="M188" s="322"/>
      <c r="N188" s="323"/>
      <c r="O188" s="326"/>
      <c r="P188" s="404"/>
    </row>
    <row r="189" ht="12.75" customHeight="1">
      <c r="A189" s="322"/>
      <c r="B189" s="327" t="s">
        <v>935</v>
      </c>
      <c r="C189" s="331">
        <v>75000.0</v>
      </c>
      <c r="D189" s="329"/>
      <c r="E189" s="323"/>
      <c r="F189" s="326"/>
      <c r="G189" s="326"/>
      <c r="H189" s="387"/>
      <c r="I189" s="387"/>
      <c r="J189" s="322"/>
      <c r="K189" s="327" t="s">
        <v>935</v>
      </c>
      <c r="L189" s="331">
        <v>85000.0</v>
      </c>
      <c r="M189" s="329"/>
      <c r="N189" s="323"/>
      <c r="O189" s="326"/>
      <c r="P189" s="404"/>
    </row>
    <row r="190" ht="12.75" customHeight="1">
      <c r="A190" s="322"/>
      <c r="B190" s="327"/>
      <c r="C190" s="332"/>
      <c r="D190" s="332"/>
      <c r="E190" s="323"/>
      <c r="F190" s="326"/>
      <c r="G190" s="326"/>
      <c r="H190" s="387"/>
      <c r="I190" s="387"/>
      <c r="J190" s="322"/>
      <c r="K190" s="327"/>
      <c r="L190" s="332"/>
      <c r="M190" s="332"/>
      <c r="N190" s="323"/>
      <c r="O190" s="326"/>
      <c r="P190" s="404"/>
    </row>
    <row r="191" ht="12.75" customHeight="1">
      <c r="A191" s="322"/>
      <c r="B191" s="327" t="s">
        <v>939</v>
      </c>
      <c r="C191" s="333" t="str">
        <f>IF(SUM(E203,E218,E226)=0,"",SUM(E203,E218,E226))</f>
        <v>#REF!</v>
      </c>
      <c r="D191" s="321"/>
      <c r="E191" s="323"/>
      <c r="F191" s="326"/>
      <c r="G191" s="326"/>
      <c r="H191" s="387"/>
      <c r="I191" s="387"/>
      <c r="J191" s="322"/>
      <c r="K191" s="327" t="s">
        <v>939</v>
      </c>
      <c r="L191" s="333" t="str">
        <f>IF(SUM(N203,N218,N226)=0,"",SUM(N203,N218,N226))</f>
        <v>#REF!</v>
      </c>
      <c r="M191" s="321"/>
      <c r="N191" s="323" t="str">
        <f>L191/90000</f>
        <v>#REF!</v>
      </c>
      <c r="O191" s="326"/>
      <c r="P191" s="404"/>
    </row>
    <row r="192" ht="12.75" customHeight="1">
      <c r="A192" s="322"/>
      <c r="B192" s="327"/>
      <c r="C192" s="334"/>
      <c r="D192" s="334"/>
      <c r="E192" s="323"/>
      <c r="F192" s="326"/>
      <c r="G192" s="326"/>
      <c r="H192" s="387"/>
      <c r="I192" s="387"/>
      <c r="J192" s="322"/>
      <c r="K192" s="327"/>
      <c r="L192" s="334"/>
      <c r="M192" s="334"/>
      <c r="N192" s="323"/>
      <c r="O192" s="326"/>
      <c r="P192" s="404"/>
    </row>
    <row r="193" ht="12.75" customHeight="1">
      <c r="A193" s="322"/>
      <c r="B193" s="327" t="s">
        <v>946</v>
      </c>
      <c r="C193" s="335" t="str">
        <f>IF(C191="","",IF(ISBLANK(C189),"",C191/C189))</f>
        <v>#REF!</v>
      </c>
      <c r="D193" s="321"/>
      <c r="E193" s="323"/>
      <c r="F193" s="326"/>
      <c r="G193" s="326"/>
      <c r="H193" s="387"/>
      <c r="I193" s="387"/>
      <c r="J193" s="322"/>
      <c r="K193" s="327" t="s">
        <v>946</v>
      </c>
      <c r="L193" s="335" t="str">
        <f>IF(L191="","",IF(ISBLANK(L189),"",L191/L189))</f>
        <v>#REF!</v>
      </c>
      <c r="M193" s="321"/>
      <c r="N193" s="323"/>
      <c r="O193" s="326"/>
      <c r="P193" s="404"/>
    </row>
    <row r="194" ht="12.75" customHeight="1">
      <c r="A194" s="322"/>
      <c r="B194" s="327"/>
      <c r="C194" s="334"/>
      <c r="D194" s="334"/>
      <c r="E194" s="323"/>
      <c r="F194" s="326"/>
      <c r="G194" s="326"/>
      <c r="H194" s="387"/>
      <c r="I194" s="387"/>
      <c r="J194" s="322"/>
      <c r="K194" s="327"/>
      <c r="L194" s="334"/>
      <c r="M194" s="334"/>
      <c r="N194" s="323"/>
      <c r="O194" s="326"/>
      <c r="P194" s="404"/>
    </row>
    <row r="195" ht="12.75" customHeight="1">
      <c r="A195" s="322"/>
      <c r="B195" s="327" t="s">
        <v>950</v>
      </c>
      <c r="C195" s="333" t="str">
        <f>C189-C191</f>
        <v>#REF!</v>
      </c>
      <c r="D195" s="321"/>
      <c r="E195" s="323"/>
      <c r="F195" s="326"/>
      <c r="G195" s="326"/>
      <c r="H195" s="387"/>
      <c r="I195" s="387"/>
      <c r="J195" s="322"/>
      <c r="K195" s="327" t="s">
        <v>950</v>
      </c>
      <c r="L195" s="333" t="str">
        <f>L189-L191</f>
        <v>#REF!</v>
      </c>
      <c r="M195" s="321"/>
      <c r="N195" s="323"/>
      <c r="O195" s="326"/>
      <c r="P195" s="404"/>
    </row>
    <row r="196" ht="12.75" customHeight="1">
      <c r="A196" s="322"/>
      <c r="B196" s="322"/>
      <c r="C196" s="322"/>
      <c r="D196" s="322"/>
      <c r="E196" s="323"/>
      <c r="F196" s="324"/>
      <c r="G196" s="324"/>
      <c r="H196" s="387"/>
      <c r="I196" s="387"/>
      <c r="J196" s="322"/>
      <c r="K196" s="322"/>
      <c r="L196" s="322"/>
      <c r="M196" s="322"/>
      <c r="N196" s="323"/>
      <c r="O196" s="324"/>
      <c r="P196" s="387"/>
    </row>
    <row r="197" ht="12.75" customHeight="1">
      <c r="A197" s="322"/>
      <c r="B197" s="322"/>
      <c r="C197" s="322"/>
      <c r="D197" s="322"/>
      <c r="E197" s="337"/>
      <c r="F197" s="324"/>
      <c r="G197" s="324"/>
      <c r="H197" s="387"/>
      <c r="I197" s="387"/>
      <c r="J197" s="322"/>
      <c r="K197" s="322"/>
      <c r="L197" s="322"/>
      <c r="M197" s="322"/>
      <c r="N197" s="337"/>
      <c r="O197" s="324"/>
      <c r="P197" s="387"/>
    </row>
    <row r="198" ht="12.75" customHeight="1">
      <c r="A198" s="322"/>
      <c r="B198" s="338" t="s">
        <v>951</v>
      </c>
      <c r="C198" s="339"/>
      <c r="D198" s="339"/>
      <c r="E198" s="339"/>
      <c r="F198" s="324"/>
      <c r="G198" s="324"/>
      <c r="H198" s="387"/>
      <c r="I198" s="387"/>
      <c r="J198" s="322"/>
      <c r="K198" s="338" t="s">
        <v>951</v>
      </c>
      <c r="L198" s="339"/>
      <c r="M198" s="339"/>
      <c r="N198" s="339"/>
      <c r="O198" s="324"/>
      <c r="P198" s="387"/>
    </row>
    <row r="199" ht="12.75" customHeight="1">
      <c r="A199" s="322"/>
      <c r="B199" s="340" t="s">
        <v>953</v>
      </c>
      <c r="C199" s="341" t="s">
        <v>954</v>
      </c>
      <c r="D199" s="341" t="s">
        <v>955</v>
      </c>
      <c r="E199" s="341" t="s">
        <v>35</v>
      </c>
      <c r="F199" s="324"/>
      <c r="G199" s="324"/>
      <c r="H199" s="387"/>
      <c r="I199" s="387"/>
      <c r="J199" s="322"/>
      <c r="K199" s="340" t="s">
        <v>953</v>
      </c>
      <c r="L199" s="341" t="s">
        <v>954</v>
      </c>
      <c r="M199" s="341" t="s">
        <v>955</v>
      </c>
      <c r="N199" s="341" t="s">
        <v>35</v>
      </c>
      <c r="O199" s="324"/>
      <c r="P199" s="387"/>
    </row>
    <row r="200" ht="12.75" customHeight="1">
      <c r="A200" s="322"/>
      <c r="B200" s="60" t="s">
        <v>1044</v>
      </c>
      <c r="C200" s="342">
        <v>0.12</v>
      </c>
      <c r="D200" s="343">
        <f>'F&amp;B'!$F$28/10</f>
        <v>58500</v>
      </c>
      <c r="E200" s="67">
        <f t="shared" ref="E200:E202" si="11">IF(OR(ISBLANK(C200),ISBLANK(D200)),"",D200*C200)</f>
        <v>7020</v>
      </c>
      <c r="F200" s="324"/>
      <c r="G200" s="324"/>
      <c r="H200" s="387"/>
      <c r="I200" s="387"/>
      <c r="J200" s="322"/>
      <c r="K200" s="139" t="s">
        <v>1026</v>
      </c>
      <c r="L200" s="342">
        <f>17.5*6/1000</f>
        <v>0.105</v>
      </c>
      <c r="M200" s="343">
        <f>'F&amp;B'!$F$235</f>
        <v>47250</v>
      </c>
      <c r="N200" s="67">
        <f t="shared" ref="N200:N202" si="12">IF(OR(ISBLANK(L200),ISBLANK(M200)),"",M200*L200)</f>
        <v>4961.25</v>
      </c>
      <c r="O200" s="324"/>
      <c r="P200" s="387"/>
    </row>
    <row r="201" ht="12.75" customHeight="1">
      <c r="A201" s="322"/>
      <c r="B201" s="75" t="s">
        <v>1046</v>
      </c>
      <c r="C201" s="370">
        <v>0.05</v>
      </c>
      <c r="D201" s="371">
        <f>'F&amp;B'!F191</f>
        <v>56700</v>
      </c>
      <c r="E201" s="67">
        <f t="shared" si="11"/>
        <v>2835</v>
      </c>
      <c r="F201" s="324"/>
      <c r="G201" s="324"/>
      <c r="H201" s="387"/>
      <c r="I201" s="387"/>
      <c r="J201" s="322"/>
      <c r="K201" s="75" t="s">
        <v>33</v>
      </c>
      <c r="L201" s="405">
        <v>0.1</v>
      </c>
      <c r="M201" s="371">
        <f>M19</f>
        <v>19665</v>
      </c>
      <c r="N201" s="67">
        <f t="shared" si="12"/>
        <v>1966.5</v>
      </c>
      <c r="O201" s="324"/>
      <c r="P201" s="387"/>
    </row>
    <row r="202" ht="12.75" customHeight="1">
      <c r="A202" s="322"/>
      <c r="B202" s="87" t="s">
        <v>850</v>
      </c>
      <c r="C202" s="412">
        <v>0.1</v>
      </c>
      <c r="D202" s="408" t="str">
        <f>M155</f>
        <v/>
      </c>
      <c r="E202" s="89" t="str">
        <f t="shared" si="11"/>
        <v/>
      </c>
      <c r="F202" s="324"/>
      <c r="G202" s="324"/>
      <c r="H202" s="387"/>
      <c r="I202" s="387"/>
      <c r="J202" s="322"/>
      <c r="K202" s="87"/>
      <c r="L202" s="412"/>
      <c r="M202" s="408"/>
      <c r="N202" s="67" t="str">
        <f t="shared" si="12"/>
        <v/>
      </c>
      <c r="O202" s="324"/>
      <c r="P202" s="387"/>
    </row>
    <row r="203" ht="12.75" customHeight="1">
      <c r="A203" s="322"/>
      <c r="B203" s="338" t="s">
        <v>84</v>
      </c>
      <c r="C203" s="358"/>
      <c r="D203" s="358"/>
      <c r="E203" s="359">
        <f>IF(SUM(E200:E202)=0,"",SUM(E200:E202))</f>
        <v>9855</v>
      </c>
      <c r="F203" s="324"/>
      <c r="G203" s="324"/>
      <c r="H203" s="387"/>
      <c r="I203" s="387"/>
      <c r="J203" s="322"/>
      <c r="K203" s="338" t="s">
        <v>84</v>
      </c>
      <c r="L203" s="358"/>
      <c r="M203" s="358"/>
      <c r="N203" s="359">
        <f>IF(SUM(N200:N202)=0,"",SUM(N200:N202))</f>
        <v>6927.75</v>
      </c>
      <c r="O203" s="324"/>
      <c r="P203" s="387"/>
    </row>
    <row r="204" ht="12.75" customHeight="1">
      <c r="A204" s="322"/>
      <c r="B204" s="360"/>
      <c r="C204" s="360"/>
      <c r="D204" s="360"/>
      <c r="E204" s="361"/>
      <c r="F204" s="324"/>
      <c r="G204" s="324"/>
      <c r="H204" s="387"/>
      <c r="I204" s="387"/>
      <c r="J204" s="322"/>
      <c r="K204" s="360"/>
      <c r="L204" s="360"/>
      <c r="M204" s="360"/>
      <c r="N204" s="361"/>
      <c r="O204" s="324"/>
      <c r="P204" s="387"/>
    </row>
    <row r="205" ht="12.75" customHeight="1">
      <c r="A205" s="322"/>
      <c r="B205" s="362" t="s">
        <v>972</v>
      </c>
      <c r="C205" s="363"/>
      <c r="D205" s="363"/>
      <c r="E205" s="363"/>
      <c r="F205" s="324"/>
      <c r="G205" s="324"/>
      <c r="H205" s="387"/>
      <c r="I205" s="387"/>
      <c r="J205" s="322"/>
      <c r="K205" s="362" t="s">
        <v>972</v>
      </c>
      <c r="L205" s="363"/>
      <c r="M205" s="363"/>
      <c r="N205" s="363"/>
      <c r="O205" s="324"/>
      <c r="P205" s="387"/>
    </row>
    <row r="206" ht="12.75" customHeight="1">
      <c r="A206" s="322"/>
      <c r="B206" s="365" t="s">
        <v>953</v>
      </c>
      <c r="C206" s="366" t="s">
        <v>3</v>
      </c>
      <c r="D206" s="366" t="s">
        <v>975</v>
      </c>
      <c r="E206" s="367" t="s">
        <v>35</v>
      </c>
      <c r="F206" s="324"/>
      <c r="G206" s="324"/>
      <c r="H206" s="387"/>
      <c r="I206" s="387"/>
      <c r="J206" s="322"/>
      <c r="K206" s="365" t="s">
        <v>953</v>
      </c>
      <c r="L206" s="366" t="s">
        <v>3</v>
      </c>
      <c r="M206" s="366" t="s">
        <v>975</v>
      </c>
      <c r="N206" s="367" t="s">
        <v>35</v>
      </c>
      <c r="O206" s="324"/>
      <c r="P206" s="387"/>
    </row>
    <row r="207" ht="12.75" customHeight="1">
      <c r="A207" s="322"/>
      <c r="B207" s="368"/>
      <c r="C207" s="366"/>
      <c r="D207" s="366"/>
      <c r="E207" s="368"/>
      <c r="F207" s="324"/>
      <c r="G207" s="324"/>
      <c r="H207" s="387"/>
      <c r="I207" s="387"/>
      <c r="J207" s="322"/>
      <c r="K207" s="368"/>
      <c r="L207" s="366"/>
      <c r="M207" s="366"/>
      <c r="N207" s="368"/>
      <c r="O207" s="324"/>
      <c r="P207" s="387"/>
    </row>
    <row r="208" ht="12.75" customHeight="1">
      <c r="A208" s="322"/>
      <c r="B208" s="60" t="s">
        <v>1047</v>
      </c>
      <c r="C208" s="342">
        <v>0.025</v>
      </c>
      <c r="D208" s="343">
        <f>SAUCES!$D$89</f>
        <v>0</v>
      </c>
      <c r="E208" s="67">
        <f t="shared" ref="E208:E217" si="13">D208*C208</f>
        <v>0</v>
      </c>
      <c r="F208" s="324"/>
      <c r="G208" s="324"/>
      <c r="H208" s="387"/>
      <c r="I208" s="387"/>
      <c r="J208" s="322"/>
      <c r="K208" s="60"/>
      <c r="L208" s="342"/>
      <c r="M208" s="343"/>
      <c r="N208" s="67">
        <v>0.0</v>
      </c>
      <c r="O208" s="324"/>
      <c r="P208" s="387"/>
    </row>
    <row r="209" ht="12.75" customHeight="1">
      <c r="A209" s="322"/>
      <c r="B209" s="75" t="s">
        <v>1049</v>
      </c>
      <c r="C209" s="370">
        <v>0.05</v>
      </c>
      <c r="D209" s="371">
        <f>SAUCES!$L$89</f>
        <v>0</v>
      </c>
      <c r="E209" s="67">
        <f t="shared" si="13"/>
        <v>0</v>
      </c>
      <c r="F209" s="324"/>
      <c r="G209" s="324"/>
      <c r="H209" s="387"/>
      <c r="I209" s="387"/>
      <c r="J209" s="322"/>
      <c r="K209" s="75"/>
      <c r="L209" s="370"/>
      <c r="M209" s="371"/>
      <c r="N209" s="67">
        <f t="shared" ref="N209:N217" si="14">M209*L209</f>
        <v>0</v>
      </c>
      <c r="O209" s="324"/>
      <c r="P209" s="387"/>
    </row>
    <row r="210" ht="12.75" customHeight="1">
      <c r="A210" s="322"/>
      <c r="B210" s="75"/>
      <c r="C210" s="372"/>
      <c r="D210" s="371"/>
      <c r="E210" s="67">
        <f t="shared" si="13"/>
        <v>0</v>
      </c>
      <c r="F210" s="324"/>
      <c r="G210" s="324"/>
      <c r="H210" s="387"/>
      <c r="I210" s="387"/>
      <c r="J210" s="322"/>
      <c r="K210" s="75"/>
      <c r="L210" s="372"/>
      <c r="M210" s="371"/>
      <c r="N210" s="67">
        <f t="shared" si="14"/>
        <v>0</v>
      </c>
      <c r="O210" s="324"/>
      <c r="P210" s="387"/>
    </row>
    <row r="211" ht="12.75" customHeight="1">
      <c r="A211" s="322"/>
      <c r="B211" s="75"/>
      <c r="C211" s="346"/>
      <c r="D211" s="371"/>
      <c r="E211" s="67">
        <f t="shared" si="13"/>
        <v>0</v>
      </c>
      <c r="F211" s="324"/>
      <c r="G211" s="324"/>
      <c r="H211" s="387"/>
      <c r="I211" s="387"/>
      <c r="J211" s="322"/>
      <c r="K211" s="75"/>
      <c r="L211" s="346"/>
      <c r="M211" s="371"/>
      <c r="N211" s="67">
        <f t="shared" si="14"/>
        <v>0</v>
      </c>
      <c r="O211" s="324"/>
      <c r="P211" s="387"/>
    </row>
    <row r="212" ht="12.75" customHeight="1">
      <c r="A212" s="322"/>
      <c r="B212" s="75"/>
      <c r="C212" s="346"/>
      <c r="D212" s="371"/>
      <c r="E212" s="67">
        <f t="shared" si="13"/>
        <v>0</v>
      </c>
      <c r="F212" s="324"/>
      <c r="G212" s="324"/>
      <c r="H212" s="387"/>
      <c r="I212" s="387"/>
      <c r="J212" s="322"/>
      <c r="K212" s="75"/>
      <c r="L212" s="346"/>
      <c r="M212" s="371"/>
      <c r="N212" s="67">
        <f t="shared" si="14"/>
        <v>0</v>
      </c>
      <c r="O212" s="324"/>
      <c r="P212" s="387"/>
    </row>
    <row r="213" ht="12.75" customHeight="1">
      <c r="A213" s="322"/>
      <c r="B213" s="75"/>
      <c r="C213" s="346"/>
      <c r="D213" s="373"/>
      <c r="E213" s="67">
        <f t="shared" si="13"/>
        <v>0</v>
      </c>
      <c r="F213" s="324"/>
      <c r="G213" s="324"/>
      <c r="H213" s="387"/>
      <c r="I213" s="387"/>
      <c r="J213" s="322"/>
      <c r="K213" s="75"/>
      <c r="L213" s="346"/>
      <c r="M213" s="373"/>
      <c r="N213" s="67">
        <f t="shared" si="14"/>
        <v>0</v>
      </c>
      <c r="O213" s="324"/>
      <c r="P213" s="387"/>
    </row>
    <row r="214" ht="12.75" customHeight="1">
      <c r="A214" s="322"/>
      <c r="B214" s="348"/>
      <c r="C214" s="346"/>
      <c r="D214" s="373"/>
      <c r="E214" s="67">
        <f t="shared" si="13"/>
        <v>0</v>
      </c>
      <c r="F214" s="324"/>
      <c r="G214" s="324"/>
      <c r="H214" s="387"/>
      <c r="I214" s="387"/>
      <c r="J214" s="322"/>
      <c r="K214" s="348"/>
      <c r="L214" s="346"/>
      <c r="M214" s="373"/>
      <c r="N214" s="67">
        <f t="shared" si="14"/>
        <v>0</v>
      </c>
      <c r="O214" s="324"/>
      <c r="P214" s="387"/>
    </row>
    <row r="215" ht="12.75" customHeight="1">
      <c r="A215" s="322"/>
      <c r="B215" s="348"/>
      <c r="C215" s="346"/>
      <c r="D215" s="373"/>
      <c r="E215" s="67">
        <f t="shared" si="13"/>
        <v>0</v>
      </c>
      <c r="F215" s="324"/>
      <c r="G215" s="324"/>
      <c r="H215" s="387"/>
      <c r="I215" s="387"/>
      <c r="J215" s="322"/>
      <c r="K215" s="348"/>
      <c r="L215" s="346"/>
      <c r="M215" s="373"/>
      <c r="N215" s="67">
        <f t="shared" si="14"/>
        <v>0</v>
      </c>
      <c r="O215" s="324"/>
      <c r="P215" s="387"/>
    </row>
    <row r="216" ht="12.75" customHeight="1">
      <c r="A216" s="322"/>
      <c r="B216" s="348"/>
      <c r="C216" s="346"/>
      <c r="D216" s="373"/>
      <c r="E216" s="67">
        <f t="shared" si="13"/>
        <v>0</v>
      </c>
      <c r="F216" s="324"/>
      <c r="G216" s="324"/>
      <c r="H216" s="387"/>
      <c r="I216" s="387"/>
      <c r="J216" s="322"/>
      <c r="K216" s="348"/>
      <c r="L216" s="346"/>
      <c r="M216" s="373"/>
      <c r="N216" s="67">
        <f t="shared" si="14"/>
        <v>0</v>
      </c>
      <c r="O216" s="324"/>
      <c r="P216" s="387"/>
    </row>
    <row r="217" ht="12.75" customHeight="1">
      <c r="A217" s="322"/>
      <c r="B217" s="354"/>
      <c r="C217" s="355"/>
      <c r="D217" s="356"/>
      <c r="E217" s="67">
        <f t="shared" si="13"/>
        <v>0</v>
      </c>
      <c r="F217" s="324"/>
      <c r="G217" s="324"/>
      <c r="H217" s="387"/>
      <c r="I217" s="387"/>
      <c r="J217" s="322"/>
      <c r="K217" s="354"/>
      <c r="L217" s="355"/>
      <c r="M217" s="356"/>
      <c r="N217" s="67">
        <f t="shared" si="14"/>
        <v>0</v>
      </c>
      <c r="O217" s="324"/>
      <c r="P217" s="387"/>
    </row>
    <row r="218" ht="12.75" customHeight="1">
      <c r="A218" s="322"/>
      <c r="B218" s="362" t="s">
        <v>84</v>
      </c>
      <c r="C218" s="374"/>
      <c r="D218" s="374"/>
      <c r="E218" s="375" t="str">
        <f>IF(SUM(E208:E217)=0,"",SUM(E208:E217))</f>
        <v/>
      </c>
      <c r="F218" s="324"/>
      <c r="G218" s="324"/>
      <c r="H218" s="387"/>
      <c r="I218" s="387"/>
      <c r="J218" s="322"/>
      <c r="K218" s="362" t="s">
        <v>84</v>
      </c>
      <c r="L218" s="374"/>
      <c r="M218" s="374"/>
      <c r="N218" s="375" t="str">
        <f>IF(SUM(N208:N217)=0,"",SUM(N208:N217))</f>
        <v/>
      </c>
      <c r="O218" s="324"/>
      <c r="P218" s="387"/>
    </row>
    <row r="219" ht="12.75" customHeight="1">
      <c r="A219" s="322"/>
      <c r="B219" s="360"/>
      <c r="C219" s="360"/>
      <c r="D219" s="360"/>
      <c r="E219" s="361"/>
      <c r="F219" s="324"/>
      <c r="G219" s="324"/>
      <c r="H219" s="387"/>
      <c r="I219" s="387"/>
      <c r="J219" s="322"/>
      <c r="K219" s="360"/>
      <c r="L219" s="360"/>
      <c r="M219" s="360"/>
      <c r="N219" s="361"/>
      <c r="O219" s="324"/>
      <c r="P219" s="387"/>
    </row>
    <row r="220" ht="12.75" customHeight="1">
      <c r="A220" s="322"/>
      <c r="B220" s="34" t="s">
        <v>17</v>
      </c>
      <c r="C220" s="35"/>
      <c r="D220" s="35"/>
      <c r="E220" s="35"/>
      <c r="F220" s="324"/>
      <c r="G220" s="324"/>
      <c r="H220" s="387"/>
      <c r="I220" s="387"/>
      <c r="J220" s="322"/>
      <c r="K220" s="34" t="s">
        <v>17</v>
      </c>
      <c r="L220" s="35"/>
      <c r="M220" s="35"/>
      <c r="N220" s="35"/>
      <c r="O220" s="324"/>
      <c r="P220" s="387"/>
    </row>
    <row r="221" ht="12.75" customHeight="1">
      <c r="A221" s="322"/>
      <c r="B221" s="52" t="s">
        <v>42</v>
      </c>
      <c r="C221" s="54"/>
      <c r="D221" s="54"/>
      <c r="E221" s="56" t="s">
        <v>35</v>
      </c>
      <c r="F221" s="324"/>
      <c r="G221" s="324"/>
      <c r="H221" s="387"/>
      <c r="I221" s="387"/>
      <c r="J221" s="322"/>
      <c r="K221" s="52" t="s">
        <v>42</v>
      </c>
      <c r="L221" s="54"/>
      <c r="M221" s="54"/>
      <c r="N221" s="56" t="s">
        <v>35</v>
      </c>
      <c r="O221" s="324"/>
      <c r="P221" s="387"/>
    </row>
    <row r="222" ht="12.75" customHeight="1">
      <c r="A222" s="322"/>
      <c r="B222" s="60" t="s">
        <v>40</v>
      </c>
      <c r="C222" s="343">
        <f>'UTL COST'!$B$3</f>
        <v>369000</v>
      </c>
      <c r="D222" s="379">
        <f>'UTL COST'!$C$3</f>
        <v>0.0075</v>
      </c>
      <c r="E222" s="67">
        <f>'UTL COST'!$D$3/5</f>
        <v>553.5</v>
      </c>
      <c r="F222" s="324"/>
      <c r="G222" s="324"/>
      <c r="H222" s="387"/>
      <c r="I222" s="387"/>
      <c r="J222" s="322"/>
      <c r="K222" s="60" t="s">
        <v>40</v>
      </c>
      <c r="L222" s="343">
        <f>'UTL COST'!$B$3</f>
        <v>369000</v>
      </c>
      <c r="M222" s="379">
        <f>'UTL COST'!$C$3</f>
        <v>0.0075</v>
      </c>
      <c r="N222" s="67">
        <f>'UTL COST'!$D$3</f>
        <v>2767.5</v>
      </c>
      <c r="O222" s="324"/>
      <c r="P222" s="387"/>
    </row>
    <row r="223" ht="12.75" customHeight="1">
      <c r="A223" s="322"/>
      <c r="B223" s="75" t="s">
        <v>51</v>
      </c>
      <c r="C223" s="371" t="str">
        <f>'UTL COST'!$B$4</f>
        <v>#REF!</v>
      </c>
      <c r="D223" s="382">
        <f>'UTL COST'!$C$4</f>
        <v>7000</v>
      </c>
      <c r="E223" s="67">
        <f>'UTL COST'!$D$3/5</f>
        <v>553.5</v>
      </c>
      <c r="F223" s="324"/>
      <c r="G223" s="324"/>
      <c r="H223" s="387"/>
      <c r="I223" s="387"/>
      <c r="J223" s="322"/>
      <c r="K223" s="75" t="s">
        <v>51</v>
      </c>
      <c r="L223" s="371" t="str">
        <f>'UTL COST'!$B$4</f>
        <v>#REF!</v>
      </c>
      <c r="M223" s="382">
        <f>'UTL COST'!$C$4</f>
        <v>7000</v>
      </c>
      <c r="N223" s="67">
        <f>'UTL COST'!$D$3</f>
        <v>2767.5</v>
      </c>
      <c r="O223" s="324"/>
      <c r="P223" s="387"/>
    </row>
    <row r="224" ht="12.75" customHeight="1">
      <c r="A224" s="322"/>
      <c r="B224" s="75" t="s">
        <v>59</v>
      </c>
      <c r="C224" s="371" t="str">
        <f>'UTL COST'!$B$5</f>
        <v>#REF!</v>
      </c>
      <c r="D224" s="382">
        <f>'UTL COST'!$C$5</f>
        <v>45000</v>
      </c>
      <c r="E224" s="76" t="str">
        <f>'UTL COST'!$D$5</f>
        <v>#REF!</v>
      </c>
      <c r="F224" s="324"/>
      <c r="G224" s="324"/>
      <c r="H224" s="387"/>
      <c r="I224" s="387"/>
      <c r="J224" s="322"/>
      <c r="K224" s="75" t="s">
        <v>59</v>
      </c>
      <c r="L224" s="371" t="str">
        <f>'UTL COST'!$B$5</f>
        <v>#REF!</v>
      </c>
      <c r="M224" s="382">
        <f>'UTL COST'!$C$5</f>
        <v>45000</v>
      </c>
      <c r="N224" s="76" t="str">
        <f>'UTL COST'!$D$5</f>
        <v>#REF!</v>
      </c>
      <c r="O224" s="324"/>
      <c r="P224" s="387"/>
    </row>
    <row r="225" ht="12.75" customHeight="1">
      <c r="A225" s="322"/>
      <c r="B225" s="87" t="s">
        <v>78</v>
      </c>
      <c r="C225" s="371" t="str">
        <f>'UTL COST'!$B$6</f>
        <v>#REF!</v>
      </c>
      <c r="D225" s="383">
        <f>'UTL COST'!$C$6</f>
        <v>525</v>
      </c>
      <c r="E225" s="89">
        <v>0.1</v>
      </c>
      <c r="F225" s="324"/>
      <c r="G225" s="324"/>
      <c r="H225" s="387"/>
      <c r="I225" s="387"/>
      <c r="J225" s="322"/>
      <c r="K225" s="87" t="s">
        <v>78</v>
      </c>
      <c r="L225" s="371" t="str">
        <f>'UTL COST'!$B$6</f>
        <v>#REF!</v>
      </c>
      <c r="M225" s="383">
        <f>'UTL COST'!$C$6</f>
        <v>525</v>
      </c>
      <c r="N225" s="89">
        <v>0.1</v>
      </c>
      <c r="O225" s="324"/>
      <c r="P225" s="387"/>
    </row>
    <row r="226" ht="12.75" customHeight="1">
      <c r="A226" s="322"/>
      <c r="B226" s="34" t="s">
        <v>84</v>
      </c>
      <c r="C226" s="102"/>
      <c r="D226" s="102"/>
      <c r="E226" s="104" t="str">
        <f>IF(SUM(E222:E225)=0,"",SUM(E222:E225))</f>
        <v>#REF!</v>
      </c>
      <c r="F226" s="324"/>
      <c r="G226" s="324"/>
      <c r="H226" s="387"/>
      <c r="I226" s="387"/>
      <c r="J226" s="322"/>
      <c r="K226" s="34" t="s">
        <v>84</v>
      </c>
      <c r="L226" s="102"/>
      <c r="M226" s="102"/>
      <c r="N226" s="104" t="str">
        <f>IF(SUM(N222:N225)=0,"",SUM(N222:N225))</f>
        <v>#REF!</v>
      </c>
      <c r="O226" s="324"/>
      <c r="P226" s="387"/>
    </row>
    <row r="227" ht="12.75" customHeight="1">
      <c r="A227" s="322"/>
      <c r="B227" s="360"/>
      <c r="C227" s="360"/>
      <c r="D227" s="360"/>
      <c r="E227" s="361"/>
      <c r="F227" s="324"/>
      <c r="G227" s="324"/>
      <c r="H227" s="387"/>
      <c r="I227" s="387"/>
      <c r="J227" s="322"/>
      <c r="K227" s="360"/>
      <c r="L227" s="360"/>
      <c r="M227" s="360"/>
      <c r="N227" s="361"/>
      <c r="O227" s="324"/>
      <c r="P227" s="387"/>
    </row>
    <row r="228" ht="12.75" customHeight="1">
      <c r="A228" s="387"/>
      <c r="B228" s="387"/>
      <c r="C228" s="387"/>
      <c r="D228" s="387"/>
      <c r="E228" s="418"/>
      <c r="F228" s="387"/>
      <c r="G228" s="387"/>
      <c r="H228" s="387"/>
      <c r="I228" s="387"/>
      <c r="J228" s="387"/>
      <c r="K228" s="387"/>
      <c r="L228" s="387"/>
      <c r="M228" s="387"/>
      <c r="N228" s="387"/>
      <c r="O228" s="387"/>
      <c r="P228" s="387"/>
    </row>
    <row r="229" ht="12.75" customHeight="1">
      <c r="A229" s="387"/>
      <c r="B229" s="387"/>
      <c r="C229" s="387"/>
      <c r="D229" s="387"/>
      <c r="E229" s="418"/>
      <c r="F229" s="387"/>
      <c r="G229" s="387"/>
      <c r="H229" s="387"/>
      <c r="I229" s="387"/>
      <c r="J229" s="387"/>
      <c r="K229" s="387"/>
      <c r="L229" s="387"/>
      <c r="M229" s="387"/>
      <c r="N229" s="387"/>
      <c r="O229" s="387"/>
      <c r="P229" s="387"/>
    </row>
    <row r="230" ht="12.75" customHeight="1">
      <c r="A230" s="387"/>
      <c r="B230" s="387"/>
      <c r="C230" s="387"/>
      <c r="D230" s="387"/>
      <c r="E230" s="418"/>
      <c r="F230" s="387"/>
      <c r="G230" s="387"/>
      <c r="H230" s="387"/>
      <c r="I230" s="387"/>
      <c r="J230" s="387"/>
      <c r="K230" s="387"/>
      <c r="L230" s="387"/>
      <c r="M230" s="387"/>
      <c r="N230" s="387"/>
      <c r="O230" s="387"/>
      <c r="P230" s="387"/>
    </row>
    <row r="231" ht="12.75" customHeight="1">
      <c r="A231" s="322"/>
      <c r="B231" s="322"/>
      <c r="C231" s="322"/>
      <c r="D231" s="322"/>
      <c r="E231" s="323"/>
      <c r="F231" s="324"/>
      <c r="G231" s="324"/>
      <c r="H231" s="387"/>
      <c r="I231" s="387"/>
      <c r="J231" s="322"/>
      <c r="K231" s="322"/>
      <c r="L231" s="322"/>
      <c r="M231" s="322"/>
      <c r="N231" s="323"/>
      <c r="O231" s="324"/>
      <c r="P231" s="387"/>
    </row>
    <row r="232" ht="12.75" customHeight="1">
      <c r="A232" s="322"/>
      <c r="B232" s="325"/>
      <c r="C232" s="322"/>
      <c r="D232" s="322"/>
      <c r="E232" s="323"/>
      <c r="F232" s="326"/>
      <c r="G232" s="326"/>
      <c r="H232" s="387"/>
      <c r="I232" s="387"/>
      <c r="J232" s="322"/>
      <c r="K232" s="325"/>
      <c r="L232" s="322"/>
      <c r="M232" s="322"/>
      <c r="N232" s="323"/>
      <c r="O232" s="326"/>
      <c r="P232" s="404"/>
    </row>
    <row r="233" ht="12.75" customHeight="1">
      <c r="A233" s="322"/>
      <c r="B233" s="327" t="s">
        <v>931</v>
      </c>
      <c r="C233" s="328" t="s">
        <v>1076</v>
      </c>
      <c r="D233" s="329"/>
      <c r="E233" s="323"/>
      <c r="F233" s="326"/>
      <c r="G233" s="326"/>
      <c r="H233" s="387"/>
      <c r="I233" s="387"/>
      <c r="J233" s="322"/>
      <c r="K233" s="327" t="s">
        <v>931</v>
      </c>
      <c r="L233" s="330" t="s">
        <v>1077</v>
      </c>
      <c r="M233" s="329"/>
      <c r="N233" s="323"/>
      <c r="O233" s="326"/>
      <c r="P233" s="404"/>
    </row>
    <row r="234" ht="12.75" customHeight="1">
      <c r="A234" s="322"/>
      <c r="B234" s="325"/>
      <c r="C234" s="322"/>
      <c r="D234" s="322"/>
      <c r="E234" s="323"/>
      <c r="F234" s="326"/>
      <c r="G234" s="326"/>
      <c r="H234" s="387"/>
      <c r="I234" s="387"/>
      <c r="J234" s="322"/>
      <c r="K234" s="325"/>
      <c r="L234" s="322"/>
      <c r="M234" s="322"/>
      <c r="N234" s="323"/>
      <c r="O234" s="326"/>
      <c r="P234" s="404"/>
    </row>
    <row r="235" ht="12.75" customHeight="1">
      <c r="A235" s="322"/>
      <c r="B235" s="327" t="s">
        <v>935</v>
      </c>
      <c r="C235" s="331">
        <v>70000.0</v>
      </c>
      <c r="D235" s="329"/>
      <c r="E235" s="323"/>
      <c r="F235" s="326"/>
      <c r="G235" s="326"/>
      <c r="H235" s="387"/>
      <c r="I235" s="387"/>
      <c r="J235" s="322"/>
      <c r="K235" s="327" t="s">
        <v>935</v>
      </c>
      <c r="L235" s="331">
        <v>360000.0</v>
      </c>
      <c r="M235" s="329"/>
      <c r="N235" s="323"/>
      <c r="O235" s="326"/>
      <c r="P235" s="404"/>
    </row>
    <row r="236" ht="12.75" customHeight="1">
      <c r="A236" s="322"/>
      <c r="B236" s="327"/>
      <c r="C236" s="332"/>
      <c r="D236" s="332"/>
      <c r="E236" s="323"/>
      <c r="F236" s="326"/>
      <c r="G236" s="326"/>
      <c r="H236" s="387"/>
      <c r="I236" s="387"/>
      <c r="J236" s="322"/>
      <c r="K236" s="327"/>
      <c r="L236" s="332"/>
      <c r="M236" s="332"/>
      <c r="N236" s="323"/>
      <c r="O236" s="326"/>
      <c r="P236" s="404"/>
    </row>
    <row r="237" ht="12.75" customHeight="1">
      <c r="A237" s="322"/>
      <c r="B237" s="327" t="s">
        <v>939</v>
      </c>
      <c r="C237" s="333" t="str">
        <f>IF(SUM(E249,E264,E272)=0,"",SUM(E249,E264,E272))</f>
        <v>#REF!</v>
      </c>
      <c r="D237" s="321"/>
      <c r="E237" s="323"/>
      <c r="F237" s="326"/>
      <c r="G237" s="326"/>
      <c r="H237" s="387"/>
      <c r="I237" s="387"/>
      <c r="J237" s="322"/>
      <c r="K237" s="327" t="s">
        <v>939</v>
      </c>
      <c r="L237" s="333" t="str">
        <f>IF(SUM(N249,N264,N272)=0,"",SUM(N249,N264,N272))</f>
        <v>#REF!</v>
      </c>
      <c r="M237" s="321"/>
      <c r="N237" s="323"/>
      <c r="O237" s="326"/>
      <c r="P237" s="404"/>
    </row>
    <row r="238" ht="12.75" customHeight="1">
      <c r="A238" s="322"/>
      <c r="B238" s="327"/>
      <c r="C238" s="334"/>
      <c r="D238" s="334"/>
      <c r="E238" s="323"/>
      <c r="F238" s="326"/>
      <c r="G238" s="326"/>
      <c r="H238" s="387"/>
      <c r="I238" s="387"/>
      <c r="J238" s="322"/>
      <c r="K238" s="327"/>
      <c r="L238" s="334"/>
      <c r="M238" s="334"/>
      <c r="N238" s="323"/>
      <c r="O238" s="326"/>
      <c r="P238" s="404"/>
    </row>
    <row r="239" ht="12.75" customHeight="1">
      <c r="A239" s="322"/>
      <c r="B239" s="327" t="s">
        <v>946</v>
      </c>
      <c r="C239" s="335" t="str">
        <f>IF(C237="","",IF(ISBLANK(C235),"",C237/C235))</f>
        <v>#REF!</v>
      </c>
      <c r="D239" s="321"/>
      <c r="E239" s="323"/>
      <c r="F239" s="326"/>
      <c r="G239" s="326"/>
      <c r="H239" s="387"/>
      <c r="I239" s="387"/>
      <c r="J239" s="322"/>
      <c r="K239" s="327" t="s">
        <v>946</v>
      </c>
      <c r="L239" s="335" t="str">
        <f>IF(L237="","",IF(ISBLANK(L235),"",L237/L235))</f>
        <v>#REF!</v>
      </c>
      <c r="M239" s="321"/>
      <c r="N239" s="323"/>
      <c r="O239" s="326"/>
      <c r="P239" s="404"/>
    </row>
    <row r="240" ht="12.75" customHeight="1">
      <c r="A240" s="322"/>
      <c r="B240" s="327"/>
      <c r="C240" s="334"/>
      <c r="D240" s="334"/>
      <c r="E240" s="323"/>
      <c r="F240" s="326"/>
      <c r="G240" s="326"/>
      <c r="H240" s="387"/>
      <c r="I240" s="387"/>
      <c r="J240" s="322"/>
      <c r="K240" s="327"/>
      <c r="L240" s="334"/>
      <c r="M240" s="334"/>
      <c r="N240" s="323"/>
      <c r="O240" s="326"/>
      <c r="P240" s="404"/>
    </row>
    <row r="241" ht="12.75" customHeight="1">
      <c r="A241" s="322"/>
      <c r="B241" s="327" t="s">
        <v>950</v>
      </c>
      <c r="C241" s="333" t="str">
        <f>C235-C237</f>
        <v>#REF!</v>
      </c>
      <c r="D241" s="321"/>
      <c r="E241" s="323"/>
      <c r="F241" s="326"/>
      <c r="G241" s="326"/>
      <c r="H241" s="387"/>
      <c r="I241" s="387"/>
      <c r="J241" s="322"/>
      <c r="K241" s="327" t="s">
        <v>950</v>
      </c>
      <c r="L241" s="333" t="str">
        <f>L235-L237</f>
        <v>#REF!</v>
      </c>
      <c r="M241" s="321"/>
      <c r="N241" s="323"/>
      <c r="O241" s="326"/>
      <c r="P241" s="404"/>
    </row>
    <row r="242" ht="12.75" customHeight="1">
      <c r="A242" s="322"/>
      <c r="B242" s="322"/>
      <c r="C242" s="322"/>
      <c r="D242" s="322"/>
      <c r="E242" s="323"/>
      <c r="F242" s="324"/>
      <c r="G242" s="324"/>
      <c r="H242" s="387"/>
      <c r="I242" s="387"/>
      <c r="J242" s="322"/>
      <c r="K242" s="322"/>
      <c r="L242" s="322"/>
      <c r="M242" s="322"/>
      <c r="N242" s="323"/>
      <c r="O242" s="324"/>
      <c r="P242" s="387"/>
    </row>
    <row r="243" ht="12.75" customHeight="1">
      <c r="A243" s="322"/>
      <c r="B243" s="322"/>
      <c r="C243" s="322"/>
      <c r="D243" s="322"/>
      <c r="E243" s="337"/>
      <c r="F243" s="324"/>
      <c r="G243" s="324"/>
      <c r="H243" s="387"/>
      <c r="I243" s="387"/>
      <c r="J243" s="322"/>
      <c r="K243" s="322"/>
      <c r="L243" s="322"/>
      <c r="M243" s="322"/>
      <c r="N243" s="337"/>
      <c r="O243" s="324"/>
      <c r="P243" s="387"/>
    </row>
    <row r="244" ht="12.75" customHeight="1">
      <c r="A244" s="322"/>
      <c r="B244" s="338" t="s">
        <v>951</v>
      </c>
      <c r="C244" s="339"/>
      <c r="D244" s="339"/>
      <c r="E244" s="339"/>
      <c r="F244" s="324"/>
      <c r="G244" s="324"/>
      <c r="H244" s="387"/>
      <c r="I244" s="387"/>
      <c r="J244" s="322"/>
      <c r="K244" s="338" t="s">
        <v>951</v>
      </c>
      <c r="L244" s="339"/>
      <c r="M244" s="339"/>
      <c r="N244" s="339"/>
      <c r="O244" s="324"/>
      <c r="P244" s="387"/>
    </row>
    <row r="245" ht="12.75" customHeight="1">
      <c r="A245" s="322"/>
      <c r="B245" s="340" t="s">
        <v>953</v>
      </c>
      <c r="C245" s="341" t="s">
        <v>954</v>
      </c>
      <c r="D245" s="341" t="s">
        <v>955</v>
      </c>
      <c r="E245" s="341" t="s">
        <v>35</v>
      </c>
      <c r="F245" s="324"/>
      <c r="G245" s="324"/>
      <c r="H245" s="387"/>
      <c r="I245" s="387"/>
      <c r="J245" s="322"/>
      <c r="K245" s="340" t="s">
        <v>953</v>
      </c>
      <c r="L245" s="341" t="s">
        <v>954</v>
      </c>
      <c r="M245" s="341" t="s">
        <v>955</v>
      </c>
      <c r="N245" s="341" t="s">
        <v>35</v>
      </c>
      <c r="O245" s="324"/>
      <c r="P245" s="387"/>
    </row>
    <row r="246" ht="12.75" customHeight="1">
      <c r="A246" s="322"/>
      <c r="B246" s="60" t="s">
        <v>703</v>
      </c>
      <c r="C246" s="342">
        <v>0.16</v>
      </c>
      <c r="D246" s="343">
        <f>'F&amp;B'!$F$228</f>
        <v>81000</v>
      </c>
      <c r="E246" s="67">
        <f t="shared" ref="E246:E248" si="15">IF(OR(ISBLANK(C246),ISBLANK(D246)),"",D246*C246)</f>
        <v>12960</v>
      </c>
      <c r="F246" s="324"/>
      <c r="G246" s="324"/>
      <c r="H246" s="387"/>
      <c r="I246" s="387"/>
      <c r="J246" s="322"/>
      <c r="K246" s="60" t="s">
        <v>1053</v>
      </c>
      <c r="L246" s="342">
        <v>3.0</v>
      </c>
      <c r="M246" s="343" t="str">
        <f>L144/3</f>
        <v>#REF!</v>
      </c>
      <c r="N246" s="67" t="str">
        <f t="shared" ref="N246:N248" si="16">IF(OR(ISBLANK(L246),ISBLANK(M246)),"",M246*L246)</f>
        <v>#REF!</v>
      </c>
      <c r="O246" s="324"/>
      <c r="P246" s="387"/>
    </row>
    <row r="247" ht="12.75" customHeight="1">
      <c r="A247" s="322"/>
      <c r="B247" s="75" t="s">
        <v>202</v>
      </c>
      <c r="C247" s="370">
        <v>2.0</v>
      </c>
      <c r="D247" s="371">
        <f>SAUCES!$D$48</f>
        <v>563.76</v>
      </c>
      <c r="E247" s="67">
        <f t="shared" si="15"/>
        <v>1127.52</v>
      </c>
      <c r="F247" s="324"/>
      <c r="G247" s="324"/>
      <c r="H247" s="387"/>
      <c r="I247" s="387"/>
      <c r="J247" s="322"/>
      <c r="K247" s="75" t="s">
        <v>120</v>
      </c>
      <c r="L247" s="370">
        <v>3.0</v>
      </c>
      <c r="M247" s="371" t="str">
        <f>C144/4</f>
        <v>#REF!</v>
      </c>
      <c r="N247" s="67" t="str">
        <f t="shared" si="16"/>
        <v>#REF!</v>
      </c>
      <c r="O247" s="324"/>
      <c r="P247" s="387"/>
    </row>
    <row r="248" ht="12.75" customHeight="1">
      <c r="A248" s="322"/>
      <c r="B248" s="87" t="s">
        <v>850</v>
      </c>
      <c r="C248" s="412">
        <f>60/1000</f>
        <v>0.06</v>
      </c>
      <c r="D248" s="408">
        <f>'F&amp;B'!$F$99/12</f>
        <v>63000</v>
      </c>
      <c r="E248" s="89">
        <f t="shared" si="15"/>
        <v>3780</v>
      </c>
      <c r="F248" s="324"/>
      <c r="G248" s="324"/>
      <c r="H248" s="387"/>
      <c r="I248" s="387"/>
      <c r="J248" s="322"/>
      <c r="K248" s="87" t="s">
        <v>1081</v>
      </c>
      <c r="L248" s="407">
        <v>0.4</v>
      </c>
      <c r="M248" s="408">
        <f>'F&amp;B'!$F$70/10</f>
        <v>49104</v>
      </c>
      <c r="N248" s="67">
        <f t="shared" si="16"/>
        <v>19641.6</v>
      </c>
      <c r="O248" s="324"/>
      <c r="P248" s="387"/>
    </row>
    <row r="249" ht="12.75" customHeight="1">
      <c r="A249" s="322"/>
      <c r="B249" s="338" t="s">
        <v>84</v>
      </c>
      <c r="C249" s="358"/>
      <c r="D249" s="358"/>
      <c r="E249" s="359">
        <f>IF(SUM(E246:E248)=0,"",SUM(E246:E248))</f>
        <v>17867.52</v>
      </c>
      <c r="F249" s="324"/>
      <c r="G249" s="324"/>
      <c r="H249" s="387"/>
      <c r="I249" s="387"/>
      <c r="J249" s="322"/>
      <c r="K249" s="338" t="s">
        <v>84</v>
      </c>
      <c r="L249" s="358"/>
      <c r="M249" s="358"/>
      <c r="N249" s="359" t="str">
        <f>IF(SUM(N246:N248)=0,"",SUM(N246:N248))</f>
        <v>#REF!</v>
      </c>
      <c r="O249" s="324"/>
      <c r="P249" s="387"/>
    </row>
    <row r="250" ht="12.75" customHeight="1">
      <c r="A250" s="322"/>
      <c r="B250" s="360"/>
      <c r="C250" s="360"/>
      <c r="D250" s="360"/>
      <c r="E250" s="361"/>
      <c r="F250" s="324"/>
      <c r="G250" s="324"/>
      <c r="H250" s="387"/>
      <c r="I250" s="387"/>
      <c r="J250" s="322"/>
      <c r="K250" s="360"/>
      <c r="L250" s="360"/>
      <c r="M250" s="360"/>
      <c r="N250" s="361"/>
      <c r="O250" s="324"/>
      <c r="P250" s="387"/>
    </row>
    <row r="251" ht="12.75" customHeight="1">
      <c r="A251" s="322"/>
      <c r="B251" s="362" t="s">
        <v>972</v>
      </c>
      <c r="C251" s="363"/>
      <c r="D251" s="363"/>
      <c r="E251" s="363"/>
      <c r="F251" s="324"/>
      <c r="G251" s="324"/>
      <c r="H251" s="387"/>
      <c r="I251" s="387"/>
      <c r="J251" s="322"/>
      <c r="K251" s="362" t="s">
        <v>972</v>
      </c>
      <c r="L251" s="363"/>
      <c r="M251" s="363"/>
      <c r="N251" s="363"/>
      <c r="O251" s="324"/>
      <c r="P251" s="387"/>
    </row>
    <row r="252" ht="12.75" customHeight="1">
      <c r="A252" s="322"/>
      <c r="B252" s="365" t="s">
        <v>953</v>
      </c>
      <c r="C252" s="366" t="s">
        <v>3</v>
      </c>
      <c r="D252" s="366" t="s">
        <v>975</v>
      </c>
      <c r="E252" s="367" t="s">
        <v>35</v>
      </c>
      <c r="F252" s="324"/>
      <c r="G252" s="324"/>
      <c r="H252" s="387"/>
      <c r="I252" s="387"/>
      <c r="J252" s="322"/>
      <c r="K252" s="365" t="s">
        <v>953</v>
      </c>
      <c r="L252" s="366" t="s">
        <v>3</v>
      </c>
      <c r="M252" s="366" t="s">
        <v>975</v>
      </c>
      <c r="N252" s="367" t="s">
        <v>35</v>
      </c>
      <c r="O252" s="324"/>
      <c r="P252" s="387"/>
    </row>
    <row r="253" ht="12.75" customHeight="1">
      <c r="A253" s="322"/>
      <c r="B253" s="368"/>
      <c r="C253" s="366"/>
      <c r="D253" s="366"/>
      <c r="E253" s="368"/>
      <c r="F253" s="324"/>
      <c r="G253" s="324"/>
      <c r="H253" s="387"/>
      <c r="I253" s="387"/>
      <c r="J253" s="322"/>
      <c r="K253" s="368"/>
      <c r="L253" s="366"/>
      <c r="M253" s="366"/>
      <c r="N253" s="368"/>
      <c r="O253" s="324"/>
      <c r="P253" s="387"/>
    </row>
    <row r="254" ht="12.75" customHeight="1">
      <c r="A254" s="322"/>
      <c r="B254" s="60" t="s">
        <v>840</v>
      </c>
      <c r="C254" s="342">
        <v>0.06</v>
      </c>
      <c r="D254" s="343"/>
      <c r="E254" s="67">
        <v>0.0</v>
      </c>
      <c r="F254" s="324"/>
      <c r="G254" s="324"/>
      <c r="H254" s="387"/>
      <c r="I254" s="387"/>
      <c r="J254" s="322"/>
      <c r="K254" s="60" t="s">
        <v>1084</v>
      </c>
      <c r="L254" s="342">
        <v>3.0</v>
      </c>
      <c r="M254" s="343">
        <f>'F&amp;B'!F267/8</f>
        <v>8043.75</v>
      </c>
      <c r="N254" s="67">
        <f t="shared" ref="N254:N257" si="17">M254*L254</f>
        <v>24131.25</v>
      </c>
      <c r="O254" s="324"/>
      <c r="P254" s="387"/>
    </row>
    <row r="255" ht="12.75" customHeight="1">
      <c r="A255" s="322"/>
      <c r="B255" s="75"/>
      <c r="C255" s="370"/>
      <c r="D255" s="371"/>
      <c r="E255" s="67">
        <f t="shared" ref="E255:E263" si="18">D255*C255</f>
        <v>0</v>
      </c>
      <c r="F255" s="324"/>
      <c r="G255" s="324"/>
      <c r="H255" s="387"/>
      <c r="I255" s="387"/>
      <c r="J255" s="322"/>
      <c r="K255" s="437" t="s">
        <v>1085</v>
      </c>
      <c r="L255" s="370">
        <v>0.02</v>
      </c>
      <c r="M255" s="371">
        <f>'F&amp;B'!$F$265</f>
        <v>76725</v>
      </c>
      <c r="N255" s="67">
        <f t="shared" si="17"/>
        <v>1534.5</v>
      </c>
      <c r="O255" s="324"/>
      <c r="P255" s="387"/>
    </row>
    <row r="256" ht="12.75" customHeight="1">
      <c r="A256" s="322"/>
      <c r="B256" s="75"/>
      <c r="C256" s="372"/>
      <c r="D256" s="371"/>
      <c r="E256" s="67">
        <f t="shared" si="18"/>
        <v>0</v>
      </c>
      <c r="F256" s="324"/>
      <c r="G256" s="324"/>
      <c r="H256" s="387"/>
      <c r="I256" s="387"/>
      <c r="J256" s="322"/>
      <c r="K256" s="75" t="s">
        <v>1041</v>
      </c>
      <c r="L256" s="346">
        <v>1.0</v>
      </c>
      <c r="M256" s="371">
        <f>SAUCES!$D$133</f>
        <v>2010.930109</v>
      </c>
      <c r="N256" s="67">
        <f t="shared" si="17"/>
        <v>2010.930109</v>
      </c>
      <c r="O256" s="324"/>
      <c r="P256" s="387"/>
    </row>
    <row r="257" ht="12.75" customHeight="1">
      <c r="A257" s="322"/>
      <c r="B257" s="75"/>
      <c r="C257" s="346"/>
      <c r="D257" s="371"/>
      <c r="E257" s="67">
        <f t="shared" si="18"/>
        <v>0</v>
      </c>
      <c r="F257" s="324"/>
      <c r="G257" s="324"/>
      <c r="H257" s="387"/>
      <c r="I257" s="387"/>
      <c r="J257" s="322"/>
      <c r="K257" s="75" t="s">
        <v>1087</v>
      </c>
      <c r="L257" s="346">
        <v>1.0</v>
      </c>
      <c r="M257" s="371">
        <f>SAUCES!$D$34</f>
        <v>1195.819259</v>
      </c>
      <c r="N257" s="67">
        <f t="shared" si="17"/>
        <v>1195.819259</v>
      </c>
      <c r="O257" s="324"/>
      <c r="P257" s="387"/>
    </row>
    <row r="258" ht="12.75" customHeight="1">
      <c r="A258" s="322"/>
      <c r="B258" s="75"/>
      <c r="C258" s="346"/>
      <c r="D258" s="371"/>
      <c r="E258" s="67">
        <f t="shared" si="18"/>
        <v>0</v>
      </c>
      <c r="F258" s="324"/>
      <c r="G258" s="324"/>
      <c r="H258" s="387"/>
      <c r="I258" s="387"/>
      <c r="J258" s="322"/>
      <c r="K258" s="75"/>
      <c r="L258" s="346"/>
      <c r="M258" s="371"/>
      <c r="N258" s="67"/>
      <c r="O258" s="324"/>
      <c r="P258" s="387"/>
    </row>
    <row r="259" ht="12.75" customHeight="1">
      <c r="A259" s="322"/>
      <c r="B259" s="75"/>
      <c r="C259" s="346"/>
      <c r="D259" s="373"/>
      <c r="E259" s="67">
        <f t="shared" si="18"/>
        <v>0</v>
      </c>
      <c r="F259" s="324"/>
      <c r="G259" s="324"/>
      <c r="H259" s="387"/>
      <c r="I259" s="387"/>
      <c r="J259" s="322"/>
      <c r="K259" s="75" t="s">
        <v>1048</v>
      </c>
      <c r="L259" s="346">
        <v>0.045</v>
      </c>
      <c r="M259" s="371">
        <f>'F&amp;B'!$F$246/3.79</f>
        <v>56160.94987</v>
      </c>
      <c r="N259" s="67">
        <f t="shared" ref="N259:N263" si="19">M259*L259</f>
        <v>2527.242744</v>
      </c>
      <c r="O259" s="324"/>
      <c r="P259" s="387"/>
    </row>
    <row r="260" ht="12.75" customHeight="1">
      <c r="A260" s="322"/>
      <c r="B260" s="348"/>
      <c r="C260" s="346"/>
      <c r="D260" s="373"/>
      <c r="E260" s="67">
        <f t="shared" si="18"/>
        <v>0</v>
      </c>
      <c r="F260" s="324"/>
      <c r="G260" s="324"/>
      <c r="H260" s="387"/>
      <c r="I260" s="387"/>
      <c r="J260" s="322"/>
      <c r="K260" s="348"/>
      <c r="L260" s="346"/>
      <c r="M260" s="373"/>
      <c r="N260" s="67">
        <f t="shared" si="19"/>
        <v>0</v>
      </c>
      <c r="O260" s="324"/>
      <c r="P260" s="387"/>
    </row>
    <row r="261" ht="12.75" customHeight="1">
      <c r="A261" s="322"/>
      <c r="B261" s="348"/>
      <c r="C261" s="346"/>
      <c r="D261" s="373"/>
      <c r="E261" s="67">
        <f t="shared" si="18"/>
        <v>0</v>
      </c>
      <c r="F261" s="324"/>
      <c r="G261" s="324"/>
      <c r="H261" s="387"/>
      <c r="I261" s="387"/>
      <c r="J261" s="322"/>
      <c r="K261" s="348"/>
      <c r="L261" s="346"/>
      <c r="M261" s="373"/>
      <c r="N261" s="67">
        <f t="shared" si="19"/>
        <v>0</v>
      </c>
      <c r="O261" s="324"/>
      <c r="P261" s="387"/>
    </row>
    <row r="262" ht="12.75" customHeight="1">
      <c r="A262" s="322"/>
      <c r="B262" s="348"/>
      <c r="C262" s="346"/>
      <c r="D262" s="373"/>
      <c r="E262" s="67">
        <f t="shared" si="18"/>
        <v>0</v>
      </c>
      <c r="F262" s="324"/>
      <c r="G262" s="324"/>
      <c r="H262" s="387"/>
      <c r="I262" s="387"/>
      <c r="J262" s="322"/>
      <c r="K262" s="348"/>
      <c r="L262" s="346"/>
      <c r="M262" s="373"/>
      <c r="N262" s="67">
        <f t="shared" si="19"/>
        <v>0</v>
      </c>
      <c r="O262" s="324"/>
      <c r="P262" s="387"/>
    </row>
    <row r="263" ht="12.75" customHeight="1">
      <c r="A263" s="322"/>
      <c r="B263" s="354"/>
      <c r="C263" s="355"/>
      <c r="D263" s="356"/>
      <c r="E263" s="67">
        <f t="shared" si="18"/>
        <v>0</v>
      </c>
      <c r="F263" s="324"/>
      <c r="G263" s="324"/>
      <c r="H263" s="387"/>
      <c r="I263" s="387"/>
      <c r="J263" s="322"/>
      <c r="K263" s="354"/>
      <c r="L263" s="355"/>
      <c r="M263" s="356"/>
      <c r="N263" s="67">
        <f t="shared" si="19"/>
        <v>0</v>
      </c>
      <c r="O263" s="324"/>
      <c r="P263" s="387"/>
    </row>
    <row r="264" ht="12.75" customHeight="1">
      <c r="A264" s="322"/>
      <c r="B264" s="362" t="s">
        <v>84</v>
      </c>
      <c r="C264" s="374"/>
      <c r="D264" s="374"/>
      <c r="E264" s="375" t="str">
        <f>IF(SUM(E254:E263)=0,"",SUM(E254:E263))</f>
        <v/>
      </c>
      <c r="F264" s="324"/>
      <c r="G264" s="324"/>
      <c r="H264" s="387"/>
      <c r="I264" s="387"/>
      <c r="J264" s="322"/>
      <c r="K264" s="362" t="s">
        <v>84</v>
      </c>
      <c r="L264" s="374"/>
      <c r="M264" s="374"/>
      <c r="N264" s="375">
        <f>IF(SUM(N254:N263)=0,"",SUM(N254:N263))</f>
        <v>31399.74211</v>
      </c>
      <c r="O264" s="324"/>
      <c r="P264" s="387"/>
    </row>
    <row r="265" ht="12.75" customHeight="1">
      <c r="A265" s="322"/>
      <c r="B265" s="360"/>
      <c r="C265" s="360"/>
      <c r="D265" s="360"/>
      <c r="E265" s="361"/>
      <c r="F265" s="324"/>
      <c r="G265" s="324"/>
      <c r="H265" s="387"/>
      <c r="I265" s="387"/>
      <c r="J265" s="322"/>
      <c r="K265" s="360"/>
      <c r="L265" s="360"/>
      <c r="M265" s="360"/>
      <c r="N265" s="361"/>
      <c r="O265" s="324"/>
      <c r="P265" s="387"/>
    </row>
    <row r="266" ht="12.75" customHeight="1">
      <c r="A266" s="322"/>
      <c r="B266" s="34" t="s">
        <v>17</v>
      </c>
      <c r="C266" s="35"/>
      <c r="D266" s="35"/>
      <c r="E266" s="35"/>
      <c r="F266" s="324"/>
      <c r="G266" s="324"/>
      <c r="H266" s="387"/>
      <c r="I266" s="387"/>
      <c r="J266" s="322"/>
      <c r="K266" s="34" t="s">
        <v>17</v>
      </c>
      <c r="L266" s="35"/>
      <c r="M266" s="35"/>
      <c r="N266" s="35"/>
      <c r="O266" s="324"/>
      <c r="P266" s="387"/>
    </row>
    <row r="267" ht="12.75" customHeight="1">
      <c r="A267" s="322"/>
      <c r="B267" s="52" t="s">
        <v>42</v>
      </c>
      <c r="C267" s="54"/>
      <c r="D267" s="54"/>
      <c r="E267" s="56" t="s">
        <v>35</v>
      </c>
      <c r="F267" s="324"/>
      <c r="G267" s="324"/>
      <c r="H267" s="387"/>
      <c r="I267" s="387"/>
      <c r="J267" s="322"/>
      <c r="K267" s="52" t="s">
        <v>42</v>
      </c>
      <c r="L267" s="54"/>
      <c r="M267" s="54"/>
      <c r="N267" s="56" t="s">
        <v>35</v>
      </c>
      <c r="O267" s="324"/>
      <c r="P267" s="387"/>
    </row>
    <row r="268" ht="12.75" customHeight="1">
      <c r="A268" s="322"/>
      <c r="B268" s="60" t="s">
        <v>40</v>
      </c>
      <c r="C268" s="343">
        <f>'UTL COST'!$B$3</f>
        <v>369000</v>
      </c>
      <c r="D268" s="379">
        <f>'UTL COST'!$C$3</f>
        <v>0.0075</v>
      </c>
      <c r="E268" s="67">
        <f>'UTL COST'!$D$3</f>
        <v>2767.5</v>
      </c>
      <c r="F268" s="324"/>
      <c r="G268" s="324"/>
      <c r="H268" s="387"/>
      <c r="I268" s="387"/>
      <c r="J268" s="322"/>
      <c r="K268" s="60" t="s">
        <v>40</v>
      </c>
      <c r="L268" s="343">
        <f>'UTL COST'!$B$3</f>
        <v>369000</v>
      </c>
      <c r="M268" s="379">
        <f>'UTL COST'!$C$3</f>
        <v>0.0075</v>
      </c>
      <c r="N268" s="67">
        <f t="shared" ref="N268:N270" si="20">E268</f>
        <v>2767.5</v>
      </c>
      <c r="O268" s="324"/>
      <c r="P268" s="387"/>
    </row>
    <row r="269" ht="12.75" customHeight="1">
      <c r="A269" s="322"/>
      <c r="B269" s="75" t="s">
        <v>51</v>
      </c>
      <c r="C269" s="371" t="str">
        <f>'UTL COST'!$B$4</f>
        <v>#REF!</v>
      </c>
      <c r="D269" s="382">
        <f>'UTL COST'!$C$4</f>
        <v>7000</v>
      </c>
      <c r="E269" s="67">
        <f>'UTL COST'!$D$3</f>
        <v>2767.5</v>
      </c>
      <c r="F269" s="324"/>
      <c r="G269" s="324"/>
      <c r="H269" s="387"/>
      <c r="I269" s="387"/>
      <c r="J269" s="322"/>
      <c r="K269" s="75" t="s">
        <v>51</v>
      </c>
      <c r="L269" s="371" t="str">
        <f>'UTL COST'!$B$4</f>
        <v>#REF!</v>
      </c>
      <c r="M269" s="382">
        <f>'UTL COST'!$C$4</f>
        <v>7000</v>
      </c>
      <c r="N269" s="67">
        <f t="shared" si="20"/>
        <v>2767.5</v>
      </c>
      <c r="O269" s="324"/>
      <c r="P269" s="387"/>
    </row>
    <row r="270" ht="12.75" customHeight="1">
      <c r="A270" s="322"/>
      <c r="B270" s="75" t="s">
        <v>59</v>
      </c>
      <c r="C270" s="371" t="str">
        <f>'UTL COST'!$B$5</f>
        <v>#REF!</v>
      </c>
      <c r="D270" s="382">
        <f>'UTL COST'!$C$5</f>
        <v>45000</v>
      </c>
      <c r="E270" s="76" t="str">
        <f>'UTL COST'!$D$5</f>
        <v>#REF!</v>
      </c>
      <c r="F270" s="324"/>
      <c r="G270" s="324"/>
      <c r="H270" s="387"/>
      <c r="I270" s="387"/>
      <c r="J270" s="322"/>
      <c r="K270" s="75" t="s">
        <v>59</v>
      </c>
      <c r="L270" s="371" t="str">
        <f>'UTL COST'!$B$5</f>
        <v>#REF!</v>
      </c>
      <c r="M270" s="382">
        <f>'UTL COST'!$C$5</f>
        <v>45000</v>
      </c>
      <c r="N270" s="67" t="str">
        <f t="shared" si="20"/>
        <v>#REF!</v>
      </c>
      <c r="O270" s="324"/>
      <c r="P270" s="387"/>
    </row>
    <row r="271" ht="12.75" customHeight="1">
      <c r="A271" s="322"/>
      <c r="B271" s="87" t="s">
        <v>78</v>
      </c>
      <c r="C271" s="371" t="str">
        <f>'UTL COST'!$B$6</f>
        <v>#REF!</v>
      </c>
      <c r="D271" s="383">
        <f>'UTL COST'!$C$6</f>
        <v>525</v>
      </c>
      <c r="E271" s="89">
        <v>0.1</v>
      </c>
      <c r="F271" s="324"/>
      <c r="G271" s="324"/>
      <c r="H271" s="387"/>
      <c r="I271" s="387"/>
      <c r="J271" s="322"/>
      <c r="K271" s="87" t="s">
        <v>78</v>
      </c>
      <c r="L271" s="371" t="str">
        <f>'UTL COST'!$B$6</f>
        <v>#REF!</v>
      </c>
      <c r="M271" s="383">
        <f>'UTL COST'!$C$6</f>
        <v>525</v>
      </c>
      <c r="N271" s="89">
        <v>0.1</v>
      </c>
      <c r="O271" s="324"/>
      <c r="P271" s="387"/>
    </row>
    <row r="272" ht="12.75" customHeight="1">
      <c r="A272" s="322"/>
      <c r="B272" s="34" t="s">
        <v>84</v>
      </c>
      <c r="C272" s="102"/>
      <c r="D272" s="102"/>
      <c r="E272" s="104" t="str">
        <f>IF(SUM(E268:E271)=0,"",SUM(E268:E271))</f>
        <v>#REF!</v>
      </c>
      <c r="F272" s="324"/>
      <c r="G272" s="324"/>
      <c r="H272" s="387"/>
      <c r="I272" s="387"/>
      <c r="J272" s="322"/>
      <c r="K272" s="34" t="s">
        <v>84</v>
      </c>
      <c r="L272" s="102"/>
      <c r="M272" s="102"/>
      <c r="N272" s="104" t="str">
        <f>IF(SUM(N268:N271)=0,"",SUM(N268:N271))</f>
        <v>#REF!</v>
      </c>
      <c r="O272" s="324"/>
      <c r="P272" s="387"/>
    </row>
    <row r="273" ht="12.75" customHeight="1">
      <c r="A273" s="322"/>
      <c r="B273" s="360"/>
      <c r="C273" s="360"/>
      <c r="D273" s="360"/>
      <c r="E273" s="361"/>
      <c r="F273" s="324"/>
      <c r="G273" s="324"/>
      <c r="H273" s="387"/>
      <c r="I273" s="387"/>
      <c r="J273" s="322"/>
      <c r="K273" s="360"/>
      <c r="L273" s="360"/>
      <c r="M273" s="360"/>
      <c r="N273" s="361"/>
      <c r="O273" s="324"/>
      <c r="P273" s="387"/>
    </row>
    <row r="274" ht="12.75" customHeight="1">
      <c r="A274" s="387"/>
      <c r="B274" s="387"/>
      <c r="C274" s="387"/>
      <c r="D274" s="387"/>
      <c r="E274" s="418"/>
      <c r="F274" s="387"/>
      <c r="G274" s="387"/>
      <c r="H274" s="387"/>
      <c r="I274" s="387"/>
      <c r="J274" s="387"/>
      <c r="K274" s="387"/>
      <c r="L274" s="387"/>
      <c r="M274" s="387"/>
      <c r="N274" s="387"/>
      <c r="O274" s="387"/>
      <c r="P274" s="387"/>
    </row>
    <row r="275" ht="12.75" customHeight="1">
      <c r="A275" s="387"/>
      <c r="B275" s="387"/>
      <c r="C275" s="387"/>
      <c r="D275" s="387"/>
      <c r="E275" s="418"/>
      <c r="F275" s="387"/>
      <c r="G275" s="387"/>
      <c r="H275" s="387"/>
      <c r="I275" s="387"/>
      <c r="J275" s="387"/>
      <c r="K275" s="387"/>
      <c r="L275" s="387"/>
      <c r="M275" s="387"/>
      <c r="N275" s="387"/>
      <c r="O275" s="387"/>
      <c r="P275" s="387"/>
    </row>
    <row r="276" ht="12.75" customHeight="1">
      <c r="A276" s="387"/>
      <c r="B276" s="387"/>
      <c r="C276" s="387"/>
      <c r="D276" s="387"/>
      <c r="E276" s="418"/>
      <c r="F276" s="387"/>
      <c r="G276" s="387"/>
      <c r="H276" s="387"/>
      <c r="I276" s="387"/>
      <c r="J276" s="387"/>
      <c r="K276" s="387"/>
      <c r="L276" s="387"/>
      <c r="M276" s="387"/>
      <c r="N276" s="387"/>
      <c r="O276" s="387"/>
      <c r="P276" s="387"/>
    </row>
    <row r="277" ht="12.75" customHeight="1">
      <c r="A277" s="387"/>
      <c r="B277" s="387"/>
      <c r="C277" s="387"/>
      <c r="D277" s="387"/>
      <c r="E277" s="418"/>
      <c r="F277" s="387"/>
      <c r="G277" s="387"/>
      <c r="H277" s="387"/>
      <c r="I277" s="387"/>
      <c r="J277" s="387"/>
      <c r="K277" s="387"/>
      <c r="L277" s="387"/>
      <c r="M277" s="387"/>
      <c r="N277" s="387"/>
      <c r="O277" s="387"/>
      <c r="P277" s="387"/>
    </row>
    <row r="278" ht="12.75" customHeight="1">
      <c r="A278" s="322"/>
      <c r="B278" s="322"/>
      <c r="C278" s="322"/>
      <c r="D278" s="322"/>
      <c r="E278" s="323"/>
      <c r="F278" s="324"/>
      <c r="G278" s="324"/>
      <c r="H278" s="387"/>
      <c r="I278" s="387"/>
      <c r="J278" s="322"/>
      <c r="K278" s="322"/>
      <c r="L278" s="322"/>
      <c r="M278" s="322"/>
      <c r="N278" s="323"/>
      <c r="O278" s="324"/>
      <c r="P278" s="387"/>
    </row>
    <row r="279" ht="12.75" customHeight="1">
      <c r="A279" s="322"/>
      <c r="B279" s="325"/>
      <c r="C279" s="322"/>
      <c r="D279" s="322"/>
      <c r="E279" s="323"/>
      <c r="F279" s="326"/>
      <c r="G279" s="326"/>
      <c r="H279" s="387"/>
      <c r="I279" s="387"/>
      <c r="J279" s="322"/>
      <c r="K279" s="325"/>
      <c r="L279" s="322"/>
      <c r="M279" s="322"/>
      <c r="N279" s="323"/>
      <c r="O279" s="326"/>
      <c r="P279" s="387"/>
    </row>
    <row r="280" ht="12.75" customHeight="1">
      <c r="A280" s="322"/>
      <c r="B280" s="327" t="s">
        <v>931</v>
      </c>
      <c r="C280" s="330" t="s">
        <v>1094</v>
      </c>
      <c r="D280" s="329"/>
      <c r="E280" s="323"/>
      <c r="F280" s="326"/>
      <c r="G280" s="326"/>
      <c r="H280" s="387"/>
      <c r="I280" s="387"/>
      <c r="J280" s="322"/>
      <c r="K280" s="327" t="s">
        <v>931</v>
      </c>
      <c r="L280" s="330" t="s">
        <v>1095</v>
      </c>
      <c r="M280" s="329"/>
      <c r="N280" s="323"/>
      <c r="O280" s="326"/>
      <c r="P280" s="387"/>
    </row>
    <row r="281" ht="12.75" customHeight="1">
      <c r="A281" s="322"/>
      <c r="B281" s="325"/>
      <c r="C281" s="322"/>
      <c r="D281" s="322"/>
      <c r="E281" s="323"/>
      <c r="F281" s="326"/>
      <c r="G281" s="326"/>
      <c r="H281" s="387"/>
      <c r="I281" s="387"/>
      <c r="J281" s="322"/>
      <c r="K281" s="325"/>
      <c r="L281" s="322"/>
      <c r="M281" s="322"/>
      <c r="N281" s="323"/>
      <c r="O281" s="326"/>
      <c r="P281" s="387"/>
    </row>
    <row r="282" ht="12.75" customHeight="1">
      <c r="A282" s="322"/>
      <c r="B282" s="327" t="s">
        <v>935</v>
      </c>
      <c r="C282" s="440">
        <v>1100000.0</v>
      </c>
      <c r="D282" s="329"/>
      <c r="E282" s="323"/>
      <c r="F282" s="326"/>
      <c r="G282" s="326"/>
      <c r="H282" s="387"/>
      <c r="I282" s="387"/>
      <c r="J282" s="322"/>
      <c r="K282" s="327" t="s">
        <v>935</v>
      </c>
      <c r="L282" s="331">
        <v>360000.0</v>
      </c>
      <c r="M282" s="329"/>
      <c r="N282" s="323"/>
      <c r="O282" s="326"/>
      <c r="P282" s="387"/>
    </row>
    <row r="283" ht="12.75" customHeight="1">
      <c r="A283" s="322"/>
      <c r="B283" s="327"/>
      <c r="C283" s="332"/>
      <c r="D283" s="332"/>
      <c r="E283" s="323"/>
      <c r="F283" s="326"/>
      <c r="G283" s="326"/>
      <c r="H283" s="387"/>
      <c r="I283" s="387"/>
      <c r="J283" s="322"/>
      <c r="K283" s="327"/>
      <c r="L283" s="332"/>
      <c r="M283" s="332"/>
      <c r="N283" s="323"/>
      <c r="O283" s="326"/>
      <c r="P283" s="387"/>
    </row>
    <row r="284" ht="12.75" customHeight="1">
      <c r="A284" s="322"/>
      <c r="B284" s="327" t="s">
        <v>939</v>
      </c>
      <c r="C284" s="333" t="str">
        <f>IF(SUM(E296,E311,E319)=0,"",SUM(E296,E311,E319))</f>
        <v>#REF!</v>
      </c>
      <c r="D284" s="321"/>
      <c r="E284" s="323"/>
      <c r="F284" s="326"/>
      <c r="G284" s="326"/>
      <c r="H284" s="387"/>
      <c r="I284" s="387"/>
      <c r="J284" s="322"/>
      <c r="K284" s="327" t="s">
        <v>939</v>
      </c>
      <c r="L284" s="333" t="str">
        <f>IF(SUM(N296,N311,N319)=0,"",SUM(N296,N311,N319))</f>
        <v>#REF!</v>
      </c>
      <c r="M284" s="321"/>
      <c r="N284" s="323"/>
      <c r="O284" s="326"/>
      <c r="P284" s="387"/>
    </row>
    <row r="285" ht="12.75" customHeight="1">
      <c r="A285" s="322"/>
      <c r="B285" s="327"/>
      <c r="C285" s="334"/>
      <c r="D285" s="334"/>
      <c r="E285" s="323"/>
      <c r="F285" s="326"/>
      <c r="G285" s="326"/>
      <c r="H285" s="387"/>
      <c r="I285" s="387"/>
      <c r="J285" s="322"/>
      <c r="K285" s="327"/>
      <c r="L285" s="334"/>
      <c r="M285" s="334"/>
      <c r="N285" s="323"/>
      <c r="O285" s="326"/>
      <c r="P285" s="387"/>
    </row>
    <row r="286" ht="12.75" customHeight="1">
      <c r="A286" s="322"/>
      <c r="B286" s="327" t="s">
        <v>946</v>
      </c>
      <c r="C286" s="335" t="str">
        <f>IF(C284="","",IF(ISBLANK(C282),"",C284/C282))</f>
        <v>#REF!</v>
      </c>
      <c r="D286" s="321"/>
      <c r="E286" s="323"/>
      <c r="F286" s="326"/>
      <c r="G286" s="326"/>
      <c r="H286" s="387"/>
      <c r="I286" s="387"/>
      <c r="J286" s="322"/>
      <c r="K286" s="327" t="s">
        <v>946</v>
      </c>
      <c r="L286" s="335" t="str">
        <f>IF(L284="","",IF(ISBLANK(L282),"",L284/L282))</f>
        <v>#REF!</v>
      </c>
      <c r="M286" s="321"/>
      <c r="N286" s="323"/>
      <c r="O286" s="326"/>
      <c r="P286" s="387"/>
    </row>
    <row r="287" ht="12.75" customHeight="1">
      <c r="A287" s="322"/>
      <c r="B287" s="327"/>
      <c r="C287" s="334"/>
      <c r="D287" s="334"/>
      <c r="E287" s="323"/>
      <c r="F287" s="326"/>
      <c r="G287" s="326"/>
      <c r="H287" s="387"/>
      <c r="I287" s="387"/>
      <c r="J287" s="322"/>
      <c r="K287" s="327"/>
      <c r="L287" s="334"/>
      <c r="M287" s="334"/>
      <c r="N287" s="323"/>
      <c r="O287" s="326"/>
      <c r="P287" s="387"/>
    </row>
    <row r="288" ht="12.75" customHeight="1">
      <c r="A288" s="322"/>
      <c r="B288" s="327" t="s">
        <v>950</v>
      </c>
      <c r="C288" s="333" t="str">
        <f>C282-C284</f>
        <v>#REF!</v>
      </c>
      <c r="D288" s="321"/>
      <c r="E288" s="323"/>
      <c r="F288" s="326"/>
      <c r="G288" s="326"/>
      <c r="H288" s="387"/>
      <c r="I288" s="387"/>
      <c r="J288" s="322"/>
      <c r="K288" s="327" t="s">
        <v>950</v>
      </c>
      <c r="L288" s="333" t="str">
        <f>L282-L284</f>
        <v>#REF!</v>
      </c>
      <c r="M288" s="321"/>
      <c r="N288" s="323"/>
      <c r="O288" s="326"/>
      <c r="P288" s="387"/>
    </row>
    <row r="289" ht="12.75" customHeight="1">
      <c r="A289" s="322"/>
      <c r="B289" s="322"/>
      <c r="C289" s="322"/>
      <c r="D289" s="322"/>
      <c r="E289" s="323"/>
      <c r="F289" s="324"/>
      <c r="G289" s="324"/>
      <c r="H289" s="387"/>
      <c r="I289" s="387"/>
      <c r="J289" s="322"/>
      <c r="K289" s="322"/>
      <c r="L289" s="322"/>
      <c r="M289" s="322"/>
      <c r="N289" s="323"/>
      <c r="O289" s="324"/>
      <c r="P289" s="387"/>
    </row>
    <row r="290" ht="12.75" customHeight="1">
      <c r="A290" s="322"/>
      <c r="B290" s="322"/>
      <c r="C290" s="322"/>
      <c r="D290" s="322"/>
      <c r="E290" s="337"/>
      <c r="F290" s="324"/>
      <c r="G290" s="324"/>
      <c r="H290" s="387"/>
      <c r="I290" s="387"/>
      <c r="J290" s="322"/>
      <c r="K290" s="322"/>
      <c r="L290" s="322"/>
      <c r="M290" s="322"/>
      <c r="N290" s="337"/>
      <c r="O290" s="324"/>
      <c r="P290" s="387"/>
    </row>
    <row r="291" ht="12.75" customHeight="1">
      <c r="A291" s="322"/>
      <c r="B291" s="338" t="s">
        <v>951</v>
      </c>
      <c r="C291" s="339"/>
      <c r="D291" s="339"/>
      <c r="E291" s="339"/>
      <c r="F291" s="324"/>
      <c r="G291" s="324"/>
      <c r="H291" s="387"/>
      <c r="I291" s="387"/>
      <c r="J291" s="322"/>
      <c r="K291" s="338" t="s">
        <v>951</v>
      </c>
      <c r="L291" s="339"/>
      <c r="M291" s="339"/>
      <c r="N291" s="339"/>
      <c r="O291" s="324"/>
      <c r="P291" s="387"/>
    </row>
    <row r="292" ht="12.75" customHeight="1">
      <c r="A292" s="322"/>
      <c r="B292" s="340" t="s">
        <v>953</v>
      </c>
      <c r="C292" s="341" t="s">
        <v>954</v>
      </c>
      <c r="D292" s="341" t="s">
        <v>955</v>
      </c>
      <c r="E292" s="341" t="s">
        <v>35</v>
      </c>
      <c r="F292" s="324"/>
      <c r="G292" s="324"/>
      <c r="H292" s="387"/>
      <c r="I292" s="387"/>
      <c r="J292" s="322"/>
      <c r="K292" s="340" t="s">
        <v>953</v>
      </c>
      <c r="L292" s="341" t="s">
        <v>954</v>
      </c>
      <c r="M292" s="341" t="s">
        <v>955</v>
      </c>
      <c r="N292" s="341" t="s">
        <v>35</v>
      </c>
      <c r="O292" s="324"/>
      <c r="P292" s="387"/>
    </row>
    <row r="293" ht="12.75" customHeight="1">
      <c r="A293" s="322"/>
      <c r="B293" s="60" t="s">
        <v>1096</v>
      </c>
      <c r="C293" s="342">
        <v>0.05</v>
      </c>
      <c r="D293" s="343">
        <f>'F&amp;B'!F28/10</f>
        <v>58500</v>
      </c>
      <c r="E293" s="67">
        <f t="shared" ref="E293:E295" si="21">IF(OR(ISBLANK(C293),ISBLANK(D293)),"",D293*C293)</f>
        <v>2925</v>
      </c>
      <c r="F293" s="324"/>
      <c r="G293" s="324"/>
      <c r="H293" s="387"/>
      <c r="I293" s="387"/>
      <c r="J293" s="322"/>
      <c r="K293" s="60" t="s">
        <v>1053</v>
      </c>
      <c r="L293" s="344">
        <v>2.0</v>
      </c>
      <c r="M293" s="343" t="str">
        <f>L191/3</f>
        <v>#REF!</v>
      </c>
      <c r="N293" s="67" t="str">
        <f t="shared" ref="N293:N295" si="22">IF(OR(ISBLANK(L293),ISBLANK(M293)),"",M293*L293)</f>
        <v>#REF!</v>
      </c>
      <c r="O293" s="324"/>
      <c r="P293" s="387"/>
    </row>
    <row r="294" ht="12.75" customHeight="1">
      <c r="A294" s="322"/>
      <c r="B294" s="75" t="s">
        <v>703</v>
      </c>
      <c r="C294" s="370">
        <v>0.14</v>
      </c>
      <c r="D294" s="371">
        <f>'F&amp;B'!$F$229</f>
        <v>81000</v>
      </c>
      <c r="E294" s="67">
        <f t="shared" si="21"/>
        <v>11340</v>
      </c>
      <c r="F294" s="324"/>
      <c r="G294" s="324"/>
      <c r="H294" s="387"/>
      <c r="I294" s="387"/>
      <c r="J294" s="322"/>
      <c r="K294" s="75" t="s">
        <v>120</v>
      </c>
      <c r="L294" s="405">
        <v>2.0</v>
      </c>
      <c r="M294" s="371" t="str">
        <f>C191/4</f>
        <v>#REF!</v>
      </c>
      <c r="N294" s="67" t="str">
        <f t="shared" si="22"/>
        <v>#REF!</v>
      </c>
      <c r="O294" s="324"/>
      <c r="P294" s="387"/>
    </row>
    <row r="295" ht="12.75" customHeight="1">
      <c r="A295" s="322"/>
      <c r="B295" s="87" t="s">
        <v>850</v>
      </c>
      <c r="C295" s="412">
        <v>0.03</v>
      </c>
      <c r="D295" s="408">
        <f>'F&amp;B'!$F$99/12</f>
        <v>63000</v>
      </c>
      <c r="E295" s="89">
        <f t="shared" si="21"/>
        <v>1890</v>
      </c>
      <c r="F295" s="324"/>
      <c r="G295" s="324"/>
      <c r="H295" s="387"/>
      <c r="I295" s="387"/>
      <c r="J295" s="322"/>
      <c r="K295" s="87" t="s">
        <v>1081</v>
      </c>
      <c r="L295" s="412">
        <v>0.22</v>
      </c>
      <c r="M295" s="408">
        <f>'F&amp;B'!$F$70/10</f>
        <v>49104</v>
      </c>
      <c r="N295" s="67">
        <f t="shared" si="22"/>
        <v>10802.88</v>
      </c>
      <c r="O295" s="324"/>
      <c r="P295" s="387"/>
    </row>
    <row r="296" ht="12.75" customHeight="1">
      <c r="A296" s="322"/>
      <c r="B296" s="338" t="s">
        <v>84</v>
      </c>
      <c r="C296" s="358"/>
      <c r="D296" s="358"/>
      <c r="E296" s="359">
        <f>IF(SUM(E293:E295)=0,"",SUM(E293:E295))</f>
        <v>16155</v>
      </c>
      <c r="F296" s="324"/>
      <c r="G296" s="324"/>
      <c r="H296" s="387"/>
      <c r="I296" s="387"/>
      <c r="J296" s="322"/>
      <c r="K296" s="338" t="s">
        <v>84</v>
      </c>
      <c r="L296" s="358"/>
      <c r="M296" s="358"/>
      <c r="N296" s="359" t="str">
        <f>IF(SUM(N293:N295)=0,"",SUM(N293:N295))</f>
        <v>#REF!</v>
      </c>
      <c r="O296" s="324"/>
      <c r="P296" s="387"/>
    </row>
    <row r="297" ht="12.75" customHeight="1">
      <c r="A297" s="322"/>
      <c r="B297" s="360"/>
      <c r="C297" s="360"/>
      <c r="D297" s="360"/>
      <c r="E297" s="361"/>
      <c r="F297" s="324"/>
      <c r="G297" s="324"/>
      <c r="H297" s="387"/>
      <c r="I297" s="387"/>
      <c r="J297" s="322"/>
      <c r="K297" s="360"/>
      <c r="L297" s="360"/>
      <c r="M297" s="360"/>
      <c r="N297" s="361"/>
      <c r="O297" s="324"/>
      <c r="P297" s="387"/>
    </row>
    <row r="298" ht="12.75" customHeight="1">
      <c r="A298" s="322"/>
      <c r="B298" s="362" t="s">
        <v>972</v>
      </c>
      <c r="C298" s="363"/>
      <c r="D298" s="363"/>
      <c r="E298" s="363"/>
      <c r="F298" s="324"/>
      <c r="G298" s="324"/>
      <c r="H298" s="387"/>
      <c r="I298" s="387"/>
      <c r="J298" s="322"/>
      <c r="K298" s="362" t="s">
        <v>972</v>
      </c>
      <c r="L298" s="363"/>
      <c r="M298" s="363"/>
      <c r="N298" s="363"/>
      <c r="O298" s="324"/>
      <c r="P298" s="387"/>
    </row>
    <row r="299" ht="12.75" customHeight="1">
      <c r="A299" s="322"/>
      <c r="B299" s="365" t="s">
        <v>953</v>
      </c>
      <c r="C299" s="366" t="s">
        <v>3</v>
      </c>
      <c r="D299" s="366" t="s">
        <v>975</v>
      </c>
      <c r="E299" s="367" t="s">
        <v>35</v>
      </c>
      <c r="F299" s="324"/>
      <c r="G299" s="324"/>
      <c r="H299" s="387"/>
      <c r="I299" s="387"/>
      <c r="J299" s="322"/>
      <c r="K299" s="365" t="s">
        <v>953</v>
      </c>
      <c r="L299" s="366" t="s">
        <v>3</v>
      </c>
      <c r="M299" s="366" t="s">
        <v>975</v>
      </c>
      <c r="N299" s="367" t="s">
        <v>35</v>
      </c>
      <c r="O299" s="324"/>
      <c r="P299" s="387"/>
    </row>
    <row r="300" ht="12.75" customHeight="1">
      <c r="A300" s="322"/>
      <c r="B300" s="368"/>
      <c r="C300" s="366"/>
      <c r="D300" s="366"/>
      <c r="E300" s="368"/>
      <c r="F300" s="324"/>
      <c r="G300" s="324"/>
      <c r="H300" s="387"/>
      <c r="I300" s="387"/>
      <c r="J300" s="322"/>
      <c r="K300" s="368"/>
      <c r="L300" s="366"/>
      <c r="M300" s="366"/>
      <c r="N300" s="368"/>
      <c r="O300" s="324"/>
      <c r="P300" s="387"/>
    </row>
    <row r="301" ht="12.75" customHeight="1">
      <c r="A301" s="322"/>
      <c r="B301" s="60" t="s">
        <v>173</v>
      </c>
      <c r="C301" s="342">
        <v>0.06</v>
      </c>
      <c r="D301" s="343">
        <f>'F&amp;B'!$F$279</f>
        <v>7200</v>
      </c>
      <c r="E301" s="67">
        <f t="shared" ref="E301:E310" si="23">D301*C301</f>
        <v>432</v>
      </c>
      <c r="F301" s="324"/>
      <c r="G301" s="324"/>
      <c r="H301" s="387"/>
      <c r="I301" s="387"/>
      <c r="J301" s="322"/>
      <c r="K301" s="60" t="s">
        <v>1084</v>
      </c>
      <c r="L301" s="344">
        <v>2.0</v>
      </c>
      <c r="M301" s="343">
        <f>M254</f>
        <v>8043.75</v>
      </c>
      <c r="N301" s="67">
        <f t="shared" ref="N301:N304" si="24">M301*L301</f>
        <v>16087.5</v>
      </c>
      <c r="O301" s="324"/>
      <c r="P301" s="387"/>
    </row>
    <row r="302" ht="12.75" customHeight="1">
      <c r="A302" s="322"/>
      <c r="B302" s="75" t="s">
        <v>708</v>
      </c>
      <c r="C302" s="370">
        <v>0.02</v>
      </c>
      <c r="D302" s="371">
        <f>'F&amp;B'!$F$296</f>
        <v>9000</v>
      </c>
      <c r="E302" s="67">
        <f t="shared" si="23"/>
        <v>180</v>
      </c>
      <c r="F302" s="324"/>
      <c r="G302" s="324"/>
      <c r="H302" s="387"/>
      <c r="I302" s="387"/>
      <c r="J302" s="322"/>
      <c r="K302" s="437" t="s">
        <v>1085</v>
      </c>
      <c r="L302" s="405">
        <v>0.1</v>
      </c>
      <c r="M302" s="371">
        <f>'F&amp;B'!$F$265</f>
        <v>76725</v>
      </c>
      <c r="N302" s="67">
        <f t="shared" si="24"/>
        <v>7672.5</v>
      </c>
      <c r="O302" s="324"/>
      <c r="P302" s="387"/>
    </row>
    <row r="303" ht="12.75" customHeight="1">
      <c r="A303" s="322"/>
      <c r="B303" s="75" t="s">
        <v>714</v>
      </c>
      <c r="C303" s="370">
        <v>0.02</v>
      </c>
      <c r="D303" s="371">
        <f>'F&amp;B'!$F$309</f>
        <v>22500</v>
      </c>
      <c r="E303" s="67">
        <f t="shared" si="23"/>
        <v>450</v>
      </c>
      <c r="F303" s="324"/>
      <c r="G303" s="324"/>
      <c r="H303" s="387"/>
      <c r="I303" s="387"/>
      <c r="J303" s="322"/>
      <c r="K303" s="75" t="s">
        <v>1041</v>
      </c>
      <c r="L303" s="346">
        <v>1.0</v>
      </c>
      <c r="M303" s="371">
        <f>SAUCES!$D$133</f>
        <v>2010.930109</v>
      </c>
      <c r="N303" s="67">
        <f t="shared" si="24"/>
        <v>2010.930109</v>
      </c>
      <c r="O303" s="324"/>
      <c r="P303" s="387"/>
    </row>
    <row r="304" ht="12.75" customHeight="1">
      <c r="A304" s="322"/>
      <c r="B304" s="75" t="s">
        <v>58</v>
      </c>
      <c r="C304" s="346">
        <v>0.002</v>
      </c>
      <c r="D304" s="371">
        <f>'F&amp;B'!$F$143/25</f>
        <v>2340</v>
      </c>
      <c r="E304" s="67">
        <f t="shared" si="23"/>
        <v>4.68</v>
      </c>
      <c r="F304" s="324"/>
      <c r="G304" s="324"/>
      <c r="H304" s="387"/>
      <c r="I304" s="387"/>
      <c r="J304" s="322"/>
      <c r="K304" s="75" t="s">
        <v>1087</v>
      </c>
      <c r="L304" s="346">
        <v>1.0</v>
      </c>
      <c r="M304" s="371">
        <f>SAUCES!$D$34</f>
        <v>1195.819259</v>
      </c>
      <c r="N304" s="67">
        <f t="shared" si="24"/>
        <v>1195.819259</v>
      </c>
      <c r="O304" s="324"/>
      <c r="P304" s="387"/>
    </row>
    <row r="305" ht="12.75" customHeight="1">
      <c r="A305" s="322"/>
      <c r="B305" s="75" t="s">
        <v>1046</v>
      </c>
      <c r="C305" s="346">
        <v>0.03</v>
      </c>
      <c r="D305" s="371">
        <f>'F&amp;B'!$F$80</f>
        <v>103500</v>
      </c>
      <c r="E305" s="67">
        <f t="shared" si="23"/>
        <v>3105</v>
      </c>
      <c r="F305" s="324"/>
      <c r="G305" s="324"/>
      <c r="H305" s="387"/>
      <c r="I305" s="387"/>
      <c r="J305" s="322"/>
      <c r="K305" s="75"/>
      <c r="L305" s="346"/>
      <c r="M305" s="371"/>
      <c r="N305" s="67"/>
      <c r="O305" s="324"/>
      <c r="P305" s="387"/>
    </row>
    <row r="306" ht="12.75" customHeight="1">
      <c r="A306" s="322"/>
      <c r="B306" s="442" t="s">
        <v>1100</v>
      </c>
      <c r="C306" s="346">
        <v>0.05</v>
      </c>
      <c r="D306" s="371">
        <f>SAUCES!L186</f>
        <v>37140.77491</v>
      </c>
      <c r="E306" s="67">
        <f t="shared" si="23"/>
        <v>1857.038745</v>
      </c>
      <c r="F306" s="324"/>
      <c r="G306" s="324"/>
      <c r="H306" s="387"/>
      <c r="I306" s="387"/>
      <c r="J306" s="322"/>
      <c r="K306" s="75" t="s">
        <v>1048</v>
      </c>
      <c r="L306" s="346">
        <v>0.045</v>
      </c>
      <c r="M306" s="371">
        <f>'F&amp;B'!$F$246/3.79</f>
        <v>56160.94987</v>
      </c>
      <c r="N306" s="67">
        <f t="shared" ref="N306:N310" si="25">M306*L306</f>
        <v>2527.242744</v>
      </c>
      <c r="O306" s="324"/>
      <c r="P306" s="387"/>
    </row>
    <row r="307" ht="12.75" customHeight="1">
      <c r="A307" s="322"/>
      <c r="B307" s="75" t="s">
        <v>934</v>
      </c>
      <c r="C307" s="398">
        <v>0.2</v>
      </c>
      <c r="D307" s="371">
        <f>'F&amp;B'!$F$68/10</f>
        <v>19665</v>
      </c>
      <c r="E307" s="67">
        <f t="shared" si="23"/>
        <v>3933</v>
      </c>
      <c r="F307" s="324"/>
      <c r="G307" s="324"/>
      <c r="H307" s="387"/>
      <c r="I307" s="387"/>
      <c r="J307" s="322"/>
      <c r="K307" s="348"/>
      <c r="L307" s="346"/>
      <c r="M307" s="373"/>
      <c r="N307" s="67">
        <f t="shared" si="25"/>
        <v>0</v>
      </c>
      <c r="O307" s="324"/>
      <c r="P307" s="387"/>
    </row>
    <row r="308" ht="12.75" customHeight="1">
      <c r="A308" s="322"/>
      <c r="B308" s="348"/>
      <c r="C308" s="346"/>
      <c r="D308" s="373"/>
      <c r="E308" s="67">
        <f t="shared" si="23"/>
        <v>0</v>
      </c>
      <c r="F308" s="324"/>
      <c r="G308" s="324"/>
      <c r="H308" s="387"/>
      <c r="I308" s="387"/>
      <c r="J308" s="322"/>
      <c r="K308" s="348"/>
      <c r="L308" s="346"/>
      <c r="M308" s="373"/>
      <c r="N308" s="67">
        <f t="shared" si="25"/>
        <v>0</v>
      </c>
      <c r="O308" s="324"/>
      <c r="P308" s="387"/>
    </row>
    <row r="309" ht="12.75" customHeight="1">
      <c r="A309" s="322"/>
      <c r="B309" s="348"/>
      <c r="C309" s="346"/>
      <c r="D309" s="373"/>
      <c r="E309" s="67">
        <f t="shared" si="23"/>
        <v>0</v>
      </c>
      <c r="F309" s="324"/>
      <c r="G309" s="324"/>
      <c r="H309" s="387"/>
      <c r="I309" s="387"/>
      <c r="J309" s="322"/>
      <c r="K309" s="348"/>
      <c r="L309" s="346"/>
      <c r="M309" s="373"/>
      <c r="N309" s="67">
        <f t="shared" si="25"/>
        <v>0</v>
      </c>
      <c r="O309" s="324"/>
      <c r="P309" s="387"/>
    </row>
    <row r="310" ht="12.75" customHeight="1">
      <c r="A310" s="322"/>
      <c r="B310" s="354"/>
      <c r="C310" s="355"/>
      <c r="D310" s="356"/>
      <c r="E310" s="67">
        <f t="shared" si="23"/>
        <v>0</v>
      </c>
      <c r="F310" s="324"/>
      <c r="G310" s="324"/>
      <c r="H310" s="387"/>
      <c r="I310" s="387"/>
      <c r="J310" s="322"/>
      <c r="K310" s="354"/>
      <c r="L310" s="355"/>
      <c r="M310" s="356"/>
      <c r="N310" s="67">
        <f t="shared" si="25"/>
        <v>0</v>
      </c>
      <c r="O310" s="324"/>
      <c r="P310" s="387"/>
    </row>
    <row r="311" ht="12.75" customHeight="1">
      <c r="A311" s="322"/>
      <c r="B311" s="362" t="s">
        <v>84</v>
      </c>
      <c r="C311" s="374"/>
      <c r="D311" s="374"/>
      <c r="E311" s="375">
        <f>IF(SUM(E301:E310)=0,"",SUM(E301:E310))</f>
        <v>9961.718745</v>
      </c>
      <c r="F311" s="324"/>
      <c r="G311" s="324"/>
      <c r="H311" s="387"/>
      <c r="I311" s="387"/>
      <c r="J311" s="322"/>
      <c r="K311" s="362" t="s">
        <v>84</v>
      </c>
      <c r="L311" s="374"/>
      <c r="M311" s="374"/>
      <c r="N311" s="375">
        <f>IF(SUM(N301:N310)=0,"",SUM(N301:N310))</f>
        <v>29493.99211</v>
      </c>
      <c r="O311" s="324"/>
      <c r="P311" s="387"/>
    </row>
    <row r="312" ht="12.75" customHeight="1">
      <c r="A312" s="322"/>
      <c r="B312" s="360"/>
      <c r="C312" s="360"/>
      <c r="D312" s="360"/>
      <c r="E312" s="361"/>
      <c r="F312" s="324"/>
      <c r="G312" s="324"/>
      <c r="H312" s="387"/>
      <c r="I312" s="387"/>
      <c r="J312" s="322"/>
      <c r="K312" s="360"/>
      <c r="L312" s="360"/>
      <c r="M312" s="360"/>
      <c r="N312" s="361"/>
      <c r="O312" s="324"/>
      <c r="P312" s="387"/>
    </row>
    <row r="313" ht="12.75" customHeight="1">
      <c r="A313" s="322"/>
      <c r="B313" s="34" t="s">
        <v>17</v>
      </c>
      <c r="C313" s="35"/>
      <c r="D313" s="35"/>
      <c r="E313" s="35"/>
      <c r="F313" s="324"/>
      <c r="G313" s="324"/>
      <c r="H313" s="387"/>
      <c r="I313" s="387"/>
      <c r="J313" s="322"/>
      <c r="K313" s="34" t="s">
        <v>17</v>
      </c>
      <c r="L313" s="35"/>
      <c r="M313" s="35"/>
      <c r="N313" s="35"/>
      <c r="O313" s="324"/>
      <c r="P313" s="387"/>
    </row>
    <row r="314" ht="12.75" customHeight="1">
      <c r="A314" s="322"/>
      <c r="B314" s="52" t="s">
        <v>42</v>
      </c>
      <c r="C314" s="54"/>
      <c r="D314" s="54"/>
      <c r="E314" s="56" t="s">
        <v>35</v>
      </c>
      <c r="F314" s="324"/>
      <c r="G314" s="324"/>
      <c r="H314" s="387"/>
      <c r="I314" s="387"/>
      <c r="J314" s="322"/>
      <c r="K314" s="52" t="s">
        <v>42</v>
      </c>
      <c r="L314" s="54"/>
      <c r="M314" s="54"/>
      <c r="N314" s="56" t="s">
        <v>35</v>
      </c>
      <c r="O314" s="324"/>
      <c r="P314" s="387"/>
    </row>
    <row r="315" ht="12.75" customHeight="1">
      <c r="A315" s="322"/>
      <c r="B315" s="60" t="s">
        <v>40</v>
      </c>
      <c r="C315" s="343">
        <f>'UTL COST'!$B$3</f>
        <v>369000</v>
      </c>
      <c r="D315" s="379">
        <f>'UTL COST'!$C$3</f>
        <v>0.0075</v>
      </c>
      <c r="E315" s="67">
        <f>'UTL COST'!D3</f>
        <v>2767.5</v>
      </c>
      <c r="F315" s="324"/>
      <c r="G315" s="324"/>
      <c r="H315" s="387"/>
      <c r="I315" s="387"/>
      <c r="J315" s="322"/>
      <c r="K315" s="60" t="s">
        <v>40</v>
      </c>
      <c r="L315" s="343">
        <f>'UTL COST'!$B$3</f>
        <v>369000</v>
      </c>
      <c r="M315" s="379">
        <f>'UTL COST'!$C$3</f>
        <v>0.0075</v>
      </c>
      <c r="N315" s="67">
        <f t="shared" ref="N315:N317" si="26">E315</f>
        <v>2767.5</v>
      </c>
      <c r="O315" s="324"/>
      <c r="P315" s="387"/>
    </row>
    <row r="316" ht="12.75" customHeight="1">
      <c r="A316" s="322"/>
      <c r="B316" s="75" t="s">
        <v>51</v>
      </c>
      <c r="C316" s="371" t="str">
        <f>'UTL COST'!$B$4</f>
        <v>#REF!</v>
      </c>
      <c r="D316" s="382">
        <f>'UTL COST'!$C$4</f>
        <v>7000</v>
      </c>
      <c r="E316" s="67" t="str">
        <f>'UTL COST'!D4</f>
        <v>#REF!</v>
      </c>
      <c r="F316" s="324"/>
      <c r="G316" s="324"/>
      <c r="H316" s="387"/>
      <c r="I316" s="387"/>
      <c r="J316" s="322"/>
      <c r="K316" s="75" t="s">
        <v>51</v>
      </c>
      <c r="L316" s="371" t="str">
        <f>'UTL COST'!$B$4</f>
        <v>#REF!</v>
      </c>
      <c r="M316" s="382">
        <f>'UTL COST'!$C$4</f>
        <v>7000</v>
      </c>
      <c r="N316" s="67" t="str">
        <f t="shared" si="26"/>
        <v>#REF!</v>
      </c>
      <c r="O316" s="324"/>
      <c r="P316" s="387"/>
    </row>
    <row r="317" ht="12.75" customHeight="1">
      <c r="A317" s="322"/>
      <c r="B317" s="75" t="s">
        <v>59</v>
      </c>
      <c r="C317" s="371" t="str">
        <f>'UTL COST'!$B$5</f>
        <v>#REF!</v>
      </c>
      <c r="D317" s="382">
        <f>'UTL COST'!$C$5</f>
        <v>45000</v>
      </c>
      <c r="E317" s="76" t="str">
        <f>'UTL COST'!$D$5</f>
        <v>#REF!</v>
      </c>
      <c r="F317" s="324"/>
      <c r="G317" s="324"/>
      <c r="H317" s="387"/>
      <c r="I317" s="387"/>
      <c r="J317" s="322"/>
      <c r="K317" s="75" t="s">
        <v>59</v>
      </c>
      <c r="L317" s="371" t="str">
        <f>'UTL COST'!$B$5</f>
        <v>#REF!</v>
      </c>
      <c r="M317" s="382">
        <f>'UTL COST'!$C$5</f>
        <v>45000</v>
      </c>
      <c r="N317" s="67" t="str">
        <f t="shared" si="26"/>
        <v>#REF!</v>
      </c>
      <c r="O317" s="324"/>
      <c r="P317" s="387"/>
    </row>
    <row r="318" ht="12.75" customHeight="1">
      <c r="A318" s="322"/>
      <c r="B318" s="87" t="s">
        <v>78</v>
      </c>
      <c r="C318" s="371" t="str">
        <f>'UTL COST'!$B$6</f>
        <v>#REF!</v>
      </c>
      <c r="D318" s="383">
        <f>'UTL COST'!$C$6</f>
        <v>525</v>
      </c>
      <c r="E318" s="89">
        <v>0.1</v>
      </c>
      <c r="F318" s="324"/>
      <c r="G318" s="324"/>
      <c r="H318" s="387"/>
      <c r="I318" s="387"/>
      <c r="J318" s="322"/>
      <c r="K318" s="87" t="s">
        <v>78</v>
      </c>
      <c r="L318" s="371" t="str">
        <f>'UTL COST'!$B$6</f>
        <v>#REF!</v>
      </c>
      <c r="M318" s="383">
        <f>'UTL COST'!$C$6</f>
        <v>525</v>
      </c>
      <c r="N318" s="89">
        <v>0.1</v>
      </c>
      <c r="O318" s="324"/>
      <c r="P318" s="387"/>
    </row>
    <row r="319" ht="12.75" customHeight="1">
      <c r="A319" s="322"/>
      <c r="B319" s="34" t="s">
        <v>84</v>
      </c>
      <c r="C319" s="102"/>
      <c r="D319" s="102"/>
      <c r="E319" s="104" t="str">
        <f>IF(SUM(E315:E318)=0,"",SUM(E315:E318))</f>
        <v>#REF!</v>
      </c>
      <c r="F319" s="324"/>
      <c r="G319" s="324"/>
      <c r="H319" s="387"/>
      <c r="I319" s="387"/>
      <c r="J319" s="322"/>
      <c r="K319" s="34" t="s">
        <v>84</v>
      </c>
      <c r="L319" s="102"/>
      <c r="M319" s="102"/>
      <c r="N319" s="104" t="str">
        <f>IF(SUM(N315:N318)=0,"",SUM(N315:N318))</f>
        <v>#REF!</v>
      </c>
      <c r="O319" s="324"/>
      <c r="P319" s="387"/>
    </row>
    <row r="320" ht="12.75" customHeight="1">
      <c r="A320" s="322"/>
      <c r="B320" s="360"/>
      <c r="C320" s="360"/>
      <c r="D320" s="360"/>
      <c r="E320" s="361"/>
      <c r="F320" s="324"/>
      <c r="G320" s="324"/>
      <c r="H320" s="387"/>
      <c r="I320" s="387"/>
      <c r="J320" s="322"/>
      <c r="K320" s="360"/>
      <c r="L320" s="360"/>
      <c r="M320" s="360"/>
      <c r="N320" s="361"/>
      <c r="O320" s="324"/>
      <c r="P320" s="387"/>
    </row>
    <row r="321" ht="12.75" customHeight="1">
      <c r="A321" s="387"/>
      <c r="B321" s="387"/>
      <c r="C321" s="387"/>
      <c r="D321" s="387"/>
      <c r="E321" s="418"/>
      <c r="F321" s="387"/>
      <c r="G321" s="387"/>
      <c r="H321" s="387"/>
      <c r="I321" s="387"/>
      <c r="J321" s="387"/>
      <c r="K321" s="387"/>
      <c r="L321" s="387"/>
      <c r="M321" s="387"/>
      <c r="N321" s="387"/>
      <c r="O321" s="387"/>
      <c r="P321" s="387"/>
    </row>
    <row r="322" ht="12.75" customHeight="1">
      <c r="A322" s="387"/>
      <c r="B322" s="387"/>
      <c r="C322" s="387"/>
      <c r="D322" s="387"/>
      <c r="E322" s="418"/>
      <c r="F322" s="387"/>
      <c r="G322" s="387"/>
      <c r="H322" s="387"/>
      <c r="I322" s="387"/>
      <c r="J322" s="387"/>
      <c r="K322" s="387"/>
      <c r="L322" s="387"/>
      <c r="M322" s="387"/>
      <c r="N322" s="387"/>
      <c r="O322" s="387"/>
      <c r="P322" s="387"/>
    </row>
    <row r="323" ht="12.75" customHeight="1">
      <c r="A323" s="322"/>
      <c r="B323" s="322"/>
      <c r="C323" s="322"/>
      <c r="D323" s="322"/>
      <c r="E323" s="323"/>
      <c r="F323" s="324"/>
      <c r="G323" s="324"/>
      <c r="H323" s="387"/>
      <c r="I323" s="387"/>
      <c r="J323" s="322"/>
      <c r="K323" s="322"/>
      <c r="L323" s="322"/>
      <c r="M323" s="322"/>
      <c r="N323" s="323"/>
      <c r="O323" s="324"/>
      <c r="P323" s="387"/>
    </row>
    <row r="324" ht="12.75" customHeight="1">
      <c r="A324" s="322"/>
      <c r="B324" s="325"/>
      <c r="C324" s="322"/>
      <c r="D324" s="322"/>
      <c r="E324" s="323"/>
      <c r="F324" s="326"/>
      <c r="G324" s="326"/>
      <c r="H324" s="387"/>
      <c r="I324" s="387"/>
      <c r="J324" s="322"/>
      <c r="K324" s="325"/>
      <c r="L324" s="322"/>
      <c r="M324" s="322"/>
      <c r="N324" s="323"/>
      <c r="O324" s="326"/>
      <c r="P324" s="387"/>
    </row>
    <row r="325" ht="12.75" customHeight="1">
      <c r="A325" s="322"/>
      <c r="B325" s="327" t="s">
        <v>931</v>
      </c>
      <c r="C325" s="328" t="s">
        <v>136</v>
      </c>
      <c r="D325" s="329"/>
      <c r="E325" s="323"/>
      <c r="F325" s="326"/>
      <c r="G325" s="326"/>
      <c r="H325" s="387"/>
      <c r="I325" s="387"/>
      <c r="J325" s="322"/>
      <c r="K325" s="327" t="s">
        <v>931</v>
      </c>
      <c r="L325" s="328" t="s">
        <v>1103</v>
      </c>
      <c r="M325" s="329"/>
      <c r="N325" s="323"/>
      <c r="O325" s="326"/>
      <c r="P325" s="387"/>
    </row>
    <row r="326" ht="12.75" customHeight="1">
      <c r="A326" s="322"/>
      <c r="B326" s="325"/>
      <c r="C326" s="322"/>
      <c r="D326" s="322"/>
      <c r="E326" s="323"/>
      <c r="F326" s="326"/>
      <c r="G326" s="326"/>
      <c r="H326" s="387"/>
      <c r="I326" s="387"/>
      <c r="J326" s="322"/>
      <c r="K326" s="325"/>
      <c r="L326" s="322"/>
      <c r="M326" s="322"/>
      <c r="N326" s="323"/>
      <c r="O326" s="326"/>
      <c r="P326" s="387"/>
    </row>
    <row r="327" ht="12.75" customHeight="1">
      <c r="A327" s="322"/>
      <c r="B327" s="327" t="s">
        <v>935</v>
      </c>
      <c r="C327" s="331">
        <v>390000.0</v>
      </c>
      <c r="D327" s="329"/>
      <c r="E327" s="323"/>
      <c r="F327" s="326"/>
      <c r="G327" s="326"/>
      <c r="H327" s="387"/>
      <c r="I327" s="387"/>
      <c r="J327" s="322"/>
      <c r="K327" s="327" t="s">
        <v>935</v>
      </c>
      <c r="L327" s="331">
        <v>150000.0</v>
      </c>
      <c r="M327" s="329"/>
      <c r="N327" s="323"/>
      <c r="O327" s="326"/>
      <c r="P327" s="387"/>
    </row>
    <row r="328" ht="12.75" customHeight="1">
      <c r="A328" s="322"/>
      <c r="B328" s="327"/>
      <c r="C328" s="332"/>
      <c r="D328" s="332"/>
      <c r="E328" s="323"/>
      <c r="F328" s="326"/>
      <c r="G328" s="326"/>
      <c r="H328" s="387"/>
      <c r="I328" s="387"/>
      <c r="J328" s="322"/>
      <c r="K328" s="327"/>
      <c r="L328" s="332"/>
      <c r="M328" s="332"/>
      <c r="N328" s="323"/>
      <c r="O328" s="326"/>
      <c r="P328" s="387"/>
    </row>
    <row r="329" ht="12.75" customHeight="1">
      <c r="A329" s="322"/>
      <c r="B329" s="327" t="s">
        <v>939</v>
      </c>
      <c r="C329" s="333" t="str">
        <f>IF(SUM(E341,E356,E364)=0,"",SUM(E341,E356,E364))</f>
        <v>#REF!</v>
      </c>
      <c r="D329" s="321"/>
      <c r="E329" s="323"/>
      <c r="F329" s="326"/>
      <c r="G329" s="326"/>
      <c r="H329" s="387"/>
      <c r="I329" s="387"/>
      <c r="J329" s="322"/>
      <c r="K329" s="327" t="s">
        <v>939</v>
      </c>
      <c r="L329" s="333">
        <f>IF(SUM(N341,N356,N364)=0,"",SUM(N341,N356,N364))</f>
        <v>26242.1675</v>
      </c>
      <c r="M329" s="321"/>
      <c r="N329" s="323"/>
      <c r="O329" s="326"/>
      <c r="P329" s="387"/>
    </row>
    <row r="330" ht="12.75" customHeight="1">
      <c r="A330" s="322"/>
      <c r="B330" s="327"/>
      <c r="C330" s="334"/>
      <c r="D330" s="334"/>
      <c r="E330" s="323"/>
      <c r="F330" s="326"/>
      <c r="G330" s="326"/>
      <c r="H330" s="387"/>
      <c r="I330" s="387"/>
      <c r="J330" s="322"/>
      <c r="K330" s="327"/>
      <c r="L330" s="334"/>
      <c r="M330" s="334"/>
      <c r="N330" s="323"/>
      <c r="O330" s="326"/>
      <c r="P330" s="387"/>
    </row>
    <row r="331" ht="12.75" customHeight="1">
      <c r="A331" s="322"/>
      <c r="B331" s="327" t="s">
        <v>946</v>
      </c>
      <c r="C331" s="335" t="str">
        <f>IF(C329="","",IF(ISBLANK(C327),"",C329/C327))</f>
        <v>#REF!</v>
      </c>
      <c r="D331" s="321"/>
      <c r="E331" s="323"/>
      <c r="F331" s="326"/>
      <c r="G331" s="326"/>
      <c r="H331" s="387"/>
      <c r="I331" s="387"/>
      <c r="J331" s="322"/>
      <c r="K331" s="327" t="s">
        <v>946</v>
      </c>
      <c r="L331" s="335">
        <f>IF(L329="","",IF(ISBLANK(L327),"",L329/L327))</f>
        <v>0.1749477833</v>
      </c>
      <c r="M331" s="321"/>
      <c r="N331" s="323"/>
      <c r="O331" s="326"/>
      <c r="P331" s="387"/>
    </row>
    <row r="332" ht="12.75" customHeight="1">
      <c r="A332" s="322"/>
      <c r="B332" s="327"/>
      <c r="C332" s="334"/>
      <c r="D332" s="334"/>
      <c r="E332" s="323"/>
      <c r="F332" s="326"/>
      <c r="G332" s="326"/>
      <c r="H332" s="387"/>
      <c r="I332" s="387"/>
      <c r="J332" s="322"/>
      <c r="K332" s="327"/>
      <c r="L332" s="334"/>
      <c r="M332" s="334"/>
      <c r="N332" s="323"/>
      <c r="O332" s="326"/>
      <c r="P332" s="387"/>
    </row>
    <row r="333" ht="12.75" customHeight="1">
      <c r="A333" s="322"/>
      <c r="B333" s="327" t="s">
        <v>950</v>
      </c>
      <c r="C333" s="333" t="str">
        <f>C327-C329</f>
        <v>#REF!</v>
      </c>
      <c r="D333" s="321"/>
      <c r="E333" s="323"/>
      <c r="F333" s="326"/>
      <c r="G333" s="326"/>
      <c r="H333" s="387"/>
      <c r="I333" s="387"/>
      <c r="J333" s="322"/>
      <c r="K333" s="327" t="s">
        <v>950</v>
      </c>
      <c r="L333" s="333">
        <f>L327-L329</f>
        <v>123757.8325</v>
      </c>
      <c r="M333" s="321"/>
      <c r="N333" s="323"/>
      <c r="O333" s="326"/>
      <c r="P333" s="387"/>
    </row>
    <row r="334" ht="12.75" customHeight="1">
      <c r="A334" s="322"/>
      <c r="B334" s="322"/>
      <c r="C334" s="322"/>
      <c r="D334" s="322"/>
      <c r="E334" s="323"/>
      <c r="F334" s="324"/>
      <c r="G334" s="324"/>
      <c r="H334" s="387"/>
      <c r="I334" s="387"/>
      <c r="J334" s="322"/>
      <c r="K334" s="322"/>
      <c r="L334" s="322"/>
      <c r="M334" s="322"/>
      <c r="N334" s="323"/>
      <c r="O334" s="324"/>
      <c r="P334" s="387"/>
    </row>
    <row r="335" ht="12.75" customHeight="1">
      <c r="A335" s="322"/>
      <c r="B335" s="322"/>
      <c r="C335" s="322"/>
      <c r="D335" s="322"/>
      <c r="E335" s="337"/>
      <c r="F335" s="324"/>
      <c r="G335" s="324"/>
      <c r="H335" s="387"/>
      <c r="I335" s="387"/>
      <c r="J335" s="322"/>
      <c r="K335" s="322"/>
      <c r="L335" s="322"/>
      <c r="M335" s="322"/>
      <c r="N335" s="337"/>
      <c r="O335" s="324"/>
      <c r="P335" s="387"/>
    </row>
    <row r="336" ht="12.75" customHeight="1">
      <c r="A336" s="322"/>
      <c r="B336" s="338" t="s">
        <v>951</v>
      </c>
      <c r="C336" s="339"/>
      <c r="D336" s="339"/>
      <c r="E336" s="339"/>
      <c r="F336" s="324"/>
      <c r="G336" s="324"/>
      <c r="H336" s="387"/>
      <c r="I336" s="387"/>
      <c r="J336" s="322"/>
      <c r="K336" s="338" t="s">
        <v>951</v>
      </c>
      <c r="L336" s="339"/>
      <c r="M336" s="339"/>
      <c r="N336" s="339"/>
      <c r="O336" s="324"/>
      <c r="P336" s="387"/>
    </row>
    <row r="337" ht="12.75" customHeight="1">
      <c r="A337" s="322"/>
      <c r="B337" s="340" t="s">
        <v>953</v>
      </c>
      <c r="C337" s="341" t="s">
        <v>954</v>
      </c>
      <c r="D337" s="341" t="s">
        <v>955</v>
      </c>
      <c r="E337" s="341" t="s">
        <v>35</v>
      </c>
      <c r="F337" s="324"/>
      <c r="G337" s="324"/>
      <c r="H337" s="387"/>
      <c r="I337" s="387"/>
      <c r="J337" s="322"/>
      <c r="K337" s="340" t="s">
        <v>953</v>
      </c>
      <c r="L337" s="341" t="s">
        <v>954</v>
      </c>
      <c r="M337" s="341" t="s">
        <v>955</v>
      </c>
      <c r="N337" s="341" t="s">
        <v>35</v>
      </c>
      <c r="O337" s="324"/>
      <c r="P337" s="387"/>
    </row>
    <row r="338" ht="12.75" customHeight="1">
      <c r="A338" s="322"/>
      <c r="B338" s="60" t="s">
        <v>1099</v>
      </c>
      <c r="C338" s="344">
        <v>0.2</v>
      </c>
      <c r="D338" s="343">
        <f>'F&amp;B'!$F$274</f>
        <v>94500</v>
      </c>
      <c r="E338" s="67">
        <f t="shared" ref="E338:E340" si="27">IF(OR(ISBLANK(C338),ISBLANK(D338)),"",D338*C338)</f>
        <v>18900</v>
      </c>
      <c r="F338" s="324"/>
      <c r="G338" s="324"/>
      <c r="H338" s="387"/>
      <c r="I338" s="387"/>
      <c r="J338" s="322"/>
      <c r="K338" s="60" t="s">
        <v>33</v>
      </c>
      <c r="L338" s="342">
        <v>0.4</v>
      </c>
      <c r="M338" s="343">
        <f>'F&amp;B'!$F$68/10</f>
        <v>19665</v>
      </c>
      <c r="N338" s="67">
        <f t="shared" ref="N338:N340" si="28">IF(OR(ISBLANK(L338),ISBLANK(M338)),"",M338*L338)</f>
        <v>7866</v>
      </c>
      <c r="O338" s="324"/>
      <c r="P338" s="387"/>
    </row>
    <row r="339" ht="12.75" customHeight="1">
      <c r="A339" s="322"/>
      <c r="B339" s="75" t="s">
        <v>1107</v>
      </c>
      <c r="C339" s="370">
        <v>0.05</v>
      </c>
      <c r="D339" s="371">
        <f>'F&amp;B'!$F$258/3.75</f>
        <v>55440</v>
      </c>
      <c r="E339" s="67">
        <f t="shared" si="27"/>
        <v>2772</v>
      </c>
      <c r="F339" s="324"/>
      <c r="G339" s="324"/>
      <c r="H339" s="387"/>
      <c r="I339" s="387"/>
      <c r="J339" s="322"/>
      <c r="K339" s="75" t="s">
        <v>1104</v>
      </c>
      <c r="L339" s="370">
        <v>0.06</v>
      </c>
      <c r="M339" s="371">
        <f>SAUCES!$D$185</f>
        <v>170896.125</v>
      </c>
      <c r="N339" s="67">
        <f t="shared" si="28"/>
        <v>10253.7675</v>
      </c>
      <c r="O339" s="324"/>
      <c r="P339" s="387"/>
    </row>
    <row r="340" ht="12.75" customHeight="1">
      <c r="A340" s="322"/>
      <c r="B340" s="87"/>
      <c r="C340" s="412"/>
      <c r="D340" s="408"/>
      <c r="E340" s="89" t="str">
        <f t="shared" si="27"/>
        <v/>
      </c>
      <c r="F340" s="324"/>
      <c r="G340" s="324"/>
      <c r="H340" s="387"/>
      <c r="I340" s="387"/>
      <c r="J340" s="322"/>
      <c r="K340" s="87" t="s">
        <v>60</v>
      </c>
      <c r="L340" s="412">
        <v>0.03</v>
      </c>
      <c r="M340" s="408">
        <f>'F&amp;B'!$F$103</f>
        <v>148500</v>
      </c>
      <c r="N340" s="67">
        <f t="shared" si="28"/>
        <v>4455</v>
      </c>
      <c r="O340" s="324"/>
      <c r="P340" s="387"/>
    </row>
    <row r="341" ht="12.75" customHeight="1">
      <c r="A341" s="322"/>
      <c r="B341" s="338" t="s">
        <v>84</v>
      </c>
      <c r="C341" s="358"/>
      <c r="D341" s="358"/>
      <c r="E341" s="359">
        <f>IF(SUM(E338:E340)=0,"",SUM(E338:E340))</f>
        <v>21672</v>
      </c>
      <c r="F341" s="324"/>
      <c r="G341" s="324"/>
      <c r="H341" s="387"/>
      <c r="I341" s="387"/>
      <c r="J341" s="322"/>
      <c r="K341" s="338" t="s">
        <v>84</v>
      </c>
      <c r="L341" s="358"/>
      <c r="M341" s="358"/>
      <c r="N341" s="359">
        <f>IF(SUM(N338:N340)=0,"",SUM(N338:N340))</f>
        <v>22574.7675</v>
      </c>
      <c r="O341" s="324"/>
      <c r="P341" s="387"/>
    </row>
    <row r="342" ht="12.75" customHeight="1">
      <c r="A342" s="322"/>
      <c r="B342" s="360"/>
      <c r="C342" s="360"/>
      <c r="D342" s="360"/>
      <c r="E342" s="361"/>
      <c r="F342" s="324"/>
      <c r="G342" s="324"/>
      <c r="H342" s="387"/>
      <c r="I342" s="387"/>
      <c r="J342" s="322"/>
      <c r="K342" s="360"/>
      <c r="L342" s="360"/>
      <c r="M342" s="360"/>
      <c r="N342" s="361"/>
      <c r="O342" s="324"/>
      <c r="P342" s="387"/>
    </row>
    <row r="343" ht="12.75" customHeight="1">
      <c r="A343" s="322"/>
      <c r="B343" s="362" t="s">
        <v>972</v>
      </c>
      <c r="C343" s="363"/>
      <c r="D343" s="363"/>
      <c r="E343" s="363"/>
      <c r="F343" s="324"/>
      <c r="G343" s="324"/>
      <c r="H343" s="387"/>
      <c r="I343" s="387"/>
      <c r="J343" s="322"/>
      <c r="K343" s="362" t="s">
        <v>972</v>
      </c>
      <c r="L343" s="363"/>
      <c r="M343" s="363"/>
      <c r="N343" s="363"/>
      <c r="O343" s="324"/>
      <c r="P343" s="387"/>
    </row>
    <row r="344" ht="12.75" customHeight="1">
      <c r="A344" s="322"/>
      <c r="B344" s="365" t="s">
        <v>953</v>
      </c>
      <c r="C344" s="366" t="s">
        <v>3</v>
      </c>
      <c r="D344" s="366" t="s">
        <v>975</v>
      </c>
      <c r="E344" s="367" t="s">
        <v>35</v>
      </c>
      <c r="F344" s="324"/>
      <c r="G344" s="324"/>
      <c r="H344" s="387"/>
      <c r="I344" s="387"/>
      <c r="J344" s="322"/>
      <c r="K344" s="365" t="s">
        <v>953</v>
      </c>
      <c r="L344" s="366" t="s">
        <v>3</v>
      </c>
      <c r="M344" s="366" t="s">
        <v>975</v>
      </c>
      <c r="N344" s="367" t="s">
        <v>35</v>
      </c>
      <c r="O344" s="324"/>
      <c r="P344" s="387"/>
    </row>
    <row r="345" ht="12.75" customHeight="1">
      <c r="A345" s="322"/>
      <c r="B345" s="368"/>
      <c r="C345" s="366"/>
      <c r="D345" s="366"/>
      <c r="E345" s="368"/>
      <c r="F345" s="324"/>
      <c r="G345" s="324"/>
      <c r="H345" s="387"/>
      <c r="I345" s="387"/>
      <c r="J345" s="322"/>
      <c r="K345" s="368"/>
      <c r="L345" s="366"/>
      <c r="M345" s="366"/>
      <c r="N345" s="368"/>
      <c r="O345" s="324"/>
      <c r="P345" s="387"/>
    </row>
    <row r="346" ht="12.75" customHeight="1">
      <c r="A346" s="322"/>
      <c r="B346" s="60"/>
      <c r="C346" s="342"/>
      <c r="D346" s="343"/>
      <c r="E346" s="67">
        <f t="shared" ref="E346:E350" si="29">D346*C346</f>
        <v>0</v>
      </c>
      <c r="F346" s="324"/>
      <c r="G346" s="324"/>
      <c r="H346" s="387"/>
      <c r="I346" s="387"/>
      <c r="J346" s="322"/>
      <c r="K346" s="60" t="s">
        <v>508</v>
      </c>
      <c r="L346" s="342">
        <v>0.09</v>
      </c>
      <c r="M346" s="343">
        <f>'F&amp;B'!$F$282</f>
        <v>2970</v>
      </c>
      <c r="N346" s="67">
        <f t="shared" ref="N346:N349" si="30">M346*L346</f>
        <v>267.3</v>
      </c>
      <c r="O346" s="324"/>
      <c r="P346" s="387"/>
    </row>
    <row r="347" ht="12.75" customHeight="1">
      <c r="A347" s="322"/>
      <c r="B347" s="75"/>
      <c r="C347" s="370"/>
      <c r="D347" s="371"/>
      <c r="E347" s="67">
        <f t="shared" si="29"/>
        <v>0</v>
      </c>
      <c r="F347" s="324"/>
      <c r="G347" s="324"/>
      <c r="H347" s="387"/>
      <c r="I347" s="387"/>
      <c r="J347" s="322"/>
      <c r="K347" s="75"/>
      <c r="L347" s="370"/>
      <c r="M347" s="343"/>
      <c r="N347" s="67">
        <f t="shared" si="30"/>
        <v>0</v>
      </c>
      <c r="O347" s="324"/>
      <c r="P347" s="387"/>
    </row>
    <row r="348" ht="12.75" customHeight="1">
      <c r="A348" s="322"/>
      <c r="B348" s="75"/>
      <c r="C348" s="370"/>
      <c r="D348" s="371"/>
      <c r="E348" s="67">
        <f t="shared" si="29"/>
        <v>0</v>
      </c>
      <c r="F348" s="324"/>
      <c r="G348" s="324"/>
      <c r="H348" s="387"/>
      <c r="I348" s="387"/>
      <c r="J348" s="322"/>
      <c r="K348" s="75"/>
      <c r="L348" s="346"/>
      <c r="M348" s="371"/>
      <c r="N348" s="67">
        <f t="shared" si="30"/>
        <v>0</v>
      </c>
      <c r="O348" s="324"/>
      <c r="P348" s="387"/>
    </row>
    <row r="349" ht="12.75" customHeight="1">
      <c r="A349" s="322"/>
      <c r="B349" s="75"/>
      <c r="C349" s="346"/>
      <c r="D349" s="371"/>
      <c r="E349" s="67">
        <f t="shared" si="29"/>
        <v>0</v>
      </c>
      <c r="F349" s="324"/>
      <c r="G349" s="324"/>
      <c r="H349" s="387"/>
      <c r="I349" s="387"/>
      <c r="J349" s="322"/>
      <c r="K349" s="75"/>
      <c r="L349" s="346"/>
      <c r="M349" s="371"/>
      <c r="N349" s="67">
        <f t="shared" si="30"/>
        <v>0</v>
      </c>
      <c r="O349" s="324"/>
      <c r="P349" s="387"/>
    </row>
    <row r="350" ht="12.75" customHeight="1">
      <c r="A350" s="322"/>
      <c r="B350" s="75"/>
      <c r="C350" s="346"/>
      <c r="D350" s="371"/>
      <c r="E350" s="67">
        <f t="shared" si="29"/>
        <v>0</v>
      </c>
      <c r="F350" s="324"/>
      <c r="G350" s="324"/>
      <c r="H350" s="387"/>
      <c r="I350" s="387"/>
      <c r="J350" s="322"/>
      <c r="K350" s="75"/>
      <c r="L350" s="346"/>
      <c r="M350" s="371"/>
      <c r="N350" s="67">
        <v>3400.0</v>
      </c>
      <c r="O350" s="324"/>
      <c r="P350" s="387"/>
    </row>
    <row r="351" ht="12.75" customHeight="1">
      <c r="A351" s="322"/>
      <c r="B351" s="75"/>
      <c r="C351" s="346"/>
      <c r="D351" s="371"/>
      <c r="E351" s="443">
        <v>0.0</v>
      </c>
      <c r="F351" s="324"/>
      <c r="G351" s="324"/>
      <c r="H351" s="387"/>
      <c r="I351" s="387"/>
      <c r="J351" s="322"/>
      <c r="K351" s="75"/>
      <c r="L351" s="346"/>
      <c r="M351" s="373"/>
      <c r="N351" s="67">
        <f t="shared" ref="N351:N355" si="31">M351*L351</f>
        <v>0</v>
      </c>
      <c r="O351" s="324"/>
      <c r="P351" s="387"/>
    </row>
    <row r="352" ht="12.75" customHeight="1">
      <c r="A352" s="322"/>
      <c r="B352" s="348"/>
      <c r="C352" s="346"/>
      <c r="D352" s="371"/>
      <c r="E352" s="67">
        <f t="shared" ref="E352:E355" si="32">D352*C352</f>
        <v>0</v>
      </c>
      <c r="F352" s="324"/>
      <c r="G352" s="324"/>
      <c r="H352" s="387"/>
      <c r="I352" s="387"/>
      <c r="J352" s="322"/>
      <c r="K352" s="348"/>
      <c r="L352" s="346"/>
      <c r="M352" s="373"/>
      <c r="N352" s="67">
        <f t="shared" si="31"/>
        <v>0</v>
      </c>
      <c r="O352" s="324"/>
      <c r="P352" s="387"/>
    </row>
    <row r="353" ht="12.75" customHeight="1">
      <c r="A353" s="322"/>
      <c r="B353" s="348"/>
      <c r="C353" s="346"/>
      <c r="D353" s="373"/>
      <c r="E353" s="67">
        <f t="shared" si="32"/>
        <v>0</v>
      </c>
      <c r="F353" s="324"/>
      <c r="G353" s="324"/>
      <c r="H353" s="387"/>
      <c r="I353" s="387"/>
      <c r="J353" s="322"/>
      <c r="K353" s="348"/>
      <c r="L353" s="346"/>
      <c r="M353" s="373"/>
      <c r="N353" s="67">
        <f t="shared" si="31"/>
        <v>0</v>
      </c>
      <c r="O353" s="324"/>
      <c r="P353" s="387"/>
    </row>
    <row r="354" ht="12.75" customHeight="1">
      <c r="A354" s="322"/>
      <c r="B354" s="348"/>
      <c r="C354" s="346"/>
      <c r="D354" s="373"/>
      <c r="E354" s="67">
        <f t="shared" si="32"/>
        <v>0</v>
      </c>
      <c r="F354" s="324"/>
      <c r="G354" s="324"/>
      <c r="H354" s="387"/>
      <c r="I354" s="387"/>
      <c r="J354" s="322"/>
      <c r="K354" s="348"/>
      <c r="L354" s="346"/>
      <c r="M354" s="373"/>
      <c r="N354" s="67">
        <f t="shared" si="31"/>
        <v>0</v>
      </c>
      <c r="O354" s="324"/>
      <c r="P354" s="387"/>
    </row>
    <row r="355" ht="12.75" customHeight="1">
      <c r="A355" s="322"/>
      <c r="B355" s="354"/>
      <c r="C355" s="355"/>
      <c r="D355" s="356"/>
      <c r="E355" s="67">
        <f t="shared" si="32"/>
        <v>0</v>
      </c>
      <c r="F355" s="324"/>
      <c r="G355" s="324"/>
      <c r="H355" s="387"/>
      <c r="I355" s="387"/>
      <c r="J355" s="322"/>
      <c r="K355" s="354"/>
      <c r="L355" s="355"/>
      <c r="M355" s="356"/>
      <c r="N355" s="67">
        <f t="shared" si="31"/>
        <v>0</v>
      </c>
      <c r="O355" s="324"/>
      <c r="P355" s="387"/>
    </row>
    <row r="356" ht="12.75" customHeight="1">
      <c r="A356" s="322"/>
      <c r="B356" s="362" t="s">
        <v>84</v>
      </c>
      <c r="C356" s="374"/>
      <c r="D356" s="374"/>
      <c r="E356" s="375" t="str">
        <f>IF(SUM(E346:E355)=0,"",SUM(E346:E355))</f>
        <v/>
      </c>
      <c r="F356" s="324"/>
      <c r="G356" s="324"/>
      <c r="H356" s="387"/>
      <c r="I356" s="387"/>
      <c r="J356" s="322"/>
      <c r="K356" s="362" t="s">
        <v>84</v>
      </c>
      <c r="L356" s="374"/>
      <c r="M356" s="374"/>
      <c r="N356" s="375">
        <f>IF(SUM(N346:N355)=0,"",SUM(N346:N355))</f>
        <v>3667.3</v>
      </c>
      <c r="O356" s="324"/>
      <c r="P356" s="387"/>
    </row>
    <row r="357" ht="12.75" customHeight="1">
      <c r="A357" s="322"/>
      <c r="B357" s="360"/>
      <c r="C357" s="360"/>
      <c r="D357" s="360"/>
      <c r="E357" s="361"/>
      <c r="F357" s="324"/>
      <c r="G357" s="324"/>
      <c r="H357" s="387"/>
      <c r="I357" s="387"/>
      <c r="J357" s="322"/>
      <c r="K357" s="360"/>
      <c r="L357" s="360"/>
      <c r="M357" s="360"/>
      <c r="N357" s="361"/>
      <c r="O357" s="324"/>
      <c r="P357" s="387"/>
    </row>
    <row r="358" ht="12.75" customHeight="1">
      <c r="A358" s="322"/>
      <c r="B358" s="34" t="s">
        <v>17</v>
      </c>
      <c r="C358" s="35"/>
      <c r="D358" s="35"/>
      <c r="E358" s="35"/>
      <c r="F358" s="324"/>
      <c r="G358" s="324"/>
      <c r="H358" s="387"/>
      <c r="I358" s="387"/>
      <c r="J358" s="322"/>
      <c r="K358" s="34" t="s">
        <v>17</v>
      </c>
      <c r="L358" s="35"/>
      <c r="M358" s="35"/>
      <c r="N358" s="35"/>
      <c r="O358" s="324"/>
      <c r="P358" s="387"/>
    </row>
    <row r="359" ht="12.75" customHeight="1">
      <c r="A359" s="322"/>
      <c r="B359" s="52" t="s">
        <v>42</v>
      </c>
      <c r="C359" s="54"/>
      <c r="D359" s="54"/>
      <c r="E359" s="56" t="s">
        <v>35</v>
      </c>
      <c r="F359" s="324"/>
      <c r="G359" s="324"/>
      <c r="H359" s="387"/>
      <c r="I359" s="387"/>
      <c r="J359" s="322"/>
      <c r="K359" s="52" t="s">
        <v>42</v>
      </c>
      <c r="L359" s="54"/>
      <c r="M359" s="54"/>
      <c r="N359" s="56" t="s">
        <v>35</v>
      </c>
      <c r="O359" s="324"/>
      <c r="P359" s="387"/>
    </row>
    <row r="360" ht="12.75" customHeight="1">
      <c r="A360" s="322"/>
      <c r="B360" s="60" t="s">
        <v>40</v>
      </c>
      <c r="C360" s="343">
        <f>'UTL COST'!$B$3</f>
        <v>369000</v>
      </c>
      <c r="D360" s="379">
        <f>'UTL COST'!$C$3</f>
        <v>0.0075</v>
      </c>
      <c r="E360" s="67">
        <f>'UTL COST'!D3</f>
        <v>2767.5</v>
      </c>
      <c r="F360" s="324"/>
      <c r="G360" s="324"/>
      <c r="H360" s="387"/>
      <c r="I360" s="387"/>
      <c r="J360" s="322"/>
      <c r="K360" s="60" t="s">
        <v>40</v>
      </c>
      <c r="L360" s="343">
        <f>'UTL COST'!$B$3</f>
        <v>369000</v>
      </c>
      <c r="M360" s="379">
        <f>'UTL COST'!$C$3</f>
        <v>0.0075</v>
      </c>
      <c r="N360" s="67">
        <v>0.0</v>
      </c>
      <c r="O360" s="324"/>
      <c r="P360" s="387"/>
    </row>
    <row r="361" ht="12.75" customHeight="1">
      <c r="A361" s="322"/>
      <c r="B361" s="75" t="s">
        <v>51</v>
      </c>
      <c r="C361" s="371" t="str">
        <f>'UTL COST'!$B$4</f>
        <v>#REF!</v>
      </c>
      <c r="D361" s="382">
        <f>'UTL COST'!$C$4</f>
        <v>7000</v>
      </c>
      <c r="E361" s="67" t="str">
        <f>'UTL COST'!D4</f>
        <v>#REF!</v>
      </c>
      <c r="F361" s="324"/>
      <c r="G361" s="324"/>
      <c r="H361" s="387"/>
      <c r="I361" s="387"/>
      <c r="J361" s="322"/>
      <c r="K361" s="75" t="s">
        <v>51</v>
      </c>
      <c r="L361" s="371" t="str">
        <f>'UTL COST'!$B$4</f>
        <v>#REF!</v>
      </c>
      <c r="M361" s="382">
        <f>'UTL COST'!$C$4</f>
        <v>7000</v>
      </c>
      <c r="N361" s="67">
        <v>0.0</v>
      </c>
      <c r="O361" s="324"/>
      <c r="P361" s="387"/>
    </row>
    <row r="362" ht="12.75" customHeight="1">
      <c r="A362" s="322"/>
      <c r="B362" s="75" t="s">
        <v>59</v>
      </c>
      <c r="C362" s="371" t="str">
        <f>'UTL COST'!$B$5</f>
        <v>#REF!</v>
      </c>
      <c r="D362" s="382">
        <f>'UTL COST'!$C$5</f>
        <v>45000</v>
      </c>
      <c r="E362" s="76" t="str">
        <f>'UTL COST'!$D$5</f>
        <v>#REF!</v>
      </c>
      <c r="F362" s="324"/>
      <c r="G362" s="324"/>
      <c r="H362" s="387"/>
      <c r="I362" s="387"/>
      <c r="J362" s="322"/>
      <c r="K362" s="75" t="s">
        <v>59</v>
      </c>
      <c r="L362" s="371" t="str">
        <f>'UTL COST'!$B$5</f>
        <v>#REF!</v>
      </c>
      <c r="M362" s="382">
        <f>'UTL COST'!$C$5</f>
        <v>45000</v>
      </c>
      <c r="N362" s="76">
        <v>0.0</v>
      </c>
      <c r="O362" s="324"/>
      <c r="P362" s="387"/>
    </row>
    <row r="363" ht="12.75" customHeight="1">
      <c r="A363" s="322"/>
      <c r="B363" s="87" t="s">
        <v>78</v>
      </c>
      <c r="C363" s="371" t="str">
        <f>'UTL COST'!$B$6</f>
        <v>#REF!</v>
      </c>
      <c r="D363" s="383">
        <f>'UTL COST'!$C$6</f>
        <v>525</v>
      </c>
      <c r="E363" s="89">
        <v>0.1</v>
      </c>
      <c r="F363" s="324"/>
      <c r="G363" s="324"/>
      <c r="H363" s="387"/>
      <c r="I363" s="387"/>
      <c r="J363" s="322"/>
      <c r="K363" s="87" t="s">
        <v>78</v>
      </c>
      <c r="L363" s="371" t="str">
        <f>'UTL COST'!$B$6</f>
        <v>#REF!</v>
      </c>
      <c r="M363" s="383">
        <f>'UTL COST'!$C$6</f>
        <v>525</v>
      </c>
      <c r="N363" s="89">
        <v>0.1</v>
      </c>
      <c r="O363" s="324"/>
      <c r="P363" s="387"/>
    </row>
    <row r="364" ht="12.75" customHeight="1">
      <c r="A364" s="322"/>
      <c r="B364" s="34" t="s">
        <v>84</v>
      </c>
      <c r="C364" s="102"/>
      <c r="D364" s="102"/>
      <c r="E364" s="104" t="str">
        <f>IF(SUM(E360:E363)=0,"",SUM(E360:E363))</f>
        <v>#REF!</v>
      </c>
      <c r="F364" s="324"/>
      <c r="G364" s="324"/>
      <c r="H364" s="387"/>
      <c r="I364" s="387"/>
      <c r="J364" s="322"/>
      <c r="K364" s="34" t="s">
        <v>84</v>
      </c>
      <c r="L364" s="102"/>
      <c r="M364" s="102"/>
      <c r="N364" s="104">
        <f>IF(SUM(N360:N363)=0,"",SUM(N360:N363))</f>
        <v>0.1</v>
      </c>
      <c r="O364" s="324"/>
      <c r="P364" s="387"/>
    </row>
    <row r="365" ht="12.75" customHeight="1">
      <c r="A365" s="322"/>
      <c r="B365" s="360"/>
      <c r="C365" s="360"/>
      <c r="D365" s="360"/>
      <c r="E365" s="361"/>
      <c r="F365" s="324"/>
      <c r="G365" s="324"/>
      <c r="H365" s="387"/>
      <c r="I365" s="387"/>
      <c r="J365" s="322"/>
      <c r="K365" s="360"/>
      <c r="L365" s="360"/>
      <c r="M365" s="360"/>
      <c r="N365" s="361"/>
      <c r="O365" s="324"/>
      <c r="P365" s="387"/>
    </row>
    <row r="366" ht="12.75" customHeight="1">
      <c r="A366" s="387"/>
      <c r="B366" s="387"/>
      <c r="C366" s="387"/>
      <c r="D366" s="387"/>
      <c r="E366" s="418"/>
      <c r="F366" s="387"/>
      <c r="G366" s="387"/>
      <c r="H366" s="387"/>
      <c r="I366" s="387"/>
      <c r="J366" s="387"/>
      <c r="K366" s="387"/>
      <c r="L366" s="387"/>
      <c r="M366" s="387"/>
      <c r="N366" s="387"/>
      <c r="O366" s="387"/>
      <c r="P366" s="387"/>
    </row>
    <row r="367" ht="12.75" customHeight="1">
      <c r="A367" s="387"/>
      <c r="B367" s="387"/>
      <c r="C367" s="387"/>
      <c r="D367" s="387"/>
      <c r="E367" s="418"/>
      <c r="F367" s="387"/>
      <c r="G367" s="387"/>
      <c r="H367" s="387"/>
      <c r="I367" s="387"/>
      <c r="J367" s="387"/>
      <c r="K367" s="387"/>
      <c r="L367" s="387"/>
      <c r="M367" s="387"/>
      <c r="N367" s="387"/>
      <c r="O367" s="387"/>
      <c r="P367" s="387"/>
    </row>
    <row r="368" ht="12.75" customHeight="1">
      <c r="A368" s="322"/>
      <c r="B368" s="322"/>
      <c r="C368" s="322"/>
      <c r="D368" s="322"/>
      <c r="E368" s="323"/>
      <c r="F368" s="324"/>
      <c r="G368" s="324"/>
      <c r="H368" s="387"/>
      <c r="I368" s="387"/>
      <c r="J368" s="322"/>
      <c r="K368" s="322"/>
      <c r="L368" s="322"/>
      <c r="M368" s="322"/>
      <c r="N368" s="323"/>
      <c r="O368" s="324"/>
      <c r="P368" s="387"/>
    </row>
    <row r="369" ht="12.75" customHeight="1">
      <c r="A369" s="322"/>
      <c r="B369" s="325"/>
      <c r="C369" s="322"/>
      <c r="D369" s="322"/>
      <c r="E369" s="323"/>
      <c r="F369" s="326"/>
      <c r="G369" s="326"/>
      <c r="H369" s="387"/>
      <c r="I369" s="387"/>
      <c r="J369" s="322"/>
      <c r="K369" s="325"/>
      <c r="L369" s="322"/>
      <c r="M369" s="322"/>
      <c r="N369" s="323"/>
      <c r="O369" s="326"/>
      <c r="P369" s="387"/>
    </row>
    <row r="370" ht="12.75" customHeight="1">
      <c r="A370" s="322"/>
      <c r="B370" s="327" t="s">
        <v>931</v>
      </c>
      <c r="C370" s="328" t="s">
        <v>146</v>
      </c>
      <c r="D370" s="329"/>
      <c r="E370" s="323"/>
      <c r="F370" s="326"/>
      <c r="G370" s="326"/>
      <c r="H370" s="387"/>
      <c r="I370" s="387"/>
      <c r="J370" s="322"/>
      <c r="K370" s="327" t="s">
        <v>931</v>
      </c>
      <c r="L370" s="328" t="s">
        <v>1081</v>
      </c>
      <c r="M370" s="329"/>
      <c r="N370" s="323"/>
      <c r="O370" s="326"/>
      <c r="P370" s="387"/>
    </row>
    <row r="371" ht="12.75" customHeight="1">
      <c r="A371" s="322"/>
      <c r="B371" s="325"/>
      <c r="C371" s="322"/>
      <c r="D371" s="322"/>
      <c r="E371" s="323"/>
      <c r="F371" s="326"/>
      <c r="G371" s="326"/>
      <c r="H371" s="387"/>
      <c r="I371" s="387"/>
      <c r="J371" s="322"/>
      <c r="K371" s="325"/>
      <c r="L371" s="322"/>
      <c r="M371" s="322"/>
      <c r="N371" s="323"/>
      <c r="O371" s="326"/>
      <c r="P371" s="387"/>
    </row>
    <row r="372" ht="12.75" customHeight="1">
      <c r="A372" s="322"/>
      <c r="B372" s="327" t="s">
        <v>935</v>
      </c>
      <c r="C372" s="331">
        <v>390000.0</v>
      </c>
      <c r="D372" s="329"/>
      <c r="E372" s="323"/>
      <c r="F372" s="326"/>
      <c r="G372" s="326"/>
      <c r="H372" s="387"/>
      <c r="I372" s="387"/>
      <c r="J372" s="322"/>
      <c r="K372" s="327" t="s">
        <v>935</v>
      </c>
      <c r="L372" s="331">
        <v>120000.0</v>
      </c>
      <c r="M372" s="329"/>
      <c r="N372" s="323"/>
      <c r="O372" s="326"/>
      <c r="P372" s="387"/>
    </row>
    <row r="373" ht="12.75" customHeight="1">
      <c r="A373" s="322"/>
      <c r="B373" s="327"/>
      <c r="C373" s="332"/>
      <c r="D373" s="332"/>
      <c r="E373" s="323"/>
      <c r="F373" s="326"/>
      <c r="G373" s="326"/>
      <c r="H373" s="387"/>
      <c r="I373" s="387"/>
      <c r="J373" s="322"/>
      <c r="K373" s="327"/>
      <c r="L373" s="332"/>
      <c r="M373" s="332"/>
      <c r="N373" s="323"/>
      <c r="O373" s="326"/>
      <c r="P373" s="387"/>
    </row>
    <row r="374" ht="12.75" customHeight="1">
      <c r="A374" s="322"/>
      <c r="B374" s="327" t="s">
        <v>939</v>
      </c>
      <c r="C374" s="333" t="str">
        <f>IF(SUM(E386,E401,E409)=0,"",SUM(E386,E401,E409))</f>
        <v>#REF!</v>
      </c>
      <c r="D374" s="321"/>
      <c r="E374" s="323"/>
      <c r="F374" s="326"/>
      <c r="G374" s="326"/>
      <c r="H374" s="387"/>
      <c r="I374" s="387"/>
      <c r="J374" s="322"/>
      <c r="K374" s="327" t="s">
        <v>939</v>
      </c>
      <c r="L374" s="333" t="str">
        <f>IF(SUM(N386,N401,N409)=0,"",SUM(N386,N401,N409))</f>
        <v>#REF!</v>
      </c>
      <c r="M374" s="321"/>
      <c r="N374" s="323"/>
      <c r="O374" s="326"/>
      <c r="P374" s="387"/>
    </row>
    <row r="375" ht="12.75" customHeight="1">
      <c r="A375" s="322"/>
      <c r="B375" s="327"/>
      <c r="C375" s="334"/>
      <c r="D375" s="334"/>
      <c r="E375" s="323"/>
      <c r="F375" s="326"/>
      <c r="G375" s="326"/>
      <c r="H375" s="387"/>
      <c r="I375" s="387"/>
      <c r="J375" s="322"/>
      <c r="K375" s="327"/>
      <c r="L375" s="334"/>
      <c r="M375" s="334"/>
      <c r="N375" s="323"/>
      <c r="O375" s="326"/>
      <c r="P375" s="387"/>
    </row>
    <row r="376" ht="12.75" customHeight="1">
      <c r="A376" s="322"/>
      <c r="B376" s="327" t="s">
        <v>946</v>
      </c>
      <c r="C376" s="335" t="str">
        <f>IF(C374="","",IF(ISBLANK(C372),"",C374/C372))</f>
        <v>#REF!</v>
      </c>
      <c r="D376" s="321"/>
      <c r="E376" s="323"/>
      <c r="F376" s="326"/>
      <c r="G376" s="326"/>
      <c r="H376" s="387"/>
      <c r="I376" s="387"/>
      <c r="J376" s="322"/>
      <c r="K376" s="327" t="s">
        <v>946</v>
      </c>
      <c r="L376" s="335" t="str">
        <f>IF(L374="","",IF(ISBLANK(L372),"",L374/L372))</f>
        <v>#REF!</v>
      </c>
      <c r="M376" s="321"/>
      <c r="N376" s="323"/>
      <c r="O376" s="326"/>
      <c r="P376" s="387"/>
    </row>
    <row r="377" ht="12.75" customHeight="1">
      <c r="A377" s="322"/>
      <c r="B377" s="327"/>
      <c r="C377" s="334"/>
      <c r="D377" s="334"/>
      <c r="E377" s="323"/>
      <c r="F377" s="326"/>
      <c r="G377" s="326"/>
      <c r="H377" s="387"/>
      <c r="I377" s="387"/>
      <c r="J377" s="322"/>
      <c r="K377" s="327"/>
      <c r="L377" s="334"/>
      <c r="M377" s="334"/>
      <c r="N377" s="323"/>
      <c r="O377" s="326"/>
      <c r="P377" s="387"/>
    </row>
    <row r="378" ht="12.75" customHeight="1">
      <c r="A378" s="322"/>
      <c r="B378" s="327" t="s">
        <v>950</v>
      </c>
      <c r="C378" s="333" t="str">
        <f>C372-C374</f>
        <v>#REF!</v>
      </c>
      <c r="D378" s="321"/>
      <c r="E378" s="323"/>
      <c r="F378" s="326"/>
      <c r="G378" s="326"/>
      <c r="H378" s="387"/>
      <c r="I378" s="387"/>
      <c r="J378" s="322"/>
      <c r="K378" s="327" t="s">
        <v>950</v>
      </c>
      <c r="L378" s="333" t="str">
        <f>L372-L374</f>
        <v>#REF!</v>
      </c>
      <c r="M378" s="321"/>
      <c r="N378" s="323"/>
      <c r="O378" s="326"/>
      <c r="P378" s="387"/>
    </row>
    <row r="379" ht="12.75" customHeight="1">
      <c r="A379" s="322"/>
      <c r="B379" s="322"/>
      <c r="C379" s="322"/>
      <c r="D379" s="322"/>
      <c r="E379" s="323"/>
      <c r="F379" s="324"/>
      <c r="G379" s="324"/>
      <c r="H379" s="387"/>
      <c r="I379" s="387"/>
      <c r="J379" s="322"/>
      <c r="K379" s="322"/>
      <c r="L379" s="322"/>
      <c r="M379" s="322"/>
      <c r="N379" s="323"/>
      <c r="O379" s="324"/>
      <c r="P379" s="387"/>
    </row>
    <row r="380" ht="12.75" customHeight="1">
      <c r="A380" s="322"/>
      <c r="B380" s="322"/>
      <c r="C380" s="322"/>
      <c r="D380" s="322"/>
      <c r="E380" s="337"/>
      <c r="F380" s="324"/>
      <c r="G380" s="324"/>
      <c r="H380" s="387"/>
      <c r="I380" s="387"/>
      <c r="J380" s="322"/>
      <c r="K380" s="322"/>
      <c r="L380" s="322"/>
      <c r="M380" s="322"/>
      <c r="N380" s="337"/>
      <c r="O380" s="324"/>
      <c r="P380" s="387"/>
    </row>
    <row r="381" ht="12.75" customHeight="1">
      <c r="A381" s="322"/>
      <c r="B381" s="338" t="s">
        <v>951</v>
      </c>
      <c r="C381" s="339"/>
      <c r="D381" s="339"/>
      <c r="E381" s="339"/>
      <c r="F381" s="324"/>
      <c r="G381" s="324"/>
      <c r="H381" s="387"/>
      <c r="I381" s="387"/>
      <c r="J381" s="322"/>
      <c r="K381" s="338" t="s">
        <v>951</v>
      </c>
      <c r="L381" s="339"/>
      <c r="M381" s="339"/>
      <c r="N381" s="339"/>
      <c r="O381" s="324"/>
      <c r="P381" s="387"/>
    </row>
    <row r="382" ht="12.75" customHeight="1">
      <c r="A382" s="322"/>
      <c r="B382" s="340" t="s">
        <v>953</v>
      </c>
      <c r="C382" s="341" t="s">
        <v>954</v>
      </c>
      <c r="D382" s="341" t="s">
        <v>955</v>
      </c>
      <c r="E382" s="341" t="s">
        <v>35</v>
      </c>
      <c r="F382" s="324"/>
      <c r="G382" s="324"/>
      <c r="H382" s="387"/>
      <c r="I382" s="387"/>
      <c r="J382" s="322"/>
      <c r="K382" s="340" t="s">
        <v>953</v>
      </c>
      <c r="L382" s="341" t="s">
        <v>954</v>
      </c>
      <c r="M382" s="341" t="s">
        <v>955</v>
      </c>
      <c r="N382" s="341" t="s">
        <v>35</v>
      </c>
      <c r="O382" s="324"/>
      <c r="P382" s="387"/>
    </row>
    <row r="383" ht="12.75" customHeight="1">
      <c r="A383" s="322"/>
      <c r="B383" s="60" t="s">
        <v>703</v>
      </c>
      <c r="C383" s="342">
        <v>0.18</v>
      </c>
      <c r="D383" s="343">
        <f>'F&amp;B'!$F$228</f>
        <v>81000</v>
      </c>
      <c r="E383" s="67">
        <f t="shared" ref="E383:E385" si="33">IF(OR(ISBLANK(C383),ISBLANK(D383)),"",D383*C383)</f>
        <v>14580</v>
      </c>
      <c r="F383" s="324"/>
      <c r="G383" s="324"/>
      <c r="H383" s="387"/>
      <c r="I383" s="387"/>
      <c r="J383" s="322"/>
      <c r="K383" s="60" t="s">
        <v>1081</v>
      </c>
      <c r="L383" s="342">
        <v>0.22</v>
      </c>
      <c r="M383" s="343">
        <f>'F&amp;B'!$F$70/10</f>
        <v>49104</v>
      </c>
      <c r="N383" s="67">
        <f t="shared" ref="N383:N385" si="34">IF(OR(ISBLANK(L383),ISBLANK(M383)),"",M383*L383)</f>
        <v>10802.88</v>
      </c>
      <c r="O383" s="324"/>
      <c r="P383" s="387"/>
    </row>
    <row r="384" ht="12.75" customHeight="1">
      <c r="A384" s="322"/>
      <c r="B384" s="75" t="s">
        <v>1107</v>
      </c>
      <c r="C384" s="370">
        <v>0.05</v>
      </c>
      <c r="D384" s="371">
        <f>'F&amp;B'!$F$258/3.75</f>
        <v>55440</v>
      </c>
      <c r="E384" s="67">
        <f t="shared" si="33"/>
        <v>2772</v>
      </c>
      <c r="F384" s="324"/>
      <c r="G384" s="324"/>
      <c r="H384" s="387"/>
      <c r="I384" s="387"/>
      <c r="J384" s="322"/>
      <c r="K384" s="75"/>
      <c r="L384" s="370"/>
      <c r="M384" s="371"/>
      <c r="N384" s="67" t="str">
        <f t="shared" si="34"/>
        <v/>
      </c>
      <c r="O384" s="324"/>
      <c r="P384" s="387"/>
    </row>
    <row r="385" ht="12.75" customHeight="1">
      <c r="A385" s="322"/>
      <c r="B385" s="87"/>
      <c r="C385" s="412"/>
      <c r="D385" s="408"/>
      <c r="E385" s="89" t="str">
        <f t="shared" si="33"/>
        <v/>
      </c>
      <c r="F385" s="324"/>
      <c r="G385" s="324"/>
      <c r="H385" s="387"/>
      <c r="I385" s="387"/>
      <c r="J385" s="322"/>
      <c r="K385" s="87"/>
      <c r="L385" s="412"/>
      <c r="M385" s="408"/>
      <c r="N385" s="89" t="str">
        <f t="shared" si="34"/>
        <v/>
      </c>
      <c r="O385" s="324"/>
      <c r="P385" s="387"/>
    </row>
    <row r="386" ht="12.75" customHeight="1">
      <c r="A386" s="322"/>
      <c r="B386" s="338" t="s">
        <v>84</v>
      </c>
      <c r="C386" s="358"/>
      <c r="D386" s="358"/>
      <c r="E386" s="359">
        <f>IF(SUM(E383:E385)=0,"",SUM(E383:E385))</f>
        <v>17352</v>
      </c>
      <c r="F386" s="324"/>
      <c r="G386" s="324"/>
      <c r="H386" s="387"/>
      <c r="I386" s="387"/>
      <c r="J386" s="322"/>
      <c r="K386" s="338" t="s">
        <v>84</v>
      </c>
      <c r="L386" s="358"/>
      <c r="M386" s="358"/>
      <c r="N386" s="359">
        <f>IF(SUM(N383:N385)=0,"",SUM(N383:N385))</f>
        <v>10802.88</v>
      </c>
      <c r="O386" s="324"/>
      <c r="P386" s="387"/>
    </row>
    <row r="387" ht="12.75" customHeight="1">
      <c r="A387" s="322"/>
      <c r="B387" s="360"/>
      <c r="C387" s="360"/>
      <c r="D387" s="360"/>
      <c r="E387" s="361"/>
      <c r="F387" s="324"/>
      <c r="G387" s="324"/>
      <c r="H387" s="387"/>
      <c r="I387" s="387"/>
      <c r="J387" s="322"/>
      <c r="K387" s="360"/>
      <c r="L387" s="360"/>
      <c r="M387" s="360"/>
      <c r="N387" s="361"/>
      <c r="O387" s="324"/>
      <c r="P387" s="387"/>
    </row>
    <row r="388" ht="12.75" customHeight="1">
      <c r="A388" s="322"/>
      <c r="B388" s="362" t="s">
        <v>972</v>
      </c>
      <c r="C388" s="363"/>
      <c r="D388" s="363"/>
      <c r="E388" s="363"/>
      <c r="F388" s="324"/>
      <c r="G388" s="324"/>
      <c r="H388" s="387"/>
      <c r="I388" s="387"/>
      <c r="J388" s="322"/>
      <c r="K388" s="362" t="s">
        <v>972</v>
      </c>
      <c r="L388" s="363"/>
      <c r="M388" s="363"/>
      <c r="N388" s="363"/>
      <c r="O388" s="324"/>
      <c r="P388" s="387"/>
    </row>
    <row r="389" ht="12.75" customHeight="1">
      <c r="A389" s="322"/>
      <c r="B389" s="365" t="s">
        <v>953</v>
      </c>
      <c r="C389" s="366" t="s">
        <v>3</v>
      </c>
      <c r="D389" s="366" t="s">
        <v>975</v>
      </c>
      <c r="E389" s="367" t="s">
        <v>35</v>
      </c>
      <c r="F389" s="324"/>
      <c r="G389" s="324"/>
      <c r="H389" s="387"/>
      <c r="I389" s="387"/>
      <c r="J389" s="322"/>
      <c r="K389" s="365" t="s">
        <v>953</v>
      </c>
      <c r="L389" s="366" t="s">
        <v>3</v>
      </c>
      <c r="M389" s="366" t="s">
        <v>975</v>
      </c>
      <c r="N389" s="367" t="s">
        <v>35</v>
      </c>
      <c r="O389" s="324"/>
      <c r="P389" s="387"/>
    </row>
    <row r="390" ht="12.75" customHeight="1">
      <c r="A390" s="322"/>
      <c r="B390" s="368"/>
      <c r="C390" s="366"/>
      <c r="D390" s="366"/>
      <c r="E390" s="368"/>
      <c r="F390" s="324"/>
      <c r="G390" s="324"/>
      <c r="H390" s="387"/>
      <c r="I390" s="387"/>
      <c r="J390" s="322"/>
      <c r="K390" s="368"/>
      <c r="L390" s="366"/>
      <c r="M390" s="366"/>
      <c r="N390" s="368"/>
      <c r="O390" s="324"/>
      <c r="P390" s="387"/>
    </row>
    <row r="391" ht="12.75" customHeight="1">
      <c r="A391" s="322"/>
      <c r="B391" s="60"/>
      <c r="C391" s="342"/>
      <c r="D391" s="343"/>
      <c r="E391" s="67">
        <f t="shared" ref="E391:E395" si="35">D391*C391</f>
        <v>0</v>
      </c>
      <c r="F391" s="324"/>
      <c r="G391" s="324"/>
      <c r="H391" s="387"/>
      <c r="I391" s="387"/>
      <c r="J391" s="322"/>
      <c r="K391" s="60"/>
      <c r="L391" s="342"/>
      <c r="M391" s="343"/>
      <c r="N391" s="67">
        <f t="shared" ref="N391:N395" si="36">M391*L391</f>
        <v>0</v>
      </c>
      <c r="O391" s="324"/>
      <c r="P391" s="387"/>
    </row>
    <row r="392" ht="12.75" customHeight="1">
      <c r="A392" s="322"/>
      <c r="B392" s="75"/>
      <c r="C392" s="370"/>
      <c r="D392" s="371"/>
      <c r="E392" s="67">
        <f t="shared" si="35"/>
        <v>0</v>
      </c>
      <c r="F392" s="324"/>
      <c r="G392" s="324"/>
      <c r="H392" s="387"/>
      <c r="I392" s="387"/>
      <c r="J392" s="322"/>
      <c r="K392" s="75"/>
      <c r="L392" s="370"/>
      <c r="M392" s="371"/>
      <c r="N392" s="67">
        <f t="shared" si="36"/>
        <v>0</v>
      </c>
      <c r="O392" s="324"/>
      <c r="P392" s="387"/>
    </row>
    <row r="393" ht="12.75" customHeight="1">
      <c r="A393" s="322"/>
      <c r="B393" s="75"/>
      <c r="C393" s="370"/>
      <c r="D393" s="371"/>
      <c r="E393" s="67">
        <f t="shared" si="35"/>
        <v>0</v>
      </c>
      <c r="F393" s="324"/>
      <c r="G393" s="324"/>
      <c r="H393" s="387"/>
      <c r="I393" s="387"/>
      <c r="J393" s="322"/>
      <c r="K393" s="75"/>
      <c r="L393" s="370"/>
      <c r="M393" s="371"/>
      <c r="N393" s="67">
        <f t="shared" si="36"/>
        <v>0</v>
      </c>
      <c r="O393" s="324"/>
      <c r="P393" s="387"/>
    </row>
    <row r="394" ht="12.75" customHeight="1">
      <c r="A394" s="322"/>
      <c r="B394" s="75"/>
      <c r="C394" s="346"/>
      <c r="D394" s="371"/>
      <c r="E394" s="67">
        <f t="shared" si="35"/>
        <v>0</v>
      </c>
      <c r="F394" s="324"/>
      <c r="G394" s="324"/>
      <c r="H394" s="387"/>
      <c r="I394" s="387"/>
      <c r="J394" s="322"/>
      <c r="K394" s="75"/>
      <c r="L394" s="346"/>
      <c r="M394" s="371"/>
      <c r="N394" s="67">
        <f t="shared" si="36"/>
        <v>0</v>
      </c>
      <c r="O394" s="324"/>
      <c r="P394" s="387"/>
    </row>
    <row r="395" ht="12.75" customHeight="1">
      <c r="A395" s="322"/>
      <c r="B395" s="75"/>
      <c r="C395" s="346"/>
      <c r="D395" s="371"/>
      <c r="E395" s="67">
        <f t="shared" si="35"/>
        <v>0</v>
      </c>
      <c r="F395" s="324"/>
      <c r="G395" s="324"/>
      <c r="H395" s="387"/>
      <c r="I395" s="387"/>
      <c r="J395" s="322"/>
      <c r="K395" s="75"/>
      <c r="L395" s="346"/>
      <c r="M395" s="371"/>
      <c r="N395" s="67">
        <f t="shared" si="36"/>
        <v>0</v>
      </c>
      <c r="O395" s="324"/>
      <c r="P395" s="387"/>
    </row>
    <row r="396" ht="12.75" customHeight="1">
      <c r="A396" s="322"/>
      <c r="B396" s="75"/>
      <c r="C396" s="346"/>
      <c r="D396" s="371"/>
      <c r="E396" s="443">
        <v>0.0</v>
      </c>
      <c r="F396" s="324"/>
      <c r="G396" s="324"/>
      <c r="H396" s="387"/>
      <c r="I396" s="387"/>
      <c r="J396" s="322"/>
      <c r="K396" s="75"/>
      <c r="L396" s="346"/>
      <c r="M396" s="371"/>
      <c r="N396" s="443">
        <v>0.0</v>
      </c>
      <c r="O396" s="324"/>
      <c r="P396" s="387"/>
    </row>
    <row r="397" ht="12.75" customHeight="1">
      <c r="A397" s="322"/>
      <c r="B397" s="348"/>
      <c r="C397" s="346"/>
      <c r="D397" s="371"/>
      <c r="E397" s="67">
        <f t="shared" ref="E397:E400" si="37">D397*C397</f>
        <v>0</v>
      </c>
      <c r="F397" s="324"/>
      <c r="G397" s="324"/>
      <c r="H397" s="387"/>
      <c r="I397" s="387"/>
      <c r="J397" s="322"/>
      <c r="K397" s="348"/>
      <c r="L397" s="346"/>
      <c r="M397" s="371"/>
      <c r="N397" s="67">
        <f t="shared" ref="N397:N400" si="38">M397*L397</f>
        <v>0</v>
      </c>
      <c r="O397" s="324"/>
      <c r="P397" s="387"/>
    </row>
    <row r="398" ht="12.75" customHeight="1">
      <c r="A398" s="322"/>
      <c r="B398" s="348"/>
      <c r="C398" s="346"/>
      <c r="D398" s="373"/>
      <c r="E398" s="67">
        <f t="shared" si="37"/>
        <v>0</v>
      </c>
      <c r="F398" s="324"/>
      <c r="G398" s="324"/>
      <c r="H398" s="387"/>
      <c r="I398" s="387"/>
      <c r="J398" s="322"/>
      <c r="K398" s="348"/>
      <c r="L398" s="346"/>
      <c r="M398" s="373"/>
      <c r="N398" s="67">
        <f t="shared" si="38"/>
        <v>0</v>
      </c>
      <c r="O398" s="324"/>
      <c r="P398" s="387"/>
    </row>
    <row r="399" ht="12.75" customHeight="1">
      <c r="A399" s="322"/>
      <c r="B399" s="348"/>
      <c r="C399" s="346"/>
      <c r="D399" s="373"/>
      <c r="E399" s="67">
        <f t="shared" si="37"/>
        <v>0</v>
      </c>
      <c r="F399" s="324"/>
      <c r="G399" s="324"/>
      <c r="H399" s="387"/>
      <c r="I399" s="387"/>
      <c r="J399" s="322"/>
      <c r="K399" s="348"/>
      <c r="L399" s="346"/>
      <c r="M399" s="373"/>
      <c r="N399" s="67">
        <f t="shared" si="38"/>
        <v>0</v>
      </c>
      <c r="O399" s="324"/>
      <c r="P399" s="387"/>
    </row>
    <row r="400" ht="12.75" customHeight="1">
      <c r="A400" s="322"/>
      <c r="B400" s="354"/>
      <c r="C400" s="355"/>
      <c r="D400" s="356"/>
      <c r="E400" s="67">
        <f t="shared" si="37"/>
        <v>0</v>
      </c>
      <c r="F400" s="324"/>
      <c r="G400" s="324"/>
      <c r="H400" s="387"/>
      <c r="I400" s="387"/>
      <c r="J400" s="322"/>
      <c r="K400" s="354"/>
      <c r="L400" s="355"/>
      <c r="M400" s="356"/>
      <c r="N400" s="67">
        <f t="shared" si="38"/>
        <v>0</v>
      </c>
      <c r="O400" s="324"/>
      <c r="P400" s="387"/>
    </row>
    <row r="401" ht="12.75" customHeight="1">
      <c r="A401" s="322"/>
      <c r="B401" s="362" t="s">
        <v>84</v>
      </c>
      <c r="C401" s="374"/>
      <c r="D401" s="374"/>
      <c r="E401" s="375" t="str">
        <f>IF(SUM(E391:E400)=0,"",SUM(E391:E400))</f>
        <v/>
      </c>
      <c r="F401" s="324"/>
      <c r="G401" s="324"/>
      <c r="H401" s="387"/>
      <c r="I401" s="387"/>
      <c r="J401" s="322"/>
      <c r="K401" s="362" t="s">
        <v>84</v>
      </c>
      <c r="L401" s="374"/>
      <c r="M401" s="374"/>
      <c r="N401" s="375" t="str">
        <f>IF(SUM(N391:N400)=0,"",SUM(N391:N400))</f>
        <v/>
      </c>
      <c r="O401" s="324"/>
      <c r="P401" s="387"/>
    </row>
    <row r="402" ht="12.75" customHeight="1">
      <c r="A402" s="322"/>
      <c r="B402" s="360"/>
      <c r="C402" s="360"/>
      <c r="D402" s="360"/>
      <c r="E402" s="361"/>
      <c r="F402" s="324"/>
      <c r="G402" s="324"/>
      <c r="H402" s="387"/>
      <c r="I402" s="387"/>
      <c r="J402" s="322"/>
      <c r="K402" s="360"/>
      <c r="L402" s="360"/>
      <c r="M402" s="360"/>
      <c r="N402" s="361"/>
      <c r="O402" s="324"/>
      <c r="P402" s="387"/>
    </row>
    <row r="403" ht="12.75" customHeight="1">
      <c r="A403" s="322"/>
      <c r="B403" s="34" t="s">
        <v>17</v>
      </c>
      <c r="C403" s="35"/>
      <c r="D403" s="35"/>
      <c r="E403" s="35"/>
      <c r="F403" s="324"/>
      <c r="G403" s="324"/>
      <c r="H403" s="387"/>
      <c r="I403" s="387"/>
      <c r="J403" s="322"/>
      <c r="K403" s="34" t="s">
        <v>17</v>
      </c>
      <c r="L403" s="35"/>
      <c r="M403" s="35"/>
      <c r="N403" s="35"/>
      <c r="O403" s="324"/>
      <c r="P403" s="387"/>
    </row>
    <row r="404" ht="12.75" customHeight="1">
      <c r="A404" s="322"/>
      <c r="B404" s="52" t="s">
        <v>42</v>
      </c>
      <c r="C404" s="54"/>
      <c r="D404" s="54"/>
      <c r="E404" s="56" t="s">
        <v>35</v>
      </c>
      <c r="F404" s="324"/>
      <c r="G404" s="324"/>
      <c r="H404" s="387"/>
      <c r="I404" s="387"/>
      <c r="J404" s="322"/>
      <c r="K404" s="52" t="s">
        <v>42</v>
      </c>
      <c r="L404" s="54"/>
      <c r="M404" s="54"/>
      <c r="N404" s="56" t="s">
        <v>35</v>
      </c>
      <c r="O404" s="324"/>
      <c r="P404" s="387"/>
    </row>
    <row r="405" ht="12.75" customHeight="1">
      <c r="A405" s="322"/>
      <c r="B405" s="60" t="s">
        <v>40</v>
      </c>
      <c r="C405" s="343">
        <f>'UTL COST'!$B$3</f>
        <v>369000</v>
      </c>
      <c r="D405" s="379">
        <f>'UTL COST'!$C$3</f>
        <v>0.0075</v>
      </c>
      <c r="E405" s="67">
        <f>'UTL COST'!$D$3</f>
        <v>2767.5</v>
      </c>
      <c r="F405" s="324"/>
      <c r="G405" s="324"/>
      <c r="H405" s="387"/>
      <c r="I405" s="387"/>
      <c r="J405" s="322"/>
      <c r="K405" s="60" t="s">
        <v>40</v>
      </c>
      <c r="L405" s="343">
        <f>'UTL COST'!$B$3</f>
        <v>369000</v>
      </c>
      <c r="M405" s="379">
        <f>'UTL COST'!$C$3</f>
        <v>0.0075</v>
      </c>
      <c r="N405" s="67">
        <f>'UTL COST'!$D$3</f>
        <v>2767.5</v>
      </c>
      <c r="O405" s="324"/>
      <c r="P405" s="387"/>
    </row>
    <row r="406" ht="12.75" customHeight="1">
      <c r="A406" s="322"/>
      <c r="B406" s="75" t="s">
        <v>51</v>
      </c>
      <c r="C406" s="371" t="str">
        <f>'UTL COST'!$B$4</f>
        <v>#REF!</v>
      </c>
      <c r="D406" s="382">
        <f>'UTL COST'!$C$4</f>
        <v>7000</v>
      </c>
      <c r="E406" s="67" t="str">
        <f>'UTL COST'!$D$4</f>
        <v>#REF!</v>
      </c>
      <c r="F406" s="324"/>
      <c r="G406" s="324"/>
      <c r="H406" s="387"/>
      <c r="I406" s="387"/>
      <c r="J406" s="322"/>
      <c r="K406" s="75" t="s">
        <v>51</v>
      </c>
      <c r="L406" s="371" t="str">
        <f>'UTL COST'!$B$4</f>
        <v>#REF!</v>
      </c>
      <c r="M406" s="382">
        <f>'UTL COST'!$C$4</f>
        <v>7000</v>
      </c>
      <c r="N406" s="67" t="str">
        <f>'UTL COST'!$D$4</f>
        <v>#REF!</v>
      </c>
      <c r="O406" s="324"/>
      <c r="P406" s="387"/>
    </row>
    <row r="407" ht="12.75" customHeight="1">
      <c r="A407" s="322"/>
      <c r="B407" s="75" t="s">
        <v>59</v>
      </c>
      <c r="C407" s="371" t="str">
        <f>'UTL COST'!$B$5</f>
        <v>#REF!</v>
      </c>
      <c r="D407" s="382">
        <f>'UTL COST'!$C$5</f>
        <v>45000</v>
      </c>
      <c r="E407" s="76" t="str">
        <f>'UTL COST'!$D$5</f>
        <v>#REF!</v>
      </c>
      <c r="F407" s="324"/>
      <c r="G407" s="324"/>
      <c r="H407" s="387"/>
      <c r="I407" s="387"/>
      <c r="J407" s="322"/>
      <c r="K407" s="75" t="s">
        <v>59</v>
      </c>
      <c r="L407" s="371" t="str">
        <f>'UTL COST'!$B$5</f>
        <v>#REF!</v>
      </c>
      <c r="M407" s="382">
        <f>'UTL COST'!$C$5</f>
        <v>45000</v>
      </c>
      <c r="N407" s="76" t="str">
        <f>'UTL COST'!$D$5</f>
        <v>#REF!</v>
      </c>
      <c r="O407" s="324"/>
      <c r="P407" s="387"/>
    </row>
    <row r="408" ht="12.75" customHeight="1">
      <c r="A408" s="322"/>
      <c r="B408" s="87" t="s">
        <v>78</v>
      </c>
      <c r="C408" s="371" t="str">
        <f>'UTL COST'!$B$6</f>
        <v>#REF!</v>
      </c>
      <c r="D408" s="383">
        <f>'UTL COST'!$C$6</f>
        <v>525</v>
      </c>
      <c r="E408" s="89">
        <v>0.1</v>
      </c>
      <c r="F408" s="324"/>
      <c r="G408" s="324"/>
      <c r="H408" s="387"/>
      <c r="I408" s="387"/>
      <c r="J408" s="322"/>
      <c r="K408" s="87" t="s">
        <v>78</v>
      </c>
      <c r="L408" s="371" t="str">
        <f>'UTL COST'!$B$6</f>
        <v>#REF!</v>
      </c>
      <c r="M408" s="383">
        <f>'UTL COST'!$C$6</f>
        <v>525</v>
      </c>
      <c r="N408" s="89">
        <v>0.1</v>
      </c>
      <c r="O408" s="324"/>
      <c r="P408" s="387"/>
    </row>
    <row r="409" ht="12.75" customHeight="1">
      <c r="A409" s="322"/>
      <c r="B409" s="34" t="s">
        <v>84</v>
      </c>
      <c r="C409" s="102"/>
      <c r="D409" s="102"/>
      <c r="E409" s="104" t="str">
        <f>IF(SUM(E405:E408)=0,"",SUM(E405:E408))</f>
        <v>#REF!</v>
      </c>
      <c r="F409" s="324"/>
      <c r="G409" s="324"/>
      <c r="H409" s="387"/>
      <c r="I409" s="387"/>
      <c r="J409" s="322"/>
      <c r="K409" s="34" t="s">
        <v>84</v>
      </c>
      <c r="L409" s="102"/>
      <c r="M409" s="102"/>
      <c r="N409" s="104" t="str">
        <f>IF(SUM(N405:N408)=0,"",SUM(N405:N408))</f>
        <v>#REF!</v>
      </c>
      <c r="O409" s="324"/>
      <c r="P409" s="387"/>
    </row>
    <row r="410" ht="12.75" customHeight="1">
      <c r="A410" s="322"/>
      <c r="B410" s="360"/>
      <c r="C410" s="360"/>
      <c r="D410" s="360"/>
      <c r="E410" s="361"/>
      <c r="F410" s="324"/>
      <c r="G410" s="324"/>
      <c r="H410" s="387"/>
      <c r="I410" s="387"/>
      <c r="J410" s="322"/>
      <c r="K410" s="360"/>
      <c r="L410" s="360"/>
      <c r="M410" s="360"/>
      <c r="N410" s="361"/>
      <c r="O410" s="324"/>
      <c r="P410" s="387"/>
    </row>
    <row r="411" ht="12.75" customHeight="1">
      <c r="A411" s="387"/>
      <c r="B411" s="387"/>
      <c r="C411" s="387"/>
      <c r="D411" s="387"/>
      <c r="E411" s="418"/>
      <c r="F411" s="387"/>
      <c r="G411" s="387"/>
      <c r="H411" s="387"/>
      <c r="I411" s="387"/>
      <c r="J411" s="387"/>
      <c r="K411" s="387"/>
      <c r="L411" s="387"/>
      <c r="M411" s="387"/>
      <c r="N411" s="387"/>
      <c r="O411" s="387"/>
      <c r="P411" s="387"/>
    </row>
    <row r="412" ht="12.75" customHeight="1">
      <c r="A412" s="387"/>
      <c r="B412" s="387"/>
      <c r="C412" s="387"/>
      <c r="D412" s="387"/>
      <c r="E412" s="418"/>
      <c r="F412" s="387"/>
      <c r="G412" s="387"/>
      <c r="H412" s="387"/>
      <c r="I412" s="387"/>
      <c r="J412" s="387"/>
      <c r="K412" s="387"/>
      <c r="L412" s="387"/>
      <c r="M412" s="387"/>
      <c r="N412" s="387"/>
      <c r="O412" s="387"/>
      <c r="P412" s="387"/>
    </row>
    <row r="413" ht="12.75" customHeight="1">
      <c r="A413" s="387"/>
      <c r="B413" s="387"/>
      <c r="C413" s="387"/>
      <c r="D413" s="387"/>
      <c r="E413" s="418"/>
      <c r="F413" s="387"/>
      <c r="G413" s="387"/>
      <c r="H413" s="387"/>
      <c r="I413" s="387"/>
      <c r="J413" s="387"/>
      <c r="K413" s="387"/>
      <c r="L413" s="387"/>
      <c r="M413" s="387"/>
      <c r="N413" s="387"/>
      <c r="O413" s="387"/>
      <c r="P413" s="387"/>
    </row>
    <row r="414" ht="12.75" customHeight="1">
      <c r="A414" s="322"/>
      <c r="B414" s="322"/>
      <c r="C414" s="322"/>
      <c r="D414" s="322"/>
      <c r="E414" s="323"/>
      <c r="F414" s="324"/>
      <c r="G414" s="324"/>
      <c r="H414" s="387"/>
      <c r="I414" s="387"/>
      <c r="J414" s="322"/>
      <c r="K414" s="322"/>
      <c r="L414" s="322"/>
      <c r="M414" s="322"/>
      <c r="N414" s="323"/>
      <c r="O414" s="324"/>
      <c r="P414" s="387"/>
    </row>
    <row r="415" ht="12.75" customHeight="1">
      <c r="A415" s="322"/>
      <c r="B415" s="325"/>
      <c r="C415" s="322"/>
      <c r="D415" s="322"/>
      <c r="E415" s="323"/>
      <c r="F415" s="326"/>
      <c r="G415" s="326"/>
      <c r="H415" s="387"/>
      <c r="I415" s="387"/>
      <c r="J415" s="322"/>
      <c r="K415" s="325"/>
      <c r="L415" s="322"/>
      <c r="M415" s="322"/>
      <c r="N415" s="323"/>
      <c r="O415" s="326"/>
      <c r="P415" s="387"/>
    </row>
    <row r="416" ht="12.75" customHeight="1">
      <c r="A416" s="322"/>
      <c r="B416" s="327" t="s">
        <v>931</v>
      </c>
      <c r="C416" s="328" t="s">
        <v>162</v>
      </c>
      <c r="D416" s="329"/>
      <c r="E416" s="323"/>
      <c r="F416" s="326"/>
      <c r="G416" s="326"/>
      <c r="H416" s="387"/>
      <c r="I416" s="387"/>
      <c r="J416" s="322"/>
      <c r="K416" s="327" t="s">
        <v>931</v>
      </c>
      <c r="L416" s="328" t="s">
        <v>1125</v>
      </c>
      <c r="M416" s="329"/>
      <c r="N416" s="323"/>
      <c r="O416" s="326"/>
      <c r="P416" s="387"/>
    </row>
    <row r="417" ht="12.75" customHeight="1">
      <c r="A417" s="322"/>
      <c r="B417" s="325"/>
      <c r="C417" s="322"/>
      <c r="D417" s="322"/>
      <c r="E417" s="323"/>
      <c r="F417" s="326"/>
      <c r="G417" s="326"/>
      <c r="H417" s="387"/>
      <c r="I417" s="387"/>
      <c r="J417" s="322"/>
      <c r="K417" s="325"/>
      <c r="L417" s="322"/>
      <c r="M417" s="322"/>
      <c r="N417" s="323"/>
      <c r="O417" s="326"/>
      <c r="P417" s="387"/>
    </row>
    <row r="418" ht="12.75" customHeight="1">
      <c r="A418" s="322"/>
      <c r="B418" s="327" t="s">
        <v>935</v>
      </c>
      <c r="C418" s="331">
        <v>390000.0</v>
      </c>
      <c r="D418" s="329"/>
      <c r="E418" s="323"/>
      <c r="F418" s="326"/>
      <c r="G418" s="326"/>
      <c r="H418" s="387"/>
      <c r="I418" s="387"/>
      <c r="J418" s="322"/>
      <c r="K418" s="327" t="s">
        <v>935</v>
      </c>
      <c r="L418" s="331">
        <v>120000.0</v>
      </c>
      <c r="M418" s="329"/>
      <c r="N418" s="323"/>
      <c r="O418" s="326"/>
      <c r="P418" s="387"/>
    </row>
    <row r="419" ht="12.75" customHeight="1">
      <c r="A419" s="322"/>
      <c r="B419" s="327"/>
      <c r="C419" s="332"/>
      <c r="D419" s="332"/>
      <c r="E419" s="323"/>
      <c r="F419" s="326"/>
      <c r="G419" s="326"/>
      <c r="H419" s="387"/>
      <c r="I419" s="387"/>
      <c r="J419" s="322"/>
      <c r="K419" s="327"/>
      <c r="L419" s="332"/>
      <c r="M419" s="332"/>
      <c r="N419" s="323"/>
      <c r="O419" s="326"/>
      <c r="P419" s="387"/>
    </row>
    <row r="420" ht="12.75" customHeight="1">
      <c r="A420" s="322"/>
      <c r="B420" s="327" t="s">
        <v>939</v>
      </c>
      <c r="C420" s="333" t="str">
        <f>IF(SUM(E432,E447,E455)=0,"",SUM(E432,E447,E455))</f>
        <v>#REF!</v>
      </c>
      <c r="D420" s="321"/>
      <c r="E420" s="323"/>
      <c r="F420" s="326"/>
      <c r="G420" s="326"/>
      <c r="H420" s="387"/>
      <c r="I420" s="387"/>
      <c r="J420" s="322"/>
      <c r="K420" s="327" t="s">
        <v>939</v>
      </c>
      <c r="L420" s="333" t="str">
        <f>IF(SUM(N432,N447,N455)=0,"",SUM(N432,N447,N455))</f>
        <v>#REF!</v>
      </c>
      <c r="M420" s="321"/>
      <c r="N420" s="323"/>
      <c r="O420" s="326"/>
      <c r="P420" s="387"/>
    </row>
    <row r="421" ht="12.75" customHeight="1">
      <c r="A421" s="322"/>
      <c r="B421" s="327"/>
      <c r="C421" s="334"/>
      <c r="D421" s="334"/>
      <c r="E421" s="323"/>
      <c r="F421" s="326"/>
      <c r="G421" s="326"/>
      <c r="H421" s="387"/>
      <c r="I421" s="387"/>
      <c r="J421" s="322"/>
      <c r="K421" s="327"/>
      <c r="L421" s="334"/>
      <c r="M421" s="334"/>
      <c r="N421" s="323"/>
      <c r="O421" s="326"/>
      <c r="P421" s="387"/>
    </row>
    <row r="422" ht="12.75" customHeight="1">
      <c r="A422" s="322"/>
      <c r="B422" s="327" t="s">
        <v>946</v>
      </c>
      <c r="C422" s="335" t="str">
        <f>IF(C420="","",IF(ISBLANK(C418),"",C420/C418))</f>
        <v>#REF!</v>
      </c>
      <c r="D422" s="321"/>
      <c r="E422" s="323"/>
      <c r="F422" s="326"/>
      <c r="G422" s="326"/>
      <c r="H422" s="387"/>
      <c r="I422" s="387"/>
      <c r="J422" s="322"/>
      <c r="K422" s="327" t="s">
        <v>946</v>
      </c>
      <c r="L422" s="335" t="str">
        <f>IF(L420="","",IF(ISBLANK(L418),"",L420/L418))</f>
        <v>#REF!</v>
      </c>
      <c r="M422" s="321"/>
      <c r="N422" s="323"/>
      <c r="O422" s="326"/>
      <c r="P422" s="387"/>
    </row>
    <row r="423" ht="12.75" customHeight="1">
      <c r="A423" s="322"/>
      <c r="B423" s="327"/>
      <c r="C423" s="334"/>
      <c r="D423" s="334"/>
      <c r="E423" s="323"/>
      <c r="F423" s="326"/>
      <c r="G423" s="326"/>
      <c r="H423" s="387"/>
      <c r="I423" s="387"/>
      <c r="J423" s="322"/>
      <c r="K423" s="327"/>
      <c r="L423" s="334"/>
      <c r="M423" s="334"/>
      <c r="N423" s="323"/>
      <c r="O423" s="326"/>
      <c r="P423" s="387"/>
    </row>
    <row r="424" ht="12.75" customHeight="1">
      <c r="A424" s="322"/>
      <c r="B424" s="327" t="s">
        <v>950</v>
      </c>
      <c r="C424" s="333" t="str">
        <f>C418-C420</f>
        <v>#REF!</v>
      </c>
      <c r="D424" s="321"/>
      <c r="E424" s="323"/>
      <c r="F424" s="326"/>
      <c r="G424" s="326"/>
      <c r="H424" s="387"/>
      <c r="I424" s="387"/>
      <c r="J424" s="322"/>
      <c r="K424" s="327" t="s">
        <v>950</v>
      </c>
      <c r="L424" s="333" t="str">
        <f>L418-L420</f>
        <v>#REF!</v>
      </c>
      <c r="M424" s="321"/>
      <c r="N424" s="323"/>
      <c r="O424" s="326"/>
      <c r="P424" s="387"/>
    </row>
    <row r="425" ht="12.75" customHeight="1">
      <c r="A425" s="322"/>
      <c r="B425" s="322"/>
      <c r="C425" s="322"/>
      <c r="D425" s="322"/>
      <c r="E425" s="323"/>
      <c r="F425" s="324"/>
      <c r="G425" s="324"/>
      <c r="H425" s="387"/>
      <c r="I425" s="387"/>
      <c r="J425" s="322"/>
      <c r="K425" s="322"/>
      <c r="L425" s="322"/>
      <c r="M425" s="322"/>
      <c r="N425" s="323"/>
      <c r="O425" s="324"/>
      <c r="P425" s="387"/>
    </row>
    <row r="426" ht="12.75" customHeight="1">
      <c r="A426" s="322"/>
      <c r="B426" s="322"/>
      <c r="C426" s="322"/>
      <c r="D426" s="322"/>
      <c r="E426" s="337"/>
      <c r="F426" s="324"/>
      <c r="G426" s="324"/>
      <c r="H426" s="387"/>
      <c r="I426" s="387"/>
      <c r="J426" s="322"/>
      <c r="K426" s="322"/>
      <c r="L426" s="322"/>
      <c r="M426" s="322"/>
      <c r="N426" s="337"/>
      <c r="O426" s="324"/>
      <c r="P426" s="387"/>
    </row>
    <row r="427" ht="12.75" customHeight="1">
      <c r="A427" s="322"/>
      <c r="B427" s="338" t="s">
        <v>951</v>
      </c>
      <c r="C427" s="339"/>
      <c r="D427" s="339"/>
      <c r="E427" s="339"/>
      <c r="F427" s="324"/>
      <c r="G427" s="324"/>
      <c r="H427" s="387"/>
      <c r="I427" s="387"/>
      <c r="J427" s="322"/>
      <c r="K427" s="338" t="s">
        <v>951</v>
      </c>
      <c r="L427" s="339"/>
      <c r="M427" s="339"/>
      <c r="N427" s="339"/>
      <c r="O427" s="324"/>
      <c r="P427" s="387"/>
    </row>
    <row r="428" ht="12.75" customHeight="1">
      <c r="A428" s="322"/>
      <c r="B428" s="340" t="s">
        <v>953</v>
      </c>
      <c r="C428" s="341" t="s">
        <v>954</v>
      </c>
      <c r="D428" s="341" t="s">
        <v>955</v>
      </c>
      <c r="E428" s="341" t="s">
        <v>35</v>
      </c>
      <c r="F428" s="324"/>
      <c r="G428" s="324"/>
      <c r="H428" s="387"/>
      <c r="I428" s="387"/>
      <c r="J428" s="322"/>
      <c r="K428" s="340" t="s">
        <v>953</v>
      </c>
      <c r="L428" s="341" t="s">
        <v>954</v>
      </c>
      <c r="M428" s="341" t="s">
        <v>955</v>
      </c>
      <c r="N428" s="341" t="s">
        <v>35</v>
      </c>
      <c r="O428" s="324"/>
      <c r="P428" s="387"/>
    </row>
    <row r="429" ht="12.75" customHeight="1">
      <c r="A429" s="322"/>
      <c r="B429" s="60" t="s">
        <v>1130</v>
      </c>
      <c r="C429" s="342">
        <v>0.28</v>
      </c>
      <c r="D429" s="343">
        <f>'F&amp;B'!$F$281</f>
        <v>5400</v>
      </c>
      <c r="E429" s="67">
        <f t="shared" ref="E429:E431" si="39">D429*C429</f>
        <v>1512</v>
      </c>
      <c r="F429" s="324"/>
      <c r="G429" s="324"/>
      <c r="H429" s="387"/>
      <c r="I429" s="387"/>
      <c r="J429" s="322"/>
      <c r="K429" s="60" t="s">
        <v>1131</v>
      </c>
      <c r="L429" s="342">
        <v>0.25</v>
      </c>
      <c r="M429" s="343">
        <f>'F&amp;B'!$F$281</f>
        <v>5400</v>
      </c>
      <c r="N429" s="67">
        <f>M429*L429</f>
        <v>1350</v>
      </c>
      <c r="O429" s="324"/>
      <c r="P429" s="387"/>
    </row>
    <row r="430" ht="12.75" customHeight="1">
      <c r="A430" s="322"/>
      <c r="B430" s="75" t="s">
        <v>850</v>
      </c>
      <c r="C430" s="370">
        <v>0.08</v>
      </c>
      <c r="D430" s="371">
        <f>$M$63</f>
        <v>63000</v>
      </c>
      <c r="E430" s="67">
        <f t="shared" si="39"/>
        <v>5040</v>
      </c>
      <c r="F430" s="324"/>
      <c r="G430" s="324"/>
      <c r="H430" s="387"/>
      <c r="I430" s="387"/>
      <c r="J430" s="322"/>
      <c r="K430" s="437" t="s">
        <v>1132</v>
      </c>
      <c r="L430" s="370">
        <v>0.01</v>
      </c>
      <c r="M430" s="371">
        <f>SAUCES!$D$185</f>
        <v>170896.125</v>
      </c>
      <c r="N430" s="67">
        <f>IF(OR(ISBLANK(L430),ISBLANK(M430)),"",M430*L430)</f>
        <v>1708.96125</v>
      </c>
      <c r="O430" s="324"/>
      <c r="P430" s="387"/>
    </row>
    <row r="431" ht="12.75" customHeight="1">
      <c r="A431" s="322"/>
      <c r="B431" s="87" t="s">
        <v>1133</v>
      </c>
      <c r="C431" s="412">
        <v>0.12</v>
      </c>
      <c r="D431" s="408">
        <f>'F&amp;B'!$F$40/2.5</f>
        <v>25740</v>
      </c>
      <c r="E431" s="67">
        <f t="shared" si="39"/>
        <v>3088.8</v>
      </c>
      <c r="F431" s="324"/>
      <c r="G431" s="324"/>
      <c r="H431" s="387"/>
      <c r="I431" s="387"/>
      <c r="J431" s="322"/>
      <c r="K431" s="87" t="s">
        <v>850</v>
      </c>
      <c r="L431" s="412">
        <v>0.08</v>
      </c>
      <c r="M431" s="371">
        <f>$M$63</f>
        <v>63000</v>
      </c>
      <c r="N431" s="67">
        <f>M431*L431</f>
        <v>5040</v>
      </c>
      <c r="O431" s="324"/>
      <c r="P431" s="387"/>
    </row>
    <row r="432" ht="12.75" customHeight="1">
      <c r="A432" s="322"/>
      <c r="B432" s="338" t="s">
        <v>84</v>
      </c>
      <c r="C432" s="358"/>
      <c r="D432" s="358"/>
      <c r="E432" s="359">
        <f>IF(SUM(E429:E431)=0,"",SUM(E429:E431))</f>
        <v>9640.8</v>
      </c>
      <c r="F432" s="324"/>
      <c r="G432" s="324"/>
      <c r="H432" s="387"/>
      <c r="I432" s="387"/>
      <c r="J432" s="322"/>
      <c r="K432" s="338" t="s">
        <v>84</v>
      </c>
      <c r="L432" s="358"/>
      <c r="M432" s="358"/>
      <c r="N432" s="359">
        <f>IF(SUM(N429:N431)=0,"",SUM(N429:N431))</f>
        <v>8098.96125</v>
      </c>
      <c r="O432" s="324"/>
      <c r="P432" s="387"/>
    </row>
    <row r="433" ht="12.75" customHeight="1">
      <c r="A433" s="322"/>
      <c r="B433" s="360"/>
      <c r="C433" s="360"/>
      <c r="D433" s="360"/>
      <c r="E433" s="361"/>
      <c r="F433" s="324"/>
      <c r="G433" s="324"/>
      <c r="H433" s="387"/>
      <c r="I433" s="387"/>
      <c r="J433" s="322"/>
      <c r="K433" s="360"/>
      <c r="L433" s="360"/>
      <c r="M433" s="360"/>
      <c r="N433" s="361"/>
      <c r="O433" s="324"/>
      <c r="P433" s="387"/>
    </row>
    <row r="434" ht="12.75" customHeight="1">
      <c r="A434" s="322"/>
      <c r="B434" s="362" t="s">
        <v>972</v>
      </c>
      <c r="C434" s="363"/>
      <c r="D434" s="363"/>
      <c r="E434" s="363"/>
      <c r="F434" s="324"/>
      <c r="G434" s="324"/>
      <c r="H434" s="387"/>
      <c r="I434" s="387"/>
      <c r="J434" s="322"/>
      <c r="K434" s="362" t="s">
        <v>972</v>
      </c>
      <c r="L434" s="363"/>
      <c r="M434" s="363"/>
      <c r="N434" s="363"/>
      <c r="O434" s="324"/>
      <c r="P434" s="387"/>
    </row>
    <row r="435" ht="12.75" customHeight="1">
      <c r="A435" s="322"/>
      <c r="B435" s="365" t="s">
        <v>953</v>
      </c>
      <c r="C435" s="366" t="s">
        <v>3</v>
      </c>
      <c r="D435" s="366" t="s">
        <v>975</v>
      </c>
      <c r="E435" s="367" t="s">
        <v>35</v>
      </c>
      <c r="F435" s="324"/>
      <c r="G435" s="324"/>
      <c r="H435" s="387"/>
      <c r="I435" s="387"/>
      <c r="J435" s="322"/>
      <c r="K435" s="365" t="s">
        <v>953</v>
      </c>
      <c r="L435" s="366" t="s">
        <v>3</v>
      </c>
      <c r="M435" s="366" t="s">
        <v>975</v>
      </c>
      <c r="N435" s="367" t="s">
        <v>35</v>
      </c>
      <c r="O435" s="324"/>
      <c r="P435" s="387"/>
    </row>
    <row r="436" ht="12.75" customHeight="1">
      <c r="A436" s="322"/>
      <c r="B436" s="368"/>
      <c r="C436" s="366"/>
      <c r="D436" s="366"/>
      <c r="E436" s="368"/>
      <c r="F436" s="324"/>
      <c r="G436" s="324"/>
      <c r="H436" s="387"/>
      <c r="I436" s="387"/>
      <c r="J436" s="322"/>
      <c r="K436" s="368"/>
      <c r="L436" s="366"/>
      <c r="M436" s="366"/>
      <c r="N436" s="368"/>
      <c r="O436" s="324"/>
      <c r="P436" s="387"/>
    </row>
    <row r="437" ht="12.75" customHeight="1">
      <c r="A437" s="322"/>
      <c r="B437" s="60" t="s">
        <v>720</v>
      </c>
      <c r="C437" s="342">
        <v>0.045</v>
      </c>
      <c r="D437" s="343">
        <f>SAUCES!$L$172</f>
        <v>37152</v>
      </c>
      <c r="E437" s="67">
        <f t="shared" ref="E437:E441" si="40">D437*C437</f>
        <v>1671.84</v>
      </c>
      <c r="F437" s="324"/>
      <c r="G437" s="324"/>
      <c r="H437" s="387"/>
      <c r="I437" s="387"/>
      <c r="J437" s="322"/>
      <c r="K437" s="450" t="s">
        <v>1137</v>
      </c>
      <c r="L437" s="342">
        <v>0.015</v>
      </c>
      <c r="M437" s="343">
        <f>'F&amp;B'!$F$263*2.2</f>
        <v>370260</v>
      </c>
      <c r="N437" s="67">
        <f t="shared" ref="N437:N441" si="41">M437*L437</f>
        <v>5553.9</v>
      </c>
      <c r="O437" s="324"/>
      <c r="P437" s="387"/>
    </row>
    <row r="438" ht="12.75" customHeight="1">
      <c r="A438" s="322"/>
      <c r="B438" s="75"/>
      <c r="C438" s="370"/>
      <c r="D438" s="371"/>
      <c r="E438" s="67">
        <f t="shared" si="40"/>
        <v>0</v>
      </c>
      <c r="F438" s="324"/>
      <c r="G438" s="324"/>
      <c r="H438" s="387"/>
      <c r="I438" s="387"/>
      <c r="J438" s="322"/>
      <c r="K438" s="437" t="s">
        <v>1139</v>
      </c>
      <c r="L438" s="370">
        <v>0.001</v>
      </c>
      <c r="M438" s="371"/>
      <c r="N438" s="67">
        <f t="shared" si="41"/>
        <v>0</v>
      </c>
      <c r="O438" s="324"/>
      <c r="P438" s="387"/>
    </row>
    <row r="439" ht="12.75" customHeight="1">
      <c r="A439" s="322"/>
      <c r="B439" s="75"/>
      <c r="C439" s="370"/>
      <c r="D439" s="371"/>
      <c r="E439" s="67">
        <f t="shared" si="40"/>
        <v>0</v>
      </c>
      <c r="F439" s="324"/>
      <c r="G439" s="324"/>
      <c r="H439" s="387"/>
      <c r="I439" s="387"/>
      <c r="J439" s="322"/>
      <c r="K439" s="75"/>
      <c r="L439" s="370"/>
      <c r="M439" s="371"/>
      <c r="N439" s="67">
        <f t="shared" si="41"/>
        <v>0</v>
      </c>
      <c r="O439" s="324"/>
      <c r="P439" s="387"/>
    </row>
    <row r="440" ht="12.75" customHeight="1">
      <c r="A440" s="322"/>
      <c r="B440" s="75"/>
      <c r="C440" s="346"/>
      <c r="D440" s="371"/>
      <c r="E440" s="67">
        <f t="shared" si="40"/>
        <v>0</v>
      </c>
      <c r="F440" s="324"/>
      <c r="G440" s="324"/>
      <c r="H440" s="387"/>
      <c r="I440" s="387"/>
      <c r="J440" s="322"/>
      <c r="K440" s="75"/>
      <c r="L440" s="346"/>
      <c r="M440" s="371"/>
      <c r="N440" s="67">
        <f t="shared" si="41"/>
        <v>0</v>
      </c>
      <c r="O440" s="324"/>
      <c r="P440" s="387"/>
    </row>
    <row r="441" ht="12.75" customHeight="1">
      <c r="A441" s="322"/>
      <c r="B441" s="75"/>
      <c r="C441" s="346"/>
      <c r="D441" s="371"/>
      <c r="E441" s="67">
        <f t="shared" si="40"/>
        <v>0</v>
      </c>
      <c r="F441" s="324"/>
      <c r="G441" s="324"/>
      <c r="H441" s="387"/>
      <c r="I441" s="387"/>
      <c r="J441" s="322"/>
      <c r="K441" s="75"/>
      <c r="L441" s="346"/>
      <c r="M441" s="371"/>
      <c r="N441" s="67">
        <f t="shared" si="41"/>
        <v>0</v>
      </c>
      <c r="O441" s="324"/>
      <c r="P441" s="387"/>
    </row>
    <row r="442" ht="12.75" customHeight="1">
      <c r="A442" s="322"/>
      <c r="B442" s="75"/>
      <c r="C442" s="346"/>
      <c r="D442" s="371"/>
      <c r="E442" s="443">
        <v>0.0</v>
      </c>
      <c r="F442" s="324"/>
      <c r="G442" s="324"/>
      <c r="H442" s="387"/>
      <c r="I442" s="387"/>
      <c r="J442" s="322"/>
      <c r="K442" s="75"/>
      <c r="L442" s="346"/>
      <c r="M442" s="371"/>
      <c r="N442" s="443">
        <v>0.0</v>
      </c>
      <c r="O442" s="324"/>
      <c r="P442" s="387"/>
    </row>
    <row r="443" ht="12.75" customHeight="1">
      <c r="A443" s="322"/>
      <c r="B443" s="348"/>
      <c r="C443" s="346"/>
      <c r="D443" s="371"/>
      <c r="E443" s="67">
        <f t="shared" ref="E443:E446" si="42">D443*C443</f>
        <v>0</v>
      </c>
      <c r="F443" s="324"/>
      <c r="G443" s="324"/>
      <c r="H443" s="387"/>
      <c r="I443" s="387"/>
      <c r="J443" s="322"/>
      <c r="K443" s="348"/>
      <c r="L443" s="346"/>
      <c r="M443" s="371"/>
      <c r="N443" s="67">
        <f t="shared" ref="N443:N446" si="43">M443*L443</f>
        <v>0</v>
      </c>
      <c r="O443" s="324"/>
      <c r="P443" s="387"/>
    </row>
    <row r="444" ht="12.75" customHeight="1">
      <c r="A444" s="322"/>
      <c r="B444" s="348"/>
      <c r="C444" s="346"/>
      <c r="D444" s="373"/>
      <c r="E444" s="67">
        <f t="shared" si="42"/>
        <v>0</v>
      </c>
      <c r="F444" s="324"/>
      <c r="G444" s="324"/>
      <c r="H444" s="387"/>
      <c r="I444" s="387"/>
      <c r="J444" s="322"/>
      <c r="K444" s="348"/>
      <c r="L444" s="346"/>
      <c r="M444" s="373"/>
      <c r="N444" s="67">
        <f t="shared" si="43"/>
        <v>0</v>
      </c>
      <c r="O444" s="324"/>
      <c r="P444" s="387"/>
    </row>
    <row r="445" ht="12.75" customHeight="1">
      <c r="A445" s="322"/>
      <c r="B445" s="348"/>
      <c r="C445" s="346"/>
      <c r="D445" s="373"/>
      <c r="E445" s="67">
        <f t="shared" si="42"/>
        <v>0</v>
      </c>
      <c r="F445" s="324"/>
      <c r="G445" s="324"/>
      <c r="H445" s="387"/>
      <c r="I445" s="387"/>
      <c r="J445" s="322"/>
      <c r="K445" s="348"/>
      <c r="L445" s="346"/>
      <c r="M445" s="373"/>
      <c r="N445" s="67">
        <f t="shared" si="43"/>
        <v>0</v>
      </c>
      <c r="O445" s="324"/>
      <c r="P445" s="387"/>
    </row>
    <row r="446" ht="12.75" customHeight="1">
      <c r="A446" s="322"/>
      <c r="B446" s="354"/>
      <c r="C446" s="355"/>
      <c r="D446" s="356"/>
      <c r="E446" s="67">
        <f t="shared" si="42"/>
        <v>0</v>
      </c>
      <c r="F446" s="324"/>
      <c r="G446" s="324"/>
      <c r="H446" s="387"/>
      <c r="I446" s="387"/>
      <c r="J446" s="322"/>
      <c r="K446" s="354"/>
      <c r="L446" s="355"/>
      <c r="M446" s="356"/>
      <c r="N446" s="67">
        <f t="shared" si="43"/>
        <v>0</v>
      </c>
      <c r="O446" s="324"/>
      <c r="P446" s="387"/>
    </row>
    <row r="447" ht="12.75" customHeight="1">
      <c r="A447" s="322"/>
      <c r="B447" s="362" t="s">
        <v>84</v>
      </c>
      <c r="C447" s="374"/>
      <c r="D447" s="374"/>
      <c r="E447" s="375">
        <f>IF(SUM(E437:E446)=0,"",SUM(E437:E446))</f>
        <v>1671.84</v>
      </c>
      <c r="F447" s="324"/>
      <c r="G447" s="324"/>
      <c r="H447" s="387"/>
      <c r="I447" s="387"/>
      <c r="J447" s="322"/>
      <c r="K447" s="362" t="s">
        <v>84</v>
      </c>
      <c r="L447" s="374"/>
      <c r="M447" s="374"/>
      <c r="N447" s="375">
        <f>IF(SUM(N437:N446)=0,"",SUM(N437:N446))</f>
        <v>5553.9</v>
      </c>
      <c r="O447" s="324"/>
      <c r="P447" s="387"/>
    </row>
    <row r="448" ht="12.75" customHeight="1">
      <c r="A448" s="322"/>
      <c r="B448" s="360"/>
      <c r="C448" s="360"/>
      <c r="D448" s="360"/>
      <c r="E448" s="361"/>
      <c r="F448" s="324"/>
      <c r="G448" s="324"/>
      <c r="H448" s="387"/>
      <c r="I448" s="387"/>
      <c r="J448" s="322"/>
      <c r="K448" s="360"/>
      <c r="L448" s="360"/>
      <c r="M448" s="360"/>
      <c r="N448" s="361"/>
      <c r="O448" s="324"/>
      <c r="P448" s="387"/>
    </row>
    <row r="449" ht="12.75" customHeight="1">
      <c r="A449" s="322"/>
      <c r="B449" s="34" t="s">
        <v>17</v>
      </c>
      <c r="C449" s="35"/>
      <c r="D449" s="35"/>
      <c r="E449" s="35"/>
      <c r="F449" s="324"/>
      <c r="G449" s="324"/>
      <c r="H449" s="387"/>
      <c r="I449" s="387"/>
      <c r="J449" s="322"/>
      <c r="K449" s="34" t="s">
        <v>17</v>
      </c>
      <c r="L449" s="35"/>
      <c r="M449" s="35"/>
      <c r="N449" s="35"/>
      <c r="O449" s="324"/>
      <c r="P449" s="387"/>
    </row>
    <row r="450" ht="12.75" customHeight="1">
      <c r="A450" s="322"/>
      <c r="B450" s="52" t="s">
        <v>42</v>
      </c>
      <c r="C450" s="54"/>
      <c r="D450" s="54"/>
      <c r="E450" s="56" t="s">
        <v>35</v>
      </c>
      <c r="F450" s="324"/>
      <c r="G450" s="324"/>
      <c r="H450" s="387"/>
      <c r="I450" s="387"/>
      <c r="J450" s="322"/>
      <c r="K450" s="52" t="s">
        <v>42</v>
      </c>
      <c r="L450" s="54"/>
      <c r="M450" s="54"/>
      <c r="N450" s="56" t="s">
        <v>35</v>
      </c>
      <c r="O450" s="324"/>
      <c r="P450" s="387"/>
    </row>
    <row r="451" ht="12.75" customHeight="1">
      <c r="A451" s="322"/>
      <c r="B451" s="60" t="s">
        <v>40</v>
      </c>
      <c r="C451" s="343">
        <f>'UTL COST'!$B$3</f>
        <v>369000</v>
      </c>
      <c r="D451" s="379">
        <f>'UTL COST'!$C$3</f>
        <v>0.0075</v>
      </c>
      <c r="E451" s="67">
        <f>'UTL COST'!$D$3</f>
        <v>2767.5</v>
      </c>
      <c r="F451" s="324"/>
      <c r="G451" s="324"/>
      <c r="H451" s="387"/>
      <c r="I451" s="387"/>
      <c r="J451" s="322"/>
      <c r="K451" s="60" t="s">
        <v>40</v>
      </c>
      <c r="L451" s="343">
        <f>'UTL COST'!$B$3</f>
        <v>369000</v>
      </c>
      <c r="M451" s="379">
        <f>'UTL COST'!$C$3</f>
        <v>0.0075</v>
      </c>
      <c r="N451" s="67">
        <f>'UTL COST'!$D$3</f>
        <v>2767.5</v>
      </c>
      <c r="O451" s="324"/>
      <c r="P451" s="387"/>
    </row>
    <row r="452" ht="12.75" customHeight="1">
      <c r="A452" s="322"/>
      <c r="B452" s="75" t="s">
        <v>51</v>
      </c>
      <c r="C452" s="371" t="str">
        <f>'UTL COST'!$B$4</f>
        <v>#REF!</v>
      </c>
      <c r="D452" s="382">
        <f>'UTL COST'!$C$4</f>
        <v>7000</v>
      </c>
      <c r="E452" s="67" t="str">
        <f>'UTL COST'!$D$4</f>
        <v>#REF!</v>
      </c>
      <c r="F452" s="324"/>
      <c r="G452" s="324"/>
      <c r="H452" s="387"/>
      <c r="I452" s="387"/>
      <c r="J452" s="322"/>
      <c r="K452" s="75" t="s">
        <v>51</v>
      </c>
      <c r="L452" s="371" t="str">
        <f>'UTL COST'!$B$4</f>
        <v>#REF!</v>
      </c>
      <c r="M452" s="382">
        <f>'UTL COST'!$C$4</f>
        <v>7000</v>
      </c>
      <c r="N452" s="67" t="str">
        <f>'UTL COST'!$D$4</f>
        <v>#REF!</v>
      </c>
      <c r="O452" s="324"/>
      <c r="P452" s="387"/>
    </row>
    <row r="453" ht="12.75" customHeight="1">
      <c r="A453" s="322"/>
      <c r="B453" s="75" t="s">
        <v>59</v>
      </c>
      <c r="C453" s="371" t="str">
        <f>'UTL COST'!$B$5</f>
        <v>#REF!</v>
      </c>
      <c r="D453" s="382">
        <f>'UTL COST'!$C$5</f>
        <v>45000</v>
      </c>
      <c r="E453" s="76" t="str">
        <f>'UTL COST'!$D$5</f>
        <v>#REF!</v>
      </c>
      <c r="F453" s="324"/>
      <c r="G453" s="324"/>
      <c r="H453" s="387"/>
      <c r="I453" s="387"/>
      <c r="J453" s="322"/>
      <c r="K453" s="75" t="s">
        <v>59</v>
      </c>
      <c r="L453" s="371" t="str">
        <f>'UTL COST'!$B$5</f>
        <v>#REF!</v>
      </c>
      <c r="M453" s="382">
        <f>'UTL COST'!$C$5</f>
        <v>45000</v>
      </c>
      <c r="N453" s="76" t="str">
        <f>'UTL COST'!$D$5</f>
        <v>#REF!</v>
      </c>
      <c r="O453" s="324"/>
      <c r="P453" s="387"/>
    </row>
    <row r="454" ht="12.75" customHeight="1">
      <c r="A454" s="322"/>
      <c r="B454" s="87" t="s">
        <v>78</v>
      </c>
      <c r="C454" s="371" t="str">
        <f>'UTL COST'!$B$6</f>
        <v>#REF!</v>
      </c>
      <c r="D454" s="383">
        <f>'UTL COST'!$C$6</f>
        <v>525</v>
      </c>
      <c r="E454" s="89">
        <v>0.1</v>
      </c>
      <c r="F454" s="324"/>
      <c r="G454" s="324"/>
      <c r="H454" s="387"/>
      <c r="I454" s="387"/>
      <c r="J454" s="322"/>
      <c r="K454" s="87" t="s">
        <v>78</v>
      </c>
      <c r="L454" s="371" t="str">
        <f>'UTL COST'!$B$6</f>
        <v>#REF!</v>
      </c>
      <c r="M454" s="383">
        <f>'UTL COST'!$C$6</f>
        <v>525</v>
      </c>
      <c r="N454" s="89">
        <v>0.1</v>
      </c>
      <c r="O454" s="324"/>
      <c r="P454" s="387"/>
    </row>
    <row r="455" ht="12.75" customHeight="1">
      <c r="A455" s="322"/>
      <c r="B455" s="34" t="s">
        <v>84</v>
      </c>
      <c r="C455" s="102"/>
      <c r="D455" s="102"/>
      <c r="E455" s="104" t="str">
        <f>IF(SUM(E451:E454)=0,"",SUM(E451:E454))</f>
        <v>#REF!</v>
      </c>
      <c r="F455" s="324"/>
      <c r="G455" s="324"/>
      <c r="H455" s="387"/>
      <c r="I455" s="387"/>
      <c r="J455" s="322"/>
      <c r="K455" s="34" t="s">
        <v>84</v>
      </c>
      <c r="L455" s="102"/>
      <c r="M455" s="102"/>
      <c r="N455" s="104" t="str">
        <f>IF(SUM(N451:N454)=0,"",SUM(N451:N454))</f>
        <v>#REF!</v>
      </c>
      <c r="O455" s="324"/>
      <c r="P455" s="387"/>
    </row>
    <row r="456" ht="12.75" customHeight="1">
      <c r="A456" s="322"/>
      <c r="B456" s="360"/>
      <c r="C456" s="360"/>
      <c r="D456" s="360"/>
      <c r="E456" s="361"/>
      <c r="F456" s="324"/>
      <c r="G456" s="324"/>
      <c r="H456" s="387"/>
      <c r="I456" s="387"/>
      <c r="J456" s="322"/>
      <c r="K456" s="360"/>
      <c r="L456" s="360"/>
      <c r="M456" s="360"/>
      <c r="N456" s="361"/>
      <c r="O456" s="324"/>
      <c r="P456" s="387"/>
    </row>
    <row r="457" ht="12.75" customHeight="1">
      <c r="A457" s="387"/>
      <c r="B457" s="387"/>
      <c r="C457" s="387"/>
      <c r="D457" s="387"/>
      <c r="E457" s="418"/>
      <c r="F457" s="387"/>
      <c r="G457" s="387"/>
      <c r="H457" s="387"/>
      <c r="I457" s="387"/>
      <c r="J457" s="387"/>
      <c r="K457" s="387"/>
      <c r="L457" s="387"/>
      <c r="M457" s="387"/>
      <c r="N457" s="387"/>
      <c r="O457" s="387"/>
      <c r="P457" s="387"/>
    </row>
    <row r="458" ht="12.75" customHeight="1">
      <c r="A458" s="387"/>
      <c r="B458" s="387"/>
      <c r="C458" s="387"/>
      <c r="D458" s="387"/>
      <c r="E458" s="418"/>
      <c r="F458" s="387"/>
      <c r="G458" s="387"/>
      <c r="H458" s="387"/>
      <c r="I458" s="387"/>
      <c r="J458" s="387"/>
      <c r="K458" s="387"/>
      <c r="L458" s="387"/>
      <c r="M458" s="387"/>
      <c r="N458" s="387"/>
      <c r="O458" s="387"/>
      <c r="P458" s="387"/>
    </row>
    <row r="459" ht="12.75" customHeight="1">
      <c r="A459" s="322"/>
      <c r="B459" s="322"/>
      <c r="C459" s="322"/>
      <c r="D459" s="322"/>
      <c r="E459" s="323"/>
      <c r="F459" s="324"/>
      <c r="G459" s="387"/>
      <c r="H459" s="387"/>
      <c r="I459" s="387"/>
      <c r="J459" s="322"/>
      <c r="K459" s="322"/>
      <c r="L459" s="322"/>
      <c r="M459" s="322"/>
      <c r="N459" s="323"/>
      <c r="O459" s="324"/>
      <c r="P459" s="387"/>
    </row>
    <row r="460" ht="12.75" customHeight="1">
      <c r="A460" s="322"/>
      <c r="B460" s="325"/>
      <c r="C460" s="322"/>
      <c r="D460" s="322"/>
      <c r="E460" s="323"/>
      <c r="F460" s="326"/>
      <c r="G460" s="387"/>
      <c r="H460" s="387"/>
      <c r="I460" s="387"/>
      <c r="J460" s="322"/>
      <c r="K460" s="325"/>
      <c r="L460" s="322"/>
      <c r="M460" s="322"/>
      <c r="N460" s="323"/>
      <c r="O460" s="326"/>
      <c r="P460" s="387"/>
    </row>
    <row r="461" ht="12.75" customHeight="1">
      <c r="A461" s="322"/>
      <c r="B461" s="327" t="s">
        <v>931</v>
      </c>
      <c r="C461" s="328" t="s">
        <v>149</v>
      </c>
      <c r="D461" s="329"/>
      <c r="E461" s="323"/>
      <c r="F461" s="326"/>
      <c r="G461" s="387"/>
      <c r="H461" s="387"/>
      <c r="I461" s="387"/>
      <c r="J461" s="322"/>
      <c r="K461" s="327" t="s">
        <v>931</v>
      </c>
      <c r="L461" s="328" t="s">
        <v>1125</v>
      </c>
      <c r="M461" s="329"/>
      <c r="N461" s="323"/>
      <c r="O461" s="326"/>
      <c r="P461" s="387"/>
    </row>
    <row r="462" ht="12.75" customHeight="1">
      <c r="A462" s="322"/>
      <c r="B462" s="325"/>
      <c r="C462" s="322"/>
      <c r="D462" s="322"/>
      <c r="E462" s="323"/>
      <c r="F462" s="326"/>
      <c r="G462" s="387"/>
      <c r="H462" s="387"/>
      <c r="I462" s="387"/>
      <c r="J462" s="322"/>
      <c r="K462" s="325"/>
      <c r="L462" s="322"/>
      <c r="M462" s="322"/>
      <c r="N462" s="323"/>
      <c r="O462" s="326"/>
      <c r="P462" s="387"/>
    </row>
    <row r="463" ht="12.75" customHeight="1">
      <c r="A463" s="322"/>
      <c r="B463" s="327" t="s">
        <v>935</v>
      </c>
      <c r="C463" s="331">
        <v>120000.0</v>
      </c>
      <c r="D463" s="329"/>
      <c r="E463" s="323"/>
      <c r="F463" s="326"/>
      <c r="G463" s="387"/>
      <c r="H463" s="387"/>
      <c r="I463" s="387"/>
      <c r="J463" s="322"/>
      <c r="K463" s="327" t="s">
        <v>935</v>
      </c>
      <c r="L463" s="331">
        <v>120000.0</v>
      </c>
      <c r="M463" s="329"/>
      <c r="N463" s="323"/>
      <c r="O463" s="326"/>
      <c r="P463" s="387"/>
    </row>
    <row r="464" ht="12.75" customHeight="1">
      <c r="A464" s="322"/>
      <c r="B464" s="327"/>
      <c r="C464" s="332"/>
      <c r="D464" s="332"/>
      <c r="E464" s="323"/>
      <c r="F464" s="326"/>
      <c r="G464" s="387"/>
      <c r="H464" s="387"/>
      <c r="I464" s="387"/>
      <c r="J464" s="322"/>
      <c r="K464" s="327"/>
      <c r="L464" s="332"/>
      <c r="M464" s="332"/>
      <c r="N464" s="323"/>
      <c r="O464" s="326"/>
      <c r="P464" s="387"/>
    </row>
    <row r="465" ht="12.75" customHeight="1">
      <c r="A465" s="322"/>
      <c r="B465" s="327" t="s">
        <v>939</v>
      </c>
      <c r="C465" s="333" t="str">
        <f>IF(SUM(E477,E492,E500)=0,"",SUM(E477,E492,E500))</f>
        <v>#REF!</v>
      </c>
      <c r="D465" s="321"/>
      <c r="E465" s="323"/>
      <c r="F465" s="326"/>
      <c r="G465" s="387"/>
      <c r="H465" s="387"/>
      <c r="I465" s="387"/>
      <c r="J465" s="322"/>
      <c r="K465" s="327" t="s">
        <v>939</v>
      </c>
      <c r="L465" s="333" t="str">
        <f>IF(SUM(N477,N492,N500)=0,"",SUM(N477,N492,N500))</f>
        <v>#REF!</v>
      </c>
      <c r="M465" s="321"/>
      <c r="N465" s="323"/>
      <c r="O465" s="326"/>
      <c r="P465" s="387"/>
    </row>
    <row r="466" ht="12.75" customHeight="1">
      <c r="A466" s="322"/>
      <c r="B466" s="327"/>
      <c r="C466" s="334"/>
      <c r="D466" s="334"/>
      <c r="E466" s="323"/>
      <c r="F466" s="326"/>
      <c r="G466" s="387"/>
      <c r="H466" s="387"/>
      <c r="I466" s="387"/>
      <c r="J466" s="322"/>
      <c r="K466" s="327"/>
      <c r="L466" s="334"/>
      <c r="M466" s="334"/>
      <c r="N466" s="323"/>
      <c r="O466" s="326"/>
      <c r="P466" s="387"/>
    </row>
    <row r="467" ht="12.75" customHeight="1">
      <c r="A467" s="322"/>
      <c r="B467" s="327" t="s">
        <v>946</v>
      </c>
      <c r="C467" s="335" t="str">
        <f>IF(C465="","",IF(ISBLANK(C463),"",C465/C463))</f>
        <v>#REF!</v>
      </c>
      <c r="D467" s="321"/>
      <c r="E467" s="323"/>
      <c r="F467" s="326"/>
      <c r="G467" s="387"/>
      <c r="H467" s="387"/>
      <c r="I467" s="387"/>
      <c r="J467" s="322"/>
      <c r="K467" s="327" t="s">
        <v>946</v>
      </c>
      <c r="L467" s="335" t="str">
        <f>IF(L465="","",IF(ISBLANK(L463),"",L465/L463))</f>
        <v>#REF!</v>
      </c>
      <c r="M467" s="321"/>
      <c r="N467" s="323"/>
      <c r="O467" s="326"/>
      <c r="P467" s="387"/>
    </row>
    <row r="468" ht="12.75" customHeight="1">
      <c r="A468" s="322"/>
      <c r="B468" s="327"/>
      <c r="C468" s="334"/>
      <c r="D468" s="334"/>
      <c r="E468" s="323"/>
      <c r="F468" s="326"/>
      <c r="G468" s="387"/>
      <c r="H468" s="387"/>
      <c r="I468" s="387"/>
      <c r="J468" s="322"/>
      <c r="K468" s="327"/>
      <c r="L468" s="334"/>
      <c r="M468" s="334"/>
      <c r="N468" s="323"/>
      <c r="O468" s="326"/>
      <c r="P468" s="387"/>
    </row>
    <row r="469" ht="12.75" customHeight="1">
      <c r="A469" s="322"/>
      <c r="B469" s="327" t="s">
        <v>950</v>
      </c>
      <c r="C469" s="333" t="str">
        <f>C463-C465</f>
        <v>#REF!</v>
      </c>
      <c r="D469" s="321"/>
      <c r="E469" s="323"/>
      <c r="F469" s="326"/>
      <c r="G469" s="387"/>
      <c r="H469" s="387"/>
      <c r="I469" s="387"/>
      <c r="J469" s="322"/>
      <c r="K469" s="327" t="s">
        <v>950</v>
      </c>
      <c r="L469" s="333" t="str">
        <f>L463-L465</f>
        <v>#REF!</v>
      </c>
      <c r="M469" s="321"/>
      <c r="N469" s="323"/>
      <c r="O469" s="326"/>
      <c r="P469" s="387"/>
    </row>
    <row r="470" ht="12.75" customHeight="1">
      <c r="A470" s="322"/>
      <c r="B470" s="322"/>
      <c r="C470" s="322"/>
      <c r="D470" s="322"/>
      <c r="E470" s="323"/>
      <c r="F470" s="324"/>
      <c r="G470" s="387"/>
      <c r="H470" s="387"/>
      <c r="I470" s="387"/>
      <c r="J470" s="322"/>
      <c r="K470" s="322"/>
      <c r="L470" s="322"/>
      <c r="M470" s="322"/>
      <c r="N470" s="323"/>
      <c r="O470" s="324"/>
      <c r="P470" s="387"/>
    </row>
    <row r="471" ht="12.75" customHeight="1">
      <c r="A471" s="322"/>
      <c r="B471" s="322"/>
      <c r="C471" s="322"/>
      <c r="D471" s="322"/>
      <c r="E471" s="337"/>
      <c r="F471" s="324"/>
      <c r="G471" s="387"/>
      <c r="H471" s="387"/>
      <c r="I471" s="387"/>
      <c r="J471" s="322"/>
      <c r="K471" s="322"/>
      <c r="L471" s="322"/>
      <c r="M471" s="322"/>
      <c r="N471" s="337"/>
      <c r="O471" s="324"/>
      <c r="P471" s="387"/>
    </row>
    <row r="472" ht="12.75" customHeight="1">
      <c r="A472" s="322"/>
      <c r="B472" s="338" t="s">
        <v>951</v>
      </c>
      <c r="C472" s="339"/>
      <c r="D472" s="339"/>
      <c r="E472" s="339"/>
      <c r="F472" s="324"/>
      <c r="G472" s="387"/>
      <c r="H472" s="387"/>
      <c r="I472" s="387"/>
      <c r="J472" s="322"/>
      <c r="K472" s="338" t="s">
        <v>951</v>
      </c>
      <c r="L472" s="339"/>
      <c r="M472" s="339"/>
      <c r="N472" s="339"/>
      <c r="O472" s="324"/>
      <c r="P472" s="387"/>
    </row>
    <row r="473" ht="12.75" customHeight="1">
      <c r="A473" s="322"/>
      <c r="B473" s="340" t="s">
        <v>953</v>
      </c>
      <c r="C473" s="341" t="s">
        <v>954</v>
      </c>
      <c r="D473" s="341" t="s">
        <v>955</v>
      </c>
      <c r="E473" s="341" t="s">
        <v>35</v>
      </c>
      <c r="F473" s="324"/>
      <c r="G473" s="387"/>
      <c r="H473" s="387"/>
      <c r="I473" s="387"/>
      <c r="J473" s="322"/>
      <c r="K473" s="340" t="s">
        <v>953</v>
      </c>
      <c r="L473" s="341" t="s">
        <v>954</v>
      </c>
      <c r="M473" s="341" t="s">
        <v>955</v>
      </c>
      <c r="N473" s="341" t="s">
        <v>35</v>
      </c>
      <c r="O473" s="324"/>
      <c r="P473" s="387"/>
    </row>
    <row r="474" ht="12.75" customHeight="1">
      <c r="A474" s="322"/>
      <c r="B474" s="60" t="s">
        <v>1152</v>
      </c>
      <c r="C474" s="342">
        <v>0.22</v>
      </c>
      <c r="D474" s="343">
        <f>'F&amp;B'!$F$71/10</f>
        <v>49104</v>
      </c>
      <c r="E474" s="67">
        <f t="shared" ref="E474:E476" si="44">IF(OR(ISBLANK(C474),ISBLANK(D474)),"",D474*C474)</f>
        <v>10802.88</v>
      </c>
      <c r="F474" s="324"/>
      <c r="G474" s="387"/>
      <c r="H474" s="387"/>
      <c r="I474" s="387"/>
      <c r="J474" s="322"/>
      <c r="K474" s="60" t="s">
        <v>1131</v>
      </c>
      <c r="L474" s="342">
        <v>0.25</v>
      </c>
      <c r="M474" s="343">
        <f>'F&amp;B'!$F$281</f>
        <v>5400</v>
      </c>
      <c r="N474" s="67">
        <f>M474*L474</f>
        <v>1350</v>
      </c>
      <c r="O474" s="324"/>
      <c r="P474" s="387"/>
    </row>
    <row r="475" ht="12.75" customHeight="1">
      <c r="A475" s="322"/>
      <c r="B475" s="437" t="s">
        <v>1132</v>
      </c>
      <c r="C475" s="405">
        <v>0.045</v>
      </c>
      <c r="D475" s="371">
        <f>SAUCES!$D$185</f>
        <v>170896.125</v>
      </c>
      <c r="E475" s="67">
        <f t="shared" si="44"/>
        <v>7690.325625</v>
      </c>
      <c r="F475" s="324"/>
      <c r="G475" s="387"/>
      <c r="H475" s="387"/>
      <c r="I475" s="387"/>
      <c r="J475" s="322"/>
      <c r="K475" s="437" t="s">
        <v>1132</v>
      </c>
      <c r="L475" s="370">
        <v>0.01</v>
      </c>
      <c r="M475" s="371">
        <f>SAUCES!$D$185</f>
        <v>170896.125</v>
      </c>
      <c r="N475" s="67">
        <f>IF(OR(ISBLANK(L475),ISBLANK(M475)),"",M475*L475)</f>
        <v>1708.96125</v>
      </c>
      <c r="O475" s="324"/>
      <c r="P475" s="387"/>
    </row>
    <row r="476" ht="12.75" customHeight="1">
      <c r="A476" s="322"/>
      <c r="B476" s="87" t="s">
        <v>60</v>
      </c>
      <c r="C476" s="412">
        <v>0.03</v>
      </c>
      <c r="D476" s="408">
        <f>'F&amp;B'!$F$103</f>
        <v>148500</v>
      </c>
      <c r="E476" s="67">
        <f t="shared" si="44"/>
        <v>4455</v>
      </c>
      <c r="F476" s="324"/>
      <c r="G476" s="387"/>
      <c r="H476" s="387"/>
      <c r="I476" s="387"/>
      <c r="J476" s="322"/>
      <c r="K476" s="87" t="s">
        <v>850</v>
      </c>
      <c r="L476" s="412">
        <v>0.08</v>
      </c>
      <c r="M476" s="371">
        <f>$M$63</f>
        <v>63000</v>
      </c>
      <c r="N476" s="67">
        <f>M476*L476</f>
        <v>5040</v>
      </c>
      <c r="O476" s="324"/>
      <c r="P476" s="387"/>
    </row>
    <row r="477" ht="12.75" customHeight="1">
      <c r="A477" s="322"/>
      <c r="B477" s="338" t="s">
        <v>84</v>
      </c>
      <c r="C477" s="358"/>
      <c r="D477" s="358"/>
      <c r="E477" s="359">
        <f>IF(SUM(E474:E476)=0,"",SUM(E474:E476))</f>
        <v>22948.20563</v>
      </c>
      <c r="F477" s="324"/>
      <c r="G477" s="387"/>
      <c r="H477" s="387"/>
      <c r="I477" s="387"/>
      <c r="J477" s="322"/>
      <c r="K477" s="338" t="s">
        <v>84</v>
      </c>
      <c r="L477" s="358"/>
      <c r="M477" s="358"/>
      <c r="N477" s="359">
        <f>IF(SUM(N474:N476)=0,"",SUM(N474:N476))</f>
        <v>8098.96125</v>
      </c>
      <c r="O477" s="324"/>
      <c r="P477" s="387"/>
    </row>
    <row r="478" ht="12.75" customHeight="1">
      <c r="A478" s="322"/>
      <c r="B478" s="360"/>
      <c r="C478" s="360"/>
      <c r="D478" s="360"/>
      <c r="E478" s="361"/>
      <c r="F478" s="324"/>
      <c r="G478" s="387"/>
      <c r="H478" s="387"/>
      <c r="I478" s="387"/>
      <c r="J478" s="322"/>
      <c r="K478" s="360"/>
      <c r="L478" s="360"/>
      <c r="M478" s="360"/>
      <c r="N478" s="361"/>
      <c r="O478" s="324"/>
      <c r="P478" s="387"/>
    </row>
    <row r="479" ht="12.75" customHeight="1">
      <c r="A479" s="322"/>
      <c r="B479" s="362" t="s">
        <v>972</v>
      </c>
      <c r="C479" s="363"/>
      <c r="D479" s="363"/>
      <c r="E479" s="363"/>
      <c r="F479" s="324"/>
      <c r="G479" s="387"/>
      <c r="H479" s="387"/>
      <c r="I479" s="387"/>
      <c r="J479" s="322"/>
      <c r="K479" s="362" t="s">
        <v>972</v>
      </c>
      <c r="L479" s="363"/>
      <c r="M479" s="363"/>
      <c r="N479" s="363"/>
      <c r="O479" s="324"/>
      <c r="P479" s="387"/>
    </row>
    <row r="480" ht="12.75" customHeight="1">
      <c r="A480" s="322"/>
      <c r="B480" s="365" t="s">
        <v>953</v>
      </c>
      <c r="C480" s="366" t="s">
        <v>3</v>
      </c>
      <c r="D480" s="366" t="s">
        <v>975</v>
      </c>
      <c r="E480" s="367" t="s">
        <v>35</v>
      </c>
      <c r="F480" s="324"/>
      <c r="G480" s="387"/>
      <c r="H480" s="387"/>
      <c r="I480" s="387"/>
      <c r="J480" s="322"/>
      <c r="K480" s="365" t="s">
        <v>953</v>
      </c>
      <c r="L480" s="366" t="s">
        <v>3</v>
      </c>
      <c r="M480" s="366" t="s">
        <v>975</v>
      </c>
      <c r="N480" s="367" t="s">
        <v>35</v>
      </c>
      <c r="O480" s="324"/>
      <c r="P480" s="387"/>
    </row>
    <row r="481" ht="12.75" customHeight="1">
      <c r="A481" s="322"/>
      <c r="B481" s="368"/>
      <c r="C481" s="366"/>
      <c r="D481" s="366"/>
      <c r="E481" s="368"/>
      <c r="F481" s="324"/>
      <c r="G481" s="387"/>
      <c r="H481" s="387"/>
      <c r="I481" s="387"/>
      <c r="J481" s="322"/>
      <c r="K481" s="368"/>
      <c r="L481" s="366"/>
      <c r="M481" s="366"/>
      <c r="N481" s="368"/>
      <c r="O481" s="324"/>
      <c r="P481" s="387"/>
    </row>
    <row r="482" ht="12.75" customHeight="1">
      <c r="A482" s="322"/>
      <c r="B482" s="60"/>
      <c r="C482" s="342"/>
      <c r="D482" s="343"/>
      <c r="E482" s="67">
        <f t="shared" ref="E482:E486" si="45">D482*C482</f>
        <v>0</v>
      </c>
      <c r="F482" s="324"/>
      <c r="G482" s="387"/>
      <c r="H482" s="387"/>
      <c r="I482" s="387"/>
      <c r="J482" s="322"/>
      <c r="K482" s="450" t="s">
        <v>1137</v>
      </c>
      <c r="L482" s="342">
        <v>0.015</v>
      </c>
      <c r="M482" s="343">
        <f>'F&amp;B'!$F$263*2.2</f>
        <v>370260</v>
      </c>
      <c r="N482" s="67">
        <f t="shared" ref="N482:N486" si="46">M482*L482</f>
        <v>5553.9</v>
      </c>
      <c r="O482" s="324"/>
      <c r="P482" s="387"/>
    </row>
    <row r="483" ht="12.75" customHeight="1">
      <c r="A483" s="322"/>
      <c r="B483" s="75"/>
      <c r="C483" s="370"/>
      <c r="D483" s="371"/>
      <c r="E483" s="67">
        <f t="shared" si="45"/>
        <v>0</v>
      </c>
      <c r="F483" s="324"/>
      <c r="G483" s="387"/>
      <c r="H483" s="387"/>
      <c r="I483" s="387"/>
      <c r="J483" s="322"/>
      <c r="K483" s="437" t="s">
        <v>1139</v>
      </c>
      <c r="L483" s="370">
        <v>0.001</v>
      </c>
      <c r="M483" s="371"/>
      <c r="N483" s="67">
        <f t="shared" si="46"/>
        <v>0</v>
      </c>
      <c r="O483" s="324"/>
      <c r="P483" s="387"/>
    </row>
    <row r="484" ht="12.75" customHeight="1">
      <c r="A484" s="322"/>
      <c r="B484" s="75"/>
      <c r="C484" s="370"/>
      <c r="D484" s="371"/>
      <c r="E484" s="67">
        <f t="shared" si="45"/>
        <v>0</v>
      </c>
      <c r="F484" s="324"/>
      <c r="G484" s="387"/>
      <c r="H484" s="387"/>
      <c r="I484" s="387"/>
      <c r="J484" s="322"/>
      <c r="K484" s="75"/>
      <c r="L484" s="370"/>
      <c r="M484" s="371"/>
      <c r="N484" s="67">
        <f t="shared" si="46"/>
        <v>0</v>
      </c>
      <c r="O484" s="324"/>
      <c r="P484" s="387"/>
    </row>
    <row r="485" ht="12.75" customHeight="1">
      <c r="A485" s="322"/>
      <c r="B485" s="75"/>
      <c r="C485" s="346"/>
      <c r="D485" s="371"/>
      <c r="E485" s="67">
        <f t="shared" si="45"/>
        <v>0</v>
      </c>
      <c r="F485" s="324"/>
      <c r="G485" s="387"/>
      <c r="H485" s="387"/>
      <c r="I485" s="387"/>
      <c r="J485" s="322"/>
      <c r="K485" s="75"/>
      <c r="L485" s="346"/>
      <c r="M485" s="371"/>
      <c r="N485" s="67">
        <f t="shared" si="46"/>
        <v>0</v>
      </c>
      <c r="O485" s="324"/>
      <c r="P485" s="387"/>
    </row>
    <row r="486" ht="12.75" customHeight="1">
      <c r="A486" s="322"/>
      <c r="B486" s="75"/>
      <c r="C486" s="346"/>
      <c r="D486" s="371"/>
      <c r="E486" s="67">
        <f t="shared" si="45"/>
        <v>0</v>
      </c>
      <c r="F486" s="324"/>
      <c r="G486" s="387"/>
      <c r="H486" s="387"/>
      <c r="I486" s="387"/>
      <c r="J486" s="322"/>
      <c r="K486" s="75"/>
      <c r="L486" s="346"/>
      <c r="M486" s="371"/>
      <c r="N486" s="67">
        <f t="shared" si="46"/>
        <v>0</v>
      </c>
      <c r="O486" s="324"/>
      <c r="P486" s="387"/>
    </row>
    <row r="487" ht="12.75" customHeight="1">
      <c r="A487" s="322"/>
      <c r="B487" s="75"/>
      <c r="C487" s="346"/>
      <c r="D487" s="371"/>
      <c r="E487" s="443">
        <v>0.0</v>
      </c>
      <c r="F487" s="324"/>
      <c r="G487" s="387"/>
      <c r="H487" s="387"/>
      <c r="I487" s="387"/>
      <c r="J487" s="322"/>
      <c r="K487" s="75"/>
      <c r="L487" s="346"/>
      <c r="M487" s="371"/>
      <c r="N487" s="443">
        <v>0.0</v>
      </c>
      <c r="O487" s="324"/>
      <c r="P487" s="387"/>
    </row>
    <row r="488" ht="12.75" customHeight="1">
      <c r="A488" s="322"/>
      <c r="B488" s="348"/>
      <c r="C488" s="346"/>
      <c r="D488" s="371"/>
      <c r="E488" s="67">
        <f t="shared" ref="E488:E491" si="47">D488*C488</f>
        <v>0</v>
      </c>
      <c r="F488" s="324"/>
      <c r="G488" s="387"/>
      <c r="H488" s="387"/>
      <c r="I488" s="387"/>
      <c r="J488" s="322"/>
      <c r="K488" s="348"/>
      <c r="L488" s="346"/>
      <c r="M488" s="371"/>
      <c r="N488" s="67">
        <f t="shared" ref="N488:N491" si="48">M488*L488</f>
        <v>0</v>
      </c>
      <c r="O488" s="324"/>
      <c r="P488" s="387"/>
    </row>
    <row r="489" ht="12.75" customHeight="1">
      <c r="A489" s="322"/>
      <c r="B489" s="348"/>
      <c r="C489" s="346"/>
      <c r="D489" s="373"/>
      <c r="E489" s="67">
        <f t="shared" si="47"/>
        <v>0</v>
      </c>
      <c r="F489" s="324"/>
      <c r="G489" s="387"/>
      <c r="H489" s="387"/>
      <c r="I489" s="387"/>
      <c r="J489" s="322"/>
      <c r="K489" s="348"/>
      <c r="L489" s="346"/>
      <c r="M489" s="373"/>
      <c r="N489" s="67">
        <f t="shared" si="48"/>
        <v>0</v>
      </c>
      <c r="O489" s="324"/>
      <c r="P489" s="387"/>
    </row>
    <row r="490" ht="12.75" customHeight="1">
      <c r="A490" s="322"/>
      <c r="B490" s="348"/>
      <c r="C490" s="346"/>
      <c r="D490" s="373"/>
      <c r="E490" s="67">
        <f t="shared" si="47"/>
        <v>0</v>
      </c>
      <c r="F490" s="324"/>
      <c r="G490" s="387"/>
      <c r="H490" s="387"/>
      <c r="I490" s="387"/>
      <c r="J490" s="322"/>
      <c r="K490" s="348"/>
      <c r="L490" s="346"/>
      <c r="M490" s="373"/>
      <c r="N490" s="67">
        <f t="shared" si="48"/>
        <v>0</v>
      </c>
      <c r="O490" s="324"/>
      <c r="P490" s="387"/>
    </row>
    <row r="491" ht="12.75" customHeight="1">
      <c r="A491" s="322"/>
      <c r="B491" s="354"/>
      <c r="C491" s="355"/>
      <c r="D491" s="356"/>
      <c r="E491" s="67">
        <f t="shared" si="47"/>
        <v>0</v>
      </c>
      <c r="F491" s="324"/>
      <c r="G491" s="387"/>
      <c r="H491" s="387"/>
      <c r="I491" s="387"/>
      <c r="J491" s="322"/>
      <c r="K491" s="354"/>
      <c r="L491" s="355"/>
      <c r="M491" s="356"/>
      <c r="N491" s="67">
        <f t="shared" si="48"/>
        <v>0</v>
      </c>
      <c r="O491" s="324"/>
      <c r="P491" s="387"/>
    </row>
    <row r="492" ht="12.75" customHeight="1">
      <c r="A492" s="322"/>
      <c r="B492" s="362" t="s">
        <v>84</v>
      </c>
      <c r="C492" s="374"/>
      <c r="D492" s="374"/>
      <c r="E492" s="375" t="str">
        <f>IF(SUM(E482:E491)=0,"",SUM(E482:E491))</f>
        <v/>
      </c>
      <c r="F492" s="324"/>
      <c r="G492" s="387"/>
      <c r="H492" s="387"/>
      <c r="I492" s="387"/>
      <c r="J492" s="322"/>
      <c r="K492" s="362" t="s">
        <v>84</v>
      </c>
      <c r="L492" s="374"/>
      <c r="M492" s="374"/>
      <c r="N492" s="375">
        <f>IF(SUM(N482:N491)=0,"",SUM(N482:N491))</f>
        <v>5553.9</v>
      </c>
      <c r="O492" s="324"/>
      <c r="P492" s="387"/>
    </row>
    <row r="493" ht="12.75" customHeight="1">
      <c r="A493" s="322"/>
      <c r="B493" s="360"/>
      <c r="C493" s="360"/>
      <c r="D493" s="360"/>
      <c r="E493" s="361"/>
      <c r="F493" s="324"/>
      <c r="G493" s="387"/>
      <c r="H493" s="387"/>
      <c r="I493" s="387"/>
      <c r="J493" s="322"/>
      <c r="K493" s="360"/>
      <c r="L493" s="360"/>
      <c r="M493" s="360"/>
      <c r="N493" s="361"/>
      <c r="O493" s="324"/>
      <c r="P493" s="387"/>
    </row>
    <row r="494" ht="12.75" customHeight="1">
      <c r="A494" s="322"/>
      <c r="B494" s="34" t="s">
        <v>17</v>
      </c>
      <c r="C494" s="35"/>
      <c r="D494" s="35"/>
      <c r="E494" s="35"/>
      <c r="F494" s="324"/>
      <c r="G494" s="387"/>
      <c r="H494" s="387"/>
      <c r="I494" s="387"/>
      <c r="J494" s="322"/>
      <c r="K494" s="34" t="s">
        <v>17</v>
      </c>
      <c r="L494" s="35"/>
      <c r="M494" s="35"/>
      <c r="N494" s="35"/>
      <c r="O494" s="324"/>
      <c r="P494" s="387"/>
    </row>
    <row r="495" ht="12.75" customHeight="1">
      <c r="A495" s="322"/>
      <c r="B495" s="52" t="s">
        <v>42</v>
      </c>
      <c r="C495" s="54"/>
      <c r="D495" s="54"/>
      <c r="E495" s="56" t="s">
        <v>35</v>
      </c>
      <c r="F495" s="324"/>
      <c r="G495" s="387"/>
      <c r="H495" s="387"/>
      <c r="I495" s="387"/>
      <c r="J495" s="322"/>
      <c r="K495" s="52" t="s">
        <v>42</v>
      </c>
      <c r="L495" s="54"/>
      <c r="M495" s="54"/>
      <c r="N495" s="56" t="s">
        <v>35</v>
      </c>
      <c r="O495" s="324"/>
      <c r="P495" s="387"/>
    </row>
    <row r="496" ht="12.75" customHeight="1">
      <c r="A496" s="322"/>
      <c r="B496" s="60" t="s">
        <v>40</v>
      </c>
      <c r="C496" s="343">
        <f>'UTL COST'!$B$3</f>
        <v>369000</v>
      </c>
      <c r="D496" s="379">
        <f>'UTL COST'!$C$3</f>
        <v>0.0075</v>
      </c>
      <c r="E496" s="67">
        <f>'UTL COST'!$D$3</f>
        <v>2767.5</v>
      </c>
      <c r="F496" s="324"/>
      <c r="G496" s="387"/>
      <c r="H496" s="387"/>
      <c r="I496" s="387"/>
      <c r="J496" s="322"/>
      <c r="K496" s="60" t="s">
        <v>40</v>
      </c>
      <c r="L496" s="343">
        <f>'UTL COST'!$B$3</f>
        <v>369000</v>
      </c>
      <c r="M496" s="379">
        <f>'UTL COST'!$C$3</f>
        <v>0.0075</v>
      </c>
      <c r="N496" s="67">
        <f>'UTL COST'!$D$3</f>
        <v>2767.5</v>
      </c>
      <c r="O496" s="324"/>
      <c r="P496" s="387"/>
    </row>
    <row r="497" ht="12.75" customHeight="1">
      <c r="A497" s="322"/>
      <c r="B497" s="75" t="s">
        <v>51</v>
      </c>
      <c r="C497" s="371" t="str">
        <f>'UTL COST'!$B$4</f>
        <v>#REF!</v>
      </c>
      <c r="D497" s="382">
        <f>'UTL COST'!$C$4</f>
        <v>7000</v>
      </c>
      <c r="E497" s="67" t="str">
        <f>'UTL COST'!$D$4</f>
        <v>#REF!</v>
      </c>
      <c r="F497" s="324"/>
      <c r="G497" s="387"/>
      <c r="H497" s="387"/>
      <c r="I497" s="387"/>
      <c r="J497" s="322"/>
      <c r="K497" s="75" t="s">
        <v>51</v>
      </c>
      <c r="L497" s="371" t="str">
        <f>'UTL COST'!$B$4</f>
        <v>#REF!</v>
      </c>
      <c r="M497" s="382">
        <f>'UTL COST'!$C$4</f>
        <v>7000</v>
      </c>
      <c r="N497" s="67" t="str">
        <f>'UTL COST'!$D$4</f>
        <v>#REF!</v>
      </c>
      <c r="O497" s="324"/>
      <c r="P497" s="387"/>
    </row>
    <row r="498" ht="12.75" customHeight="1">
      <c r="A498" s="322"/>
      <c r="B498" s="75" t="s">
        <v>59</v>
      </c>
      <c r="C498" s="371" t="str">
        <f>'UTL COST'!$B$5</f>
        <v>#REF!</v>
      </c>
      <c r="D498" s="382">
        <f>'UTL COST'!$C$5</f>
        <v>45000</v>
      </c>
      <c r="E498" s="76" t="str">
        <f>'UTL COST'!$D$5</f>
        <v>#REF!</v>
      </c>
      <c r="F498" s="324"/>
      <c r="G498" s="387"/>
      <c r="H498" s="387"/>
      <c r="I498" s="387"/>
      <c r="J498" s="322"/>
      <c r="K498" s="75" t="s">
        <v>59</v>
      </c>
      <c r="L498" s="371" t="str">
        <f>'UTL COST'!$B$5</f>
        <v>#REF!</v>
      </c>
      <c r="M498" s="382">
        <f>'UTL COST'!$C$5</f>
        <v>45000</v>
      </c>
      <c r="N498" s="76" t="str">
        <f>'UTL COST'!$D$5</f>
        <v>#REF!</v>
      </c>
      <c r="O498" s="324"/>
      <c r="P498" s="387"/>
    </row>
    <row r="499" ht="12.75" customHeight="1">
      <c r="A499" s="322"/>
      <c r="B499" s="87" t="s">
        <v>78</v>
      </c>
      <c r="C499" s="371" t="str">
        <f>'UTL COST'!$B$6</f>
        <v>#REF!</v>
      </c>
      <c r="D499" s="383">
        <f>'UTL COST'!$C$6</f>
        <v>525</v>
      </c>
      <c r="E499" s="89">
        <v>0.1</v>
      </c>
      <c r="F499" s="324"/>
      <c r="G499" s="387"/>
      <c r="H499" s="387"/>
      <c r="I499" s="387"/>
      <c r="J499" s="322"/>
      <c r="K499" s="87" t="s">
        <v>78</v>
      </c>
      <c r="L499" s="371" t="str">
        <f>'UTL COST'!$B$6</f>
        <v>#REF!</v>
      </c>
      <c r="M499" s="383">
        <f>'UTL COST'!$C$6</f>
        <v>525</v>
      </c>
      <c r="N499" s="89">
        <v>0.1</v>
      </c>
      <c r="O499" s="324"/>
      <c r="P499" s="387"/>
    </row>
    <row r="500" ht="12.75" customHeight="1">
      <c r="A500" s="322"/>
      <c r="B500" s="34" t="s">
        <v>84</v>
      </c>
      <c r="C500" s="102"/>
      <c r="D500" s="102"/>
      <c r="E500" s="104" t="str">
        <f>IF(SUM(E496:E499)=0,"",SUM(E496:E499))</f>
        <v>#REF!</v>
      </c>
      <c r="F500" s="324"/>
      <c r="G500" s="387"/>
      <c r="H500" s="387"/>
      <c r="I500" s="387"/>
      <c r="J500" s="322"/>
      <c r="K500" s="34" t="s">
        <v>84</v>
      </c>
      <c r="L500" s="102"/>
      <c r="M500" s="102"/>
      <c r="N500" s="104" t="str">
        <f>IF(SUM(N496:N499)=0,"",SUM(N496:N499))</f>
        <v>#REF!</v>
      </c>
      <c r="O500" s="324"/>
      <c r="P500" s="387"/>
    </row>
    <row r="501" ht="12.75" customHeight="1">
      <c r="A501" s="322"/>
      <c r="B501" s="360"/>
      <c r="C501" s="360"/>
      <c r="D501" s="360"/>
      <c r="E501" s="361"/>
      <c r="F501" s="324"/>
      <c r="G501" s="387"/>
      <c r="H501" s="387"/>
      <c r="I501" s="387"/>
      <c r="J501" s="322"/>
      <c r="K501" s="360"/>
      <c r="L501" s="360"/>
      <c r="M501" s="360"/>
      <c r="N501" s="361"/>
      <c r="O501" s="324"/>
      <c r="P501" s="387"/>
    </row>
    <row r="502" ht="12.75" customHeight="1">
      <c r="A502" s="387"/>
      <c r="B502" s="387"/>
      <c r="C502" s="387"/>
      <c r="D502" s="387"/>
      <c r="E502" s="387"/>
      <c r="F502" s="387"/>
      <c r="G502" s="387"/>
      <c r="H502" s="387"/>
      <c r="I502" s="387"/>
      <c r="J502" s="387"/>
      <c r="K502" s="387"/>
      <c r="L502" s="387"/>
      <c r="M502" s="387"/>
      <c r="N502" s="418"/>
      <c r="O502" s="387"/>
      <c r="P502" s="387"/>
    </row>
    <row r="503" ht="12.75" customHeight="1">
      <c r="A503" s="387"/>
      <c r="B503" s="387"/>
      <c r="C503" s="387"/>
      <c r="D503" s="387"/>
      <c r="E503" s="387"/>
      <c r="F503" s="387"/>
      <c r="G503" s="387"/>
      <c r="H503" s="387"/>
      <c r="I503" s="387"/>
      <c r="J503" s="387"/>
      <c r="K503" s="387"/>
      <c r="L503" s="387"/>
      <c r="M503" s="387"/>
      <c r="N503" s="418"/>
      <c r="O503" s="387"/>
      <c r="P503" s="387"/>
    </row>
    <row r="504" ht="12.75" customHeight="1">
      <c r="A504" s="453"/>
      <c r="B504" s="322"/>
      <c r="C504" s="322"/>
      <c r="D504" s="322"/>
      <c r="E504" s="323"/>
      <c r="F504" s="324"/>
      <c r="G504" s="387"/>
      <c r="H504" s="387"/>
      <c r="I504" s="387"/>
      <c r="J504" s="322"/>
      <c r="K504" s="322"/>
      <c r="L504" s="322"/>
      <c r="M504" s="322"/>
      <c r="N504" s="323"/>
      <c r="O504" s="324"/>
      <c r="P504" s="387"/>
    </row>
    <row r="505" ht="12.75" customHeight="1">
      <c r="A505" s="322"/>
      <c r="B505" s="325"/>
      <c r="C505" s="322"/>
      <c r="D505" s="322"/>
      <c r="E505" s="323"/>
      <c r="F505" s="326"/>
      <c r="G505" s="387"/>
      <c r="H505" s="387"/>
      <c r="I505" s="387"/>
      <c r="J505" s="322"/>
      <c r="K505" s="325"/>
      <c r="L505" s="322"/>
      <c r="M505" s="322"/>
      <c r="N505" s="323"/>
      <c r="O505" s="326"/>
      <c r="P505" s="387"/>
    </row>
    <row r="506" ht="12.75" customHeight="1">
      <c r="A506" s="322"/>
      <c r="B506" s="327" t="s">
        <v>931</v>
      </c>
      <c r="C506" s="328" t="s">
        <v>183</v>
      </c>
      <c r="D506" s="329"/>
      <c r="E506" s="323"/>
      <c r="F506" s="326"/>
      <c r="G506" s="387"/>
      <c r="H506" s="387"/>
      <c r="I506" s="387"/>
      <c r="J506" s="322"/>
      <c r="K506" s="327" t="s">
        <v>931</v>
      </c>
      <c r="L506" s="328" t="s">
        <v>1158</v>
      </c>
      <c r="M506" s="329"/>
      <c r="N506" s="323"/>
      <c r="O506" s="326"/>
      <c r="P506" s="387"/>
    </row>
    <row r="507" ht="12.75" customHeight="1">
      <c r="A507" s="322"/>
      <c r="B507" s="325"/>
      <c r="C507" s="322"/>
      <c r="D507" s="322"/>
      <c r="E507" s="323"/>
      <c r="F507" s="326"/>
      <c r="G507" s="387"/>
      <c r="H507" s="387"/>
      <c r="I507" s="387"/>
      <c r="J507" s="322"/>
      <c r="K507" s="325"/>
      <c r="L507" s="322"/>
      <c r="M507" s="322"/>
      <c r="N507" s="323"/>
      <c r="O507" s="326"/>
      <c r="P507" s="387"/>
    </row>
    <row r="508" ht="12.75" customHeight="1">
      <c r="A508" s="322"/>
      <c r="B508" s="327" t="s">
        <v>935</v>
      </c>
      <c r="C508" s="331">
        <v>850000.0</v>
      </c>
      <c r="D508" s="329"/>
      <c r="E508" s="323"/>
      <c r="F508" s="326"/>
      <c r="G508" s="387"/>
      <c r="H508" s="387"/>
      <c r="I508" s="387"/>
      <c r="J508" s="322"/>
      <c r="K508" s="327" t="s">
        <v>935</v>
      </c>
      <c r="L508" s="331">
        <v>120000.0</v>
      </c>
      <c r="M508" s="329"/>
      <c r="N508" s="323"/>
      <c r="O508" s="326"/>
      <c r="P508" s="387"/>
    </row>
    <row r="509" ht="12.75" customHeight="1">
      <c r="A509" s="322"/>
      <c r="B509" s="327"/>
      <c r="C509" s="332"/>
      <c r="D509" s="332"/>
      <c r="E509" s="323"/>
      <c r="F509" s="326"/>
      <c r="G509" s="387"/>
      <c r="H509" s="387"/>
      <c r="I509" s="387"/>
      <c r="J509" s="322"/>
      <c r="K509" s="327"/>
      <c r="L509" s="332"/>
      <c r="M509" s="332"/>
      <c r="N509" s="323"/>
      <c r="O509" s="326"/>
      <c r="P509" s="387"/>
    </row>
    <row r="510" ht="12.75" customHeight="1">
      <c r="A510" s="322"/>
      <c r="B510" s="327" t="s">
        <v>939</v>
      </c>
      <c r="C510" s="333" t="str">
        <f>IF(SUM(E522,E537,E545)=0,"",SUM(E522,E537,E545))</f>
        <v>#REF!</v>
      </c>
      <c r="D510" s="321"/>
      <c r="E510" s="323"/>
      <c r="F510" s="326"/>
      <c r="G510" s="387"/>
      <c r="H510" s="387"/>
      <c r="I510" s="387"/>
      <c r="J510" s="322"/>
      <c r="K510" s="327" t="s">
        <v>939</v>
      </c>
      <c r="L510" s="333" t="str">
        <f>IF(SUM(N522,N537,N545)=0,"",SUM(N522,N537,N545))</f>
        <v>#REF!</v>
      </c>
      <c r="M510" s="321"/>
      <c r="N510" s="323"/>
      <c r="O510" s="326"/>
      <c r="P510" s="387"/>
    </row>
    <row r="511" ht="12.75" customHeight="1">
      <c r="A511" s="322"/>
      <c r="B511" s="327"/>
      <c r="C511" s="334"/>
      <c r="D511" s="334"/>
      <c r="E511" s="323"/>
      <c r="F511" s="326"/>
      <c r="G511" s="387"/>
      <c r="H511" s="387"/>
      <c r="I511" s="387"/>
      <c r="J511" s="322"/>
      <c r="K511" s="327"/>
      <c r="L511" s="334"/>
      <c r="M511" s="334"/>
      <c r="N511" s="323"/>
      <c r="O511" s="326"/>
      <c r="P511" s="387"/>
    </row>
    <row r="512" ht="12.75" customHeight="1">
      <c r="A512" s="322"/>
      <c r="B512" s="327" t="s">
        <v>946</v>
      </c>
      <c r="C512" s="335" t="str">
        <f>IF(C510="","",IF(ISBLANK(C508),"",C510/C508))</f>
        <v>#REF!</v>
      </c>
      <c r="D512" s="321"/>
      <c r="E512" s="323"/>
      <c r="F512" s="326"/>
      <c r="G512" s="387"/>
      <c r="H512" s="387"/>
      <c r="I512" s="387"/>
      <c r="J512" s="322"/>
      <c r="K512" s="327" t="s">
        <v>946</v>
      </c>
      <c r="L512" s="335" t="str">
        <f>IF(L510="","",IF(ISBLANK(L508),"",L510/L508))</f>
        <v>#REF!</v>
      </c>
      <c r="M512" s="321"/>
      <c r="N512" s="323"/>
      <c r="O512" s="326"/>
      <c r="P512" s="387"/>
    </row>
    <row r="513" ht="12.75" customHeight="1">
      <c r="A513" s="322"/>
      <c r="B513" s="327"/>
      <c r="C513" s="334"/>
      <c r="D513" s="334"/>
      <c r="E513" s="323"/>
      <c r="F513" s="326"/>
      <c r="G513" s="387"/>
      <c r="H513" s="387"/>
      <c r="I513" s="387"/>
      <c r="J513" s="322"/>
      <c r="K513" s="327"/>
      <c r="L513" s="334"/>
      <c r="M513" s="334"/>
      <c r="N513" s="323"/>
      <c r="O513" s="326"/>
      <c r="P513" s="387"/>
    </row>
    <row r="514" ht="12.75" customHeight="1">
      <c r="A514" s="322"/>
      <c r="B514" s="327" t="s">
        <v>950</v>
      </c>
      <c r="C514" s="333" t="str">
        <f>C508-C510</f>
        <v>#REF!</v>
      </c>
      <c r="D514" s="321"/>
      <c r="E514" s="323"/>
      <c r="F514" s="326"/>
      <c r="G514" s="387"/>
      <c r="H514" s="387"/>
      <c r="I514" s="387"/>
      <c r="J514" s="322"/>
      <c r="K514" s="327" t="s">
        <v>950</v>
      </c>
      <c r="L514" s="333" t="str">
        <f>L508-L510</f>
        <v>#REF!</v>
      </c>
      <c r="M514" s="321"/>
      <c r="N514" s="323"/>
      <c r="O514" s="326"/>
      <c r="P514" s="387"/>
    </row>
    <row r="515" ht="12.75" customHeight="1">
      <c r="A515" s="322"/>
      <c r="B515" s="322"/>
      <c r="C515" s="322"/>
      <c r="D515" s="322"/>
      <c r="E515" s="323"/>
      <c r="F515" s="324"/>
      <c r="G515" s="387"/>
      <c r="H515" s="387"/>
      <c r="I515" s="387"/>
      <c r="J515" s="322"/>
      <c r="K515" s="322"/>
      <c r="L515" s="322"/>
      <c r="M515" s="322"/>
      <c r="N515" s="323"/>
      <c r="O515" s="324"/>
      <c r="P515" s="387"/>
    </row>
    <row r="516" ht="12.75" customHeight="1">
      <c r="A516" s="322"/>
      <c r="B516" s="322"/>
      <c r="C516" s="322"/>
      <c r="D516" s="322"/>
      <c r="E516" s="337"/>
      <c r="F516" s="324"/>
      <c r="G516" s="387"/>
      <c r="H516" s="387"/>
      <c r="I516" s="387"/>
      <c r="J516" s="322"/>
      <c r="K516" s="322"/>
      <c r="L516" s="322"/>
      <c r="M516" s="322"/>
      <c r="N516" s="337"/>
      <c r="O516" s="324"/>
      <c r="P516" s="387"/>
    </row>
    <row r="517" ht="12.75" customHeight="1">
      <c r="A517" s="322"/>
      <c r="B517" s="338" t="s">
        <v>951</v>
      </c>
      <c r="C517" s="339"/>
      <c r="D517" s="339"/>
      <c r="E517" s="339"/>
      <c r="F517" s="324"/>
      <c r="G517" s="387"/>
      <c r="H517" s="387"/>
      <c r="I517" s="387"/>
      <c r="J517" s="322"/>
      <c r="K517" s="338" t="s">
        <v>951</v>
      </c>
      <c r="L517" s="339"/>
      <c r="M517" s="339"/>
      <c r="N517" s="339"/>
      <c r="O517" s="324"/>
      <c r="P517" s="387"/>
    </row>
    <row r="518" ht="12.75" customHeight="1">
      <c r="A518" s="322"/>
      <c r="B518" s="340" t="s">
        <v>953</v>
      </c>
      <c r="C518" s="341" t="s">
        <v>954</v>
      </c>
      <c r="D518" s="341" t="s">
        <v>955</v>
      </c>
      <c r="E518" s="341" t="s">
        <v>35</v>
      </c>
      <c r="F518" s="324"/>
      <c r="G518" s="387"/>
      <c r="H518" s="387"/>
      <c r="I518" s="387"/>
      <c r="J518" s="322"/>
      <c r="K518" s="340" t="s">
        <v>953</v>
      </c>
      <c r="L518" s="341" t="s">
        <v>954</v>
      </c>
      <c r="M518" s="341" t="s">
        <v>955</v>
      </c>
      <c r="N518" s="341" t="s">
        <v>35</v>
      </c>
      <c r="O518" s="324"/>
      <c r="P518" s="387"/>
    </row>
    <row r="519" ht="12.75" customHeight="1">
      <c r="A519" s="322"/>
      <c r="B519" s="60" t="s">
        <v>1152</v>
      </c>
      <c r="C519" s="342">
        <v>0.4</v>
      </c>
      <c r="D519" s="343">
        <f>'F&amp;B'!$F$71/10</f>
        <v>49104</v>
      </c>
      <c r="E519" s="67">
        <f t="shared" ref="E519:E521" si="49">IF(OR(ISBLANK(C519),ISBLANK(D519)),"",D519*C519)</f>
        <v>19641.6</v>
      </c>
      <c r="F519" s="324"/>
      <c r="G519" s="387"/>
      <c r="H519" s="387"/>
      <c r="I519" s="387"/>
      <c r="J519" s="322"/>
      <c r="K519" s="60" t="s">
        <v>1081</v>
      </c>
      <c r="L519" s="342">
        <v>0.22</v>
      </c>
      <c r="M519" s="343">
        <f>$M$248</f>
        <v>49104</v>
      </c>
      <c r="N519" s="67">
        <f t="shared" ref="N519:N521" si="50">IF(OR(ISBLANK(L519),ISBLANK(M519)),"",M519*L519)</f>
        <v>10802.88</v>
      </c>
      <c r="O519" s="324"/>
      <c r="P519" s="387"/>
    </row>
    <row r="520" ht="12.75" customHeight="1">
      <c r="A520" s="322"/>
      <c r="B520" s="75" t="s">
        <v>1081</v>
      </c>
      <c r="C520" s="370">
        <v>0.4</v>
      </c>
      <c r="D520" s="371">
        <f>D519</f>
        <v>49104</v>
      </c>
      <c r="E520" s="67">
        <f t="shared" si="49"/>
        <v>19641.6</v>
      </c>
      <c r="F520" s="324"/>
      <c r="G520" s="387"/>
      <c r="H520" s="387"/>
      <c r="I520" s="387"/>
      <c r="J520" s="322"/>
      <c r="K520" s="75" t="s">
        <v>1104</v>
      </c>
      <c r="L520" s="405">
        <v>0.05</v>
      </c>
      <c r="M520" s="371">
        <f>SAUCES!$D$185</f>
        <v>170896.125</v>
      </c>
      <c r="N520" s="67">
        <f t="shared" si="50"/>
        <v>8544.80625</v>
      </c>
      <c r="O520" s="324"/>
      <c r="P520" s="387"/>
    </row>
    <row r="521" ht="12.75" customHeight="1">
      <c r="A521" s="322"/>
      <c r="B521" s="87" t="s">
        <v>1161</v>
      </c>
      <c r="C521" s="412">
        <v>0.4</v>
      </c>
      <c r="D521" s="408">
        <f>M19</f>
        <v>19665</v>
      </c>
      <c r="E521" s="67">
        <f t="shared" si="49"/>
        <v>7866</v>
      </c>
      <c r="F521" s="324"/>
      <c r="G521" s="387"/>
      <c r="H521" s="387"/>
      <c r="I521" s="387"/>
      <c r="J521" s="322"/>
      <c r="K521" s="87" t="s">
        <v>60</v>
      </c>
      <c r="L521" s="412">
        <v>0.03</v>
      </c>
      <c r="M521" s="408">
        <f>'F&amp;B'!$F$103</f>
        <v>148500</v>
      </c>
      <c r="N521" s="67">
        <f t="shared" si="50"/>
        <v>4455</v>
      </c>
      <c r="O521" s="324"/>
      <c r="P521" s="387"/>
    </row>
    <row r="522" ht="12.75" customHeight="1">
      <c r="A522" s="322"/>
      <c r="B522" s="338" t="s">
        <v>84</v>
      </c>
      <c r="C522" s="358"/>
      <c r="D522" s="358"/>
      <c r="E522" s="359">
        <f>IF(SUM(E519:E521)=0,"",SUM(E519:E521))</f>
        <v>47149.2</v>
      </c>
      <c r="F522" s="324"/>
      <c r="G522" s="387"/>
      <c r="H522" s="387"/>
      <c r="I522" s="387"/>
      <c r="J522" s="322"/>
      <c r="K522" s="338" t="s">
        <v>84</v>
      </c>
      <c r="L522" s="358"/>
      <c r="M522" s="358"/>
      <c r="N522" s="359">
        <f>IF(SUM(N519:N521)=0,"",SUM(N519:N521))</f>
        <v>23802.68625</v>
      </c>
      <c r="O522" s="324"/>
      <c r="P522" s="387"/>
    </row>
    <row r="523" ht="12.75" customHeight="1">
      <c r="A523" s="322"/>
      <c r="B523" s="360"/>
      <c r="C523" s="360"/>
      <c r="D523" s="360"/>
      <c r="E523" s="361"/>
      <c r="F523" s="324"/>
      <c r="G523" s="387"/>
      <c r="H523" s="387"/>
      <c r="I523" s="387"/>
      <c r="J523" s="322"/>
      <c r="K523" s="360"/>
      <c r="L523" s="360"/>
      <c r="M523" s="360"/>
      <c r="N523" s="361"/>
      <c r="O523" s="324"/>
      <c r="P523" s="387"/>
    </row>
    <row r="524" ht="12.75" customHeight="1">
      <c r="A524" s="322"/>
      <c r="B524" s="362" t="s">
        <v>972</v>
      </c>
      <c r="C524" s="363"/>
      <c r="D524" s="363"/>
      <c r="E524" s="363"/>
      <c r="F524" s="324"/>
      <c r="G524" s="387"/>
      <c r="H524" s="387"/>
      <c r="I524" s="387"/>
      <c r="J524" s="322"/>
      <c r="K524" s="362" t="s">
        <v>972</v>
      </c>
      <c r="L524" s="363"/>
      <c r="M524" s="363"/>
      <c r="N524" s="363"/>
      <c r="O524" s="324"/>
      <c r="P524" s="387"/>
    </row>
    <row r="525" ht="12.75" customHeight="1">
      <c r="A525" s="322"/>
      <c r="B525" s="365" t="s">
        <v>953</v>
      </c>
      <c r="C525" s="366" t="s">
        <v>3</v>
      </c>
      <c r="D525" s="366" t="s">
        <v>975</v>
      </c>
      <c r="E525" s="367" t="s">
        <v>35</v>
      </c>
      <c r="F525" s="324"/>
      <c r="G525" s="387"/>
      <c r="H525" s="387"/>
      <c r="I525" s="387"/>
      <c r="J525" s="322"/>
      <c r="K525" s="365" t="s">
        <v>953</v>
      </c>
      <c r="L525" s="366" t="s">
        <v>3</v>
      </c>
      <c r="M525" s="366" t="s">
        <v>975</v>
      </c>
      <c r="N525" s="367" t="s">
        <v>35</v>
      </c>
      <c r="O525" s="324"/>
      <c r="P525" s="387"/>
    </row>
    <row r="526" ht="12.75" customHeight="1">
      <c r="A526" s="322"/>
      <c r="B526" s="368"/>
      <c r="C526" s="366"/>
      <c r="D526" s="366"/>
      <c r="E526" s="368"/>
      <c r="F526" s="324"/>
      <c r="G526" s="387"/>
      <c r="H526" s="387"/>
      <c r="I526" s="387"/>
      <c r="J526" s="322"/>
      <c r="K526" s="368"/>
      <c r="L526" s="366"/>
      <c r="M526" s="366"/>
      <c r="N526" s="368"/>
      <c r="O526" s="324"/>
      <c r="P526" s="387"/>
    </row>
    <row r="527" ht="12.75" customHeight="1">
      <c r="A527" s="322"/>
      <c r="B527" s="60" t="s">
        <v>1025</v>
      </c>
      <c r="C527" s="342">
        <v>0.05</v>
      </c>
      <c r="D527" s="343">
        <f>'F&amp;B'!$F$246/3.79</f>
        <v>56160.94987</v>
      </c>
      <c r="E527" s="67">
        <f t="shared" ref="E527:E528" si="51">D527*C527</f>
        <v>2808.047493</v>
      </c>
      <c r="F527" s="324"/>
      <c r="G527" s="387"/>
      <c r="H527" s="387"/>
      <c r="I527" s="387"/>
      <c r="J527" s="322"/>
      <c r="K527" s="450" t="s">
        <v>1137</v>
      </c>
      <c r="L527" s="342">
        <v>0.0</v>
      </c>
      <c r="M527" s="343">
        <f>'F&amp;B'!$F$263*2.2</f>
        <v>370260</v>
      </c>
      <c r="N527" s="67">
        <f t="shared" ref="N527:N531" si="52">M527*L527</f>
        <v>0</v>
      </c>
      <c r="O527" s="324"/>
      <c r="P527" s="387"/>
    </row>
    <row r="528" ht="12.75" customHeight="1">
      <c r="A528" s="322"/>
      <c r="B528" s="75" t="s">
        <v>1041</v>
      </c>
      <c r="C528" s="346">
        <v>11.0</v>
      </c>
      <c r="D528" s="371">
        <f>SAUCES!$D$133</f>
        <v>2010.930109</v>
      </c>
      <c r="E528" s="67">
        <f t="shared" si="51"/>
        <v>22120.2312</v>
      </c>
      <c r="F528" s="324"/>
      <c r="G528" s="387"/>
      <c r="H528" s="387"/>
      <c r="I528" s="387"/>
      <c r="J528" s="322"/>
      <c r="K528" s="437" t="s">
        <v>1139</v>
      </c>
      <c r="L528" s="370">
        <v>0.0</v>
      </c>
      <c r="M528" s="371"/>
      <c r="N528" s="67">
        <f t="shared" si="52"/>
        <v>0</v>
      </c>
      <c r="O528" s="324"/>
      <c r="P528" s="387"/>
    </row>
    <row r="529" ht="12.75" customHeight="1">
      <c r="A529" s="322"/>
      <c r="B529" s="60" t="s">
        <v>33</v>
      </c>
      <c r="C529" s="342">
        <v>0.4</v>
      </c>
      <c r="D529" s="343">
        <f>'F&amp;B'!$F$68/10</f>
        <v>19665</v>
      </c>
      <c r="E529" s="67">
        <f>IF(OR(ISBLANK(C529),ISBLANK(D529)),"",D529*C529)</f>
        <v>7866</v>
      </c>
      <c r="F529" s="324"/>
      <c r="G529" s="387"/>
      <c r="H529" s="387"/>
      <c r="I529" s="387"/>
      <c r="J529" s="322"/>
      <c r="K529" s="75"/>
      <c r="L529" s="370"/>
      <c r="M529" s="371"/>
      <c r="N529" s="67">
        <f t="shared" si="52"/>
        <v>0</v>
      </c>
      <c r="O529" s="324"/>
      <c r="P529" s="387"/>
    </row>
    <row r="530" ht="12.75" customHeight="1">
      <c r="A530" s="322"/>
      <c r="B530" s="75"/>
      <c r="C530" s="346"/>
      <c r="D530" s="371"/>
      <c r="E530" s="67">
        <f t="shared" ref="E530:E531" si="53">D530*C530</f>
        <v>0</v>
      </c>
      <c r="F530" s="324"/>
      <c r="G530" s="387"/>
      <c r="H530" s="387"/>
      <c r="I530" s="387"/>
      <c r="J530" s="322"/>
      <c r="K530" s="75"/>
      <c r="L530" s="346"/>
      <c r="M530" s="371"/>
      <c r="N530" s="67">
        <f t="shared" si="52"/>
        <v>0</v>
      </c>
      <c r="O530" s="324"/>
      <c r="P530" s="387"/>
    </row>
    <row r="531" ht="12.75" customHeight="1">
      <c r="A531" s="322"/>
      <c r="B531" s="75"/>
      <c r="C531" s="346"/>
      <c r="D531" s="371"/>
      <c r="E531" s="67">
        <f t="shared" si="53"/>
        <v>0</v>
      </c>
      <c r="F531" s="324"/>
      <c r="G531" s="387"/>
      <c r="H531" s="387"/>
      <c r="I531" s="387"/>
      <c r="J531" s="322"/>
      <c r="K531" s="75"/>
      <c r="L531" s="346"/>
      <c r="M531" s="371"/>
      <c r="N531" s="67">
        <f t="shared" si="52"/>
        <v>0</v>
      </c>
      <c r="O531" s="324"/>
      <c r="P531" s="387"/>
    </row>
    <row r="532" ht="12.75" customHeight="1">
      <c r="A532" s="322"/>
      <c r="B532" s="75"/>
      <c r="C532" s="346"/>
      <c r="D532" s="371"/>
      <c r="E532" s="443">
        <v>0.0</v>
      </c>
      <c r="F532" s="324"/>
      <c r="G532" s="387"/>
      <c r="H532" s="387"/>
      <c r="I532" s="387"/>
      <c r="J532" s="322"/>
      <c r="K532" s="75"/>
      <c r="L532" s="346"/>
      <c r="M532" s="371"/>
      <c r="N532" s="443">
        <v>0.0</v>
      </c>
      <c r="O532" s="324"/>
      <c r="P532" s="387"/>
    </row>
    <row r="533" ht="12.75" customHeight="1">
      <c r="A533" s="322"/>
      <c r="B533" s="348"/>
      <c r="C533" s="346"/>
      <c r="D533" s="371"/>
      <c r="E533" s="67">
        <f t="shared" ref="E533:E536" si="54">D533*C533</f>
        <v>0</v>
      </c>
      <c r="F533" s="324"/>
      <c r="G533" s="387"/>
      <c r="H533" s="387"/>
      <c r="I533" s="387"/>
      <c r="J533" s="322"/>
      <c r="K533" s="348"/>
      <c r="L533" s="346"/>
      <c r="M533" s="371"/>
      <c r="N533" s="67">
        <f t="shared" ref="N533:N536" si="55">M533*L533</f>
        <v>0</v>
      </c>
      <c r="O533" s="324"/>
      <c r="P533" s="387"/>
    </row>
    <row r="534" ht="12.75" customHeight="1">
      <c r="A534" s="322"/>
      <c r="B534" s="348"/>
      <c r="C534" s="346"/>
      <c r="D534" s="373"/>
      <c r="E534" s="67">
        <f t="shared" si="54"/>
        <v>0</v>
      </c>
      <c r="F534" s="324"/>
      <c r="G534" s="387"/>
      <c r="H534" s="387"/>
      <c r="I534" s="387"/>
      <c r="J534" s="322"/>
      <c r="K534" s="348"/>
      <c r="L534" s="346"/>
      <c r="M534" s="373"/>
      <c r="N534" s="67">
        <f t="shared" si="55"/>
        <v>0</v>
      </c>
      <c r="O534" s="324"/>
      <c r="P534" s="387"/>
    </row>
    <row r="535" ht="12.75" customHeight="1">
      <c r="A535" s="322"/>
      <c r="B535" s="348"/>
      <c r="C535" s="346"/>
      <c r="D535" s="373"/>
      <c r="E535" s="67">
        <f t="shared" si="54"/>
        <v>0</v>
      </c>
      <c r="F535" s="324"/>
      <c r="G535" s="387"/>
      <c r="H535" s="387"/>
      <c r="I535" s="387"/>
      <c r="J535" s="322"/>
      <c r="K535" s="348"/>
      <c r="L535" s="346"/>
      <c r="M535" s="373"/>
      <c r="N535" s="67">
        <f t="shared" si="55"/>
        <v>0</v>
      </c>
      <c r="O535" s="324"/>
      <c r="P535" s="387"/>
    </row>
    <row r="536" ht="12.75" customHeight="1">
      <c r="A536" s="322"/>
      <c r="B536" s="354"/>
      <c r="C536" s="355"/>
      <c r="D536" s="356"/>
      <c r="E536" s="67">
        <f t="shared" si="54"/>
        <v>0</v>
      </c>
      <c r="F536" s="324"/>
      <c r="G536" s="387"/>
      <c r="H536" s="387"/>
      <c r="I536" s="387"/>
      <c r="J536" s="322"/>
      <c r="K536" s="354"/>
      <c r="L536" s="355"/>
      <c r="M536" s="356"/>
      <c r="N536" s="67">
        <f t="shared" si="55"/>
        <v>0</v>
      </c>
      <c r="O536" s="324"/>
      <c r="P536" s="387"/>
    </row>
    <row r="537" ht="12.75" customHeight="1">
      <c r="A537" s="322"/>
      <c r="B537" s="362" t="s">
        <v>84</v>
      </c>
      <c r="C537" s="374"/>
      <c r="D537" s="374"/>
      <c r="E537" s="375">
        <f>IF(SUM(E527:E536)=0,"",SUM(E527:E536))</f>
        <v>32794.2787</v>
      </c>
      <c r="F537" s="324"/>
      <c r="G537" s="387"/>
      <c r="H537" s="387"/>
      <c r="I537" s="387"/>
      <c r="J537" s="322"/>
      <c r="K537" s="362" t="s">
        <v>84</v>
      </c>
      <c r="L537" s="374"/>
      <c r="M537" s="374"/>
      <c r="N537" s="375" t="str">
        <f>IF(SUM(N527:N536)=0,"",SUM(N527:N536))</f>
        <v/>
      </c>
      <c r="O537" s="324"/>
      <c r="P537" s="387"/>
    </row>
    <row r="538" ht="12.75" customHeight="1">
      <c r="A538" s="322"/>
      <c r="B538" s="360"/>
      <c r="C538" s="360"/>
      <c r="D538" s="360"/>
      <c r="E538" s="361"/>
      <c r="F538" s="324"/>
      <c r="G538" s="387"/>
      <c r="H538" s="387"/>
      <c r="I538" s="387"/>
      <c r="J538" s="322"/>
      <c r="K538" s="360"/>
      <c r="L538" s="360"/>
      <c r="M538" s="360"/>
      <c r="N538" s="361"/>
      <c r="O538" s="324"/>
      <c r="P538" s="387"/>
    </row>
    <row r="539" ht="12.75" customHeight="1">
      <c r="A539" s="322"/>
      <c r="B539" s="34" t="s">
        <v>17</v>
      </c>
      <c r="C539" s="35"/>
      <c r="D539" s="35"/>
      <c r="E539" s="35"/>
      <c r="F539" s="324"/>
      <c r="G539" s="387"/>
      <c r="H539" s="387"/>
      <c r="I539" s="387"/>
      <c r="J539" s="322"/>
      <c r="K539" s="34" t="s">
        <v>17</v>
      </c>
      <c r="L539" s="35"/>
      <c r="M539" s="35"/>
      <c r="N539" s="35"/>
      <c r="O539" s="324"/>
      <c r="P539" s="387"/>
    </row>
    <row r="540" ht="12.75" customHeight="1">
      <c r="A540" s="322"/>
      <c r="B540" s="52" t="s">
        <v>42</v>
      </c>
      <c r="C540" s="54"/>
      <c r="D540" s="54"/>
      <c r="E540" s="56" t="s">
        <v>35</v>
      </c>
      <c r="F540" s="324"/>
      <c r="G540" s="387"/>
      <c r="H540" s="387"/>
      <c r="I540" s="387"/>
      <c r="J540" s="322"/>
      <c r="K540" s="52" t="s">
        <v>42</v>
      </c>
      <c r="L540" s="54"/>
      <c r="M540" s="54"/>
      <c r="N540" s="56" t="s">
        <v>35</v>
      </c>
      <c r="O540" s="324"/>
      <c r="P540" s="387"/>
    </row>
    <row r="541" ht="12.75" customHeight="1">
      <c r="A541" s="322"/>
      <c r="B541" s="60" t="s">
        <v>40</v>
      </c>
      <c r="C541" s="343">
        <f>'UTL COST'!$B$3</f>
        <v>369000</v>
      </c>
      <c r="D541" s="379">
        <f>'UTL COST'!$C$3</f>
        <v>0.0075</v>
      </c>
      <c r="E541" s="67">
        <f>'UTL COST'!$D$3</f>
        <v>2767.5</v>
      </c>
      <c r="F541" s="324"/>
      <c r="G541" s="387"/>
      <c r="H541" s="387"/>
      <c r="I541" s="387"/>
      <c r="J541" s="322"/>
      <c r="K541" s="60" t="s">
        <v>40</v>
      </c>
      <c r="L541" s="343">
        <f>'UTL COST'!$B$3</f>
        <v>369000</v>
      </c>
      <c r="M541" s="379">
        <f>'UTL COST'!$C$3</f>
        <v>0.0075</v>
      </c>
      <c r="N541" s="67">
        <f>'UTL COST'!$D$3</f>
        <v>2767.5</v>
      </c>
      <c r="O541" s="324"/>
      <c r="P541" s="387"/>
    </row>
    <row r="542" ht="12.75" customHeight="1">
      <c r="A542" s="322"/>
      <c r="B542" s="75" t="s">
        <v>51</v>
      </c>
      <c r="C542" s="371" t="str">
        <f>'UTL COST'!$B$4</f>
        <v>#REF!</v>
      </c>
      <c r="D542" s="382">
        <f>'UTL COST'!$C$4</f>
        <v>7000</v>
      </c>
      <c r="E542" s="67" t="str">
        <f>'UTL COST'!$D$4</f>
        <v>#REF!</v>
      </c>
      <c r="F542" s="324"/>
      <c r="G542" s="387"/>
      <c r="H542" s="387"/>
      <c r="I542" s="387"/>
      <c r="J542" s="322"/>
      <c r="K542" s="75" t="s">
        <v>51</v>
      </c>
      <c r="L542" s="371" t="str">
        <f>'UTL COST'!$B$4</f>
        <v>#REF!</v>
      </c>
      <c r="M542" s="382">
        <f>'UTL COST'!$C$4</f>
        <v>7000</v>
      </c>
      <c r="N542" s="67" t="str">
        <f>'UTL COST'!$D$4</f>
        <v>#REF!</v>
      </c>
      <c r="O542" s="324"/>
      <c r="P542" s="387"/>
    </row>
    <row r="543" ht="12.75" customHeight="1">
      <c r="A543" s="322"/>
      <c r="B543" s="75" t="s">
        <v>59</v>
      </c>
      <c r="C543" s="371" t="str">
        <f>'UTL COST'!$B$5</f>
        <v>#REF!</v>
      </c>
      <c r="D543" s="382">
        <f>'UTL COST'!$C$5</f>
        <v>45000</v>
      </c>
      <c r="E543" s="76" t="str">
        <f>'UTL COST'!$D$5</f>
        <v>#REF!</v>
      </c>
      <c r="F543" s="324"/>
      <c r="G543" s="387"/>
      <c r="H543" s="387"/>
      <c r="I543" s="387"/>
      <c r="J543" s="322"/>
      <c r="K543" s="75" t="s">
        <v>59</v>
      </c>
      <c r="L543" s="371" t="str">
        <f>'UTL COST'!$B$5</f>
        <v>#REF!</v>
      </c>
      <c r="M543" s="382">
        <f>'UTL COST'!$C$5</f>
        <v>45000</v>
      </c>
      <c r="N543" s="76" t="str">
        <f>'UTL COST'!$D$5</f>
        <v>#REF!</v>
      </c>
      <c r="O543" s="324"/>
      <c r="P543" s="387"/>
    </row>
    <row r="544" ht="12.75" customHeight="1">
      <c r="A544" s="322"/>
      <c r="B544" s="87" t="s">
        <v>78</v>
      </c>
      <c r="C544" s="371" t="str">
        <f>'UTL COST'!$B$6</f>
        <v>#REF!</v>
      </c>
      <c r="D544" s="383">
        <f>'UTL COST'!$C$6</f>
        <v>525</v>
      </c>
      <c r="E544" s="89">
        <v>0.1</v>
      </c>
      <c r="F544" s="324"/>
      <c r="G544" s="387"/>
      <c r="H544" s="387"/>
      <c r="I544" s="387"/>
      <c r="J544" s="322"/>
      <c r="K544" s="87" t="s">
        <v>78</v>
      </c>
      <c r="L544" s="371" t="str">
        <f>'UTL COST'!$B$6</f>
        <v>#REF!</v>
      </c>
      <c r="M544" s="383">
        <f>'UTL COST'!$C$6</f>
        <v>525</v>
      </c>
      <c r="N544" s="89">
        <v>0.1</v>
      </c>
      <c r="O544" s="324"/>
      <c r="P544" s="387"/>
    </row>
    <row r="545" ht="12.75" customHeight="1">
      <c r="A545" s="322"/>
      <c r="B545" s="34" t="s">
        <v>84</v>
      </c>
      <c r="C545" s="102"/>
      <c r="D545" s="102"/>
      <c r="E545" s="104" t="str">
        <f>IF(SUM(E541:E544)=0,"",SUM(E541:E544))</f>
        <v>#REF!</v>
      </c>
      <c r="F545" s="324"/>
      <c r="G545" s="387"/>
      <c r="H545" s="387"/>
      <c r="I545" s="387"/>
      <c r="J545" s="322"/>
      <c r="K545" s="34" t="s">
        <v>84</v>
      </c>
      <c r="L545" s="102"/>
      <c r="M545" s="102"/>
      <c r="N545" s="104" t="str">
        <f>IF(SUM(N541:N544)=0,"",SUM(N541:N544))</f>
        <v>#REF!</v>
      </c>
      <c r="O545" s="324"/>
      <c r="P545" s="387"/>
    </row>
    <row r="546" ht="12.75" customHeight="1">
      <c r="A546" s="322"/>
      <c r="B546" s="360"/>
      <c r="C546" s="360"/>
      <c r="D546" s="360"/>
      <c r="E546" s="361"/>
      <c r="F546" s="324"/>
      <c r="G546" s="387"/>
      <c r="H546" s="387"/>
      <c r="I546" s="387"/>
      <c r="J546" s="322"/>
      <c r="K546" s="360"/>
      <c r="L546" s="360"/>
      <c r="M546" s="360"/>
      <c r="N546" s="361"/>
      <c r="O546" s="324"/>
      <c r="P546" s="387"/>
    </row>
    <row r="547" ht="15.75" customHeight="1"/>
    <row r="548" ht="15.75" customHeight="1">
      <c r="A548" s="453"/>
      <c r="B548" s="322"/>
      <c r="C548" s="322"/>
      <c r="D548" s="322"/>
      <c r="E548" s="323"/>
      <c r="F548" s="324"/>
      <c r="J548" s="453"/>
      <c r="K548" s="322"/>
      <c r="L548" s="322"/>
      <c r="M548" s="322"/>
      <c r="N548" s="323"/>
      <c r="O548" s="324"/>
    </row>
    <row r="549" ht="15.75" customHeight="1">
      <c r="A549" s="322"/>
      <c r="B549" s="325"/>
      <c r="C549" s="322"/>
      <c r="D549" s="322"/>
      <c r="E549" s="323"/>
      <c r="F549" s="326"/>
      <c r="J549" s="322"/>
      <c r="K549" s="325"/>
      <c r="L549" s="322"/>
      <c r="M549" s="322"/>
      <c r="N549" s="323"/>
      <c r="O549" s="326"/>
    </row>
    <row r="550" ht="15.75" customHeight="1">
      <c r="A550" s="322"/>
      <c r="B550" s="327" t="s">
        <v>931</v>
      </c>
      <c r="C550" s="330" t="s">
        <v>1171</v>
      </c>
      <c r="D550" s="329"/>
      <c r="E550" s="323"/>
      <c r="F550" s="326"/>
      <c r="J550" s="322"/>
      <c r="K550" s="327" t="s">
        <v>931</v>
      </c>
      <c r="L550" s="330" t="s">
        <v>1172</v>
      </c>
      <c r="M550" s="329"/>
      <c r="N550" s="323"/>
      <c r="O550" s="326"/>
    </row>
    <row r="551" ht="15.75" customHeight="1">
      <c r="A551" s="322"/>
      <c r="B551" s="325"/>
      <c r="C551" s="322"/>
      <c r="D551" s="322"/>
      <c r="E551" s="323"/>
      <c r="F551" s="326"/>
      <c r="J551" s="322"/>
      <c r="K551" s="325"/>
      <c r="L551" s="322"/>
      <c r="M551" s="322"/>
      <c r="N551" s="323"/>
      <c r="O551" s="326"/>
    </row>
    <row r="552" ht="15.75" customHeight="1">
      <c r="A552" s="322"/>
      <c r="B552" s="327" t="s">
        <v>935</v>
      </c>
      <c r="C552" s="331">
        <v>850000.0</v>
      </c>
      <c r="D552" s="329"/>
      <c r="E552" s="323">
        <f>C552/90000</f>
        <v>9.444444444</v>
      </c>
      <c r="F552" s="326"/>
      <c r="J552" s="322"/>
      <c r="K552" s="327" t="s">
        <v>935</v>
      </c>
      <c r="L552" s="440">
        <v>1100000.0</v>
      </c>
      <c r="M552" s="329"/>
      <c r="N552" s="323">
        <f>L552/90000</f>
        <v>12.22222222</v>
      </c>
      <c r="O552" s="326"/>
    </row>
    <row r="553" ht="15.75" customHeight="1">
      <c r="A553" s="322"/>
      <c r="B553" s="327"/>
      <c r="C553" s="332"/>
      <c r="D553" s="332"/>
      <c r="E553" s="323"/>
      <c r="F553" s="326"/>
      <c r="J553" s="322"/>
      <c r="K553" s="327"/>
      <c r="L553" s="332"/>
      <c r="M553" s="332"/>
      <c r="N553" s="323"/>
      <c r="O553" s="326"/>
    </row>
    <row r="554" ht="15.75" customHeight="1">
      <c r="A554" s="322"/>
      <c r="B554" s="327" t="s">
        <v>939</v>
      </c>
      <c r="C554" s="333" t="str">
        <f>IF(SUM(E566,E581,E589)=0,"",SUM(E566,E581,E589))</f>
        <v>#REF!</v>
      </c>
      <c r="D554" s="321"/>
      <c r="E554" s="323" t="str">
        <f>C554/90000</f>
        <v>#REF!</v>
      </c>
      <c r="F554" s="326"/>
      <c r="J554" s="322"/>
      <c r="K554" s="327" t="s">
        <v>939</v>
      </c>
      <c r="L554" s="333" t="str">
        <f>IF(SUM(N566,N581,N589)=0,"",SUM(N566,N581,N589))</f>
        <v>#REF!</v>
      </c>
      <c r="M554" s="321"/>
      <c r="N554" s="323" t="str">
        <f>L554/90000</f>
        <v>#REF!</v>
      </c>
      <c r="O554" s="326"/>
    </row>
    <row r="555" ht="15.75" customHeight="1">
      <c r="A555" s="322"/>
      <c r="B555" s="327"/>
      <c r="C555" s="334"/>
      <c r="D555" s="334"/>
      <c r="E555" s="323"/>
      <c r="F555" s="326"/>
      <c r="J555" s="322"/>
      <c r="K555" s="327"/>
      <c r="L555" s="334"/>
      <c r="M555" s="334"/>
      <c r="N555" s="323"/>
      <c r="O555" s="326"/>
    </row>
    <row r="556" ht="15.75" customHeight="1">
      <c r="A556" s="322"/>
      <c r="B556" s="327" t="s">
        <v>946</v>
      </c>
      <c r="C556" s="335" t="str">
        <f>IF(C554="","",IF(ISBLANK(C552),"",C554/C552))</f>
        <v>#REF!</v>
      </c>
      <c r="D556" s="321"/>
      <c r="E556" s="323"/>
      <c r="F556" s="326"/>
      <c r="J556" s="322"/>
      <c r="K556" s="327" t="s">
        <v>946</v>
      </c>
      <c r="L556" s="335" t="str">
        <f>IF(L554="","",IF(ISBLANK(L552),"",L554/L552))</f>
        <v>#REF!</v>
      </c>
      <c r="M556" s="321"/>
      <c r="N556" s="323"/>
      <c r="O556" s="326"/>
    </row>
    <row r="557" ht="15.75" customHeight="1">
      <c r="A557" s="322"/>
      <c r="B557" s="327"/>
      <c r="C557" s="334"/>
      <c r="D557" s="334"/>
      <c r="E557" s="323"/>
      <c r="F557" s="326"/>
      <c r="J557" s="322"/>
      <c r="K557" s="327"/>
      <c r="L557" s="334"/>
      <c r="M557" s="334"/>
      <c r="N557" s="323"/>
      <c r="O557" s="326"/>
    </row>
    <row r="558" ht="15.75" customHeight="1">
      <c r="A558" s="322"/>
      <c r="B558" s="327" t="s">
        <v>950</v>
      </c>
      <c r="C558" s="333" t="str">
        <f>C552-C554</f>
        <v>#REF!</v>
      </c>
      <c r="D558" s="321"/>
      <c r="E558" s="323"/>
      <c r="F558" s="326"/>
      <c r="J558" s="322"/>
      <c r="K558" s="327" t="s">
        <v>950</v>
      </c>
      <c r="L558" s="333" t="str">
        <f>L552-L554</f>
        <v>#REF!</v>
      </c>
      <c r="M558" s="321"/>
      <c r="N558" s="323"/>
      <c r="O558" s="326"/>
    </row>
    <row r="559" ht="15.75" customHeight="1">
      <c r="A559" s="322"/>
      <c r="B559" s="322"/>
      <c r="C559" s="322"/>
      <c r="D559" s="322"/>
      <c r="E559" s="323"/>
      <c r="F559" s="324"/>
      <c r="J559" s="322"/>
      <c r="K559" s="322"/>
      <c r="L559" s="322"/>
      <c r="M559" s="322"/>
      <c r="N559" s="323"/>
      <c r="O559" s="324"/>
    </row>
    <row r="560" ht="15.75" customHeight="1">
      <c r="A560" s="322"/>
      <c r="B560" s="322"/>
      <c r="C560" s="322"/>
      <c r="D560" s="322"/>
      <c r="E560" s="337"/>
      <c r="F560" s="324"/>
      <c r="J560" s="322"/>
      <c r="K560" s="322"/>
      <c r="L560" s="322"/>
      <c r="M560" s="322"/>
      <c r="N560" s="337"/>
      <c r="O560" s="324"/>
    </row>
    <row r="561" ht="15.75" customHeight="1">
      <c r="A561" s="322"/>
      <c r="B561" s="338" t="s">
        <v>951</v>
      </c>
      <c r="C561" s="339"/>
      <c r="D561" s="339"/>
      <c r="E561" s="339"/>
      <c r="F561" s="324"/>
      <c r="J561" s="322"/>
      <c r="K561" s="338" t="s">
        <v>951</v>
      </c>
      <c r="L561" s="339"/>
      <c r="M561" s="339"/>
      <c r="N561" s="339"/>
      <c r="O561" s="324"/>
    </row>
    <row r="562" ht="15.75" customHeight="1">
      <c r="A562" s="322"/>
      <c r="B562" s="340" t="s">
        <v>953</v>
      </c>
      <c r="C562" s="341" t="s">
        <v>954</v>
      </c>
      <c r="D562" s="341" t="s">
        <v>955</v>
      </c>
      <c r="E562" s="341" t="s">
        <v>35</v>
      </c>
      <c r="F562" s="324"/>
      <c r="J562" s="322"/>
      <c r="K562" s="340" t="s">
        <v>953</v>
      </c>
      <c r="L562" s="341" t="s">
        <v>954</v>
      </c>
      <c r="M562" s="341" t="s">
        <v>955</v>
      </c>
      <c r="N562" s="341" t="s">
        <v>35</v>
      </c>
      <c r="O562" s="324"/>
    </row>
    <row r="563" ht="15.75" customHeight="1">
      <c r="A563" s="322"/>
      <c r="B563" s="139" t="s">
        <v>1085</v>
      </c>
      <c r="C563" s="344">
        <f>0.035*3</f>
        <v>0.105</v>
      </c>
      <c r="D563" s="343">
        <f>M255</f>
        <v>76725</v>
      </c>
      <c r="E563" s="67">
        <f t="shared" ref="E563:E565" si="56">IF(OR(ISBLANK(C563),ISBLANK(D563)),"",D563*C563)</f>
        <v>8056.125</v>
      </c>
      <c r="F563" s="324"/>
      <c r="J563" s="322"/>
      <c r="K563" s="139" t="s">
        <v>696</v>
      </c>
      <c r="L563" s="344">
        <v>0.2</v>
      </c>
      <c r="M563" s="343">
        <f>Prep!D112</f>
        <v>85473.90346</v>
      </c>
      <c r="N563" s="67">
        <f t="shared" ref="N563:N565" si="57">IF(OR(ISBLANK(L563),ISBLANK(M563)),"",M563*L563)</f>
        <v>17094.78069</v>
      </c>
      <c r="O563" s="324"/>
    </row>
    <row r="564" ht="15.75" customHeight="1">
      <c r="A564" s="322"/>
      <c r="B564" s="228" t="s">
        <v>1084</v>
      </c>
      <c r="C564" s="405">
        <v>3.0</v>
      </c>
      <c r="D564" s="371">
        <f>M301</f>
        <v>8043.75</v>
      </c>
      <c r="E564" s="67">
        <f t="shared" si="56"/>
        <v>24131.25</v>
      </c>
      <c r="F564" s="324"/>
      <c r="J564" s="322"/>
      <c r="K564" s="228" t="s">
        <v>1044</v>
      </c>
      <c r="L564" s="405">
        <v>0.1</v>
      </c>
      <c r="M564" s="371">
        <f>'F&amp;B'!F28/12</f>
        <v>48750</v>
      </c>
      <c r="N564" s="67">
        <f t="shared" si="57"/>
        <v>4875</v>
      </c>
      <c r="O564" s="324"/>
    </row>
    <row r="565" ht="15.75" customHeight="1">
      <c r="A565" s="322"/>
      <c r="B565" s="406" t="s">
        <v>1175</v>
      </c>
      <c r="C565" s="407">
        <f>0.16/2</f>
        <v>0.08</v>
      </c>
      <c r="D565" s="408">
        <f>D338</f>
        <v>94500</v>
      </c>
      <c r="E565" s="67">
        <f t="shared" si="56"/>
        <v>7560</v>
      </c>
      <c r="F565" s="324"/>
      <c r="J565" s="322"/>
      <c r="K565" s="406" t="s">
        <v>429</v>
      </c>
      <c r="L565" s="407">
        <v>1.0</v>
      </c>
      <c r="M565" s="408">
        <f>SAUCES!D105</f>
        <v>2661.661085</v>
      </c>
      <c r="N565" s="67">
        <f t="shared" si="57"/>
        <v>2661.661085</v>
      </c>
      <c r="O565" s="324"/>
    </row>
    <row r="566" ht="15.75" customHeight="1">
      <c r="A566" s="322"/>
      <c r="B566" s="338" t="s">
        <v>84</v>
      </c>
      <c r="C566" s="358"/>
      <c r="D566" s="358"/>
      <c r="E566" s="359">
        <f>IF(SUM(E563:E565)=0,"",SUM(E563:E565))</f>
        <v>39747.375</v>
      </c>
      <c r="F566" s="324"/>
      <c r="J566" s="322"/>
      <c r="K566" s="338" t="s">
        <v>84</v>
      </c>
      <c r="L566" s="358"/>
      <c r="M566" s="358"/>
      <c r="N566" s="359">
        <f>IF(SUM(N563:N565)=0,"",SUM(N563:N565))</f>
        <v>24631.44178</v>
      </c>
      <c r="O566" s="324"/>
    </row>
    <row r="567" ht="15.75" customHeight="1">
      <c r="A567" s="322"/>
      <c r="B567" s="360"/>
      <c r="C567" s="360"/>
      <c r="D567" s="360"/>
      <c r="E567" s="361"/>
      <c r="F567" s="324"/>
      <c r="J567" s="322"/>
      <c r="K567" s="360"/>
      <c r="L567" s="360"/>
      <c r="M567" s="360"/>
      <c r="N567" s="361"/>
      <c r="O567" s="324"/>
    </row>
    <row r="568" ht="15.75" customHeight="1">
      <c r="A568" s="322"/>
      <c r="B568" s="362" t="s">
        <v>972</v>
      </c>
      <c r="C568" s="363"/>
      <c r="D568" s="363"/>
      <c r="E568" s="363"/>
      <c r="F568" s="324"/>
      <c r="J568" s="322"/>
      <c r="K568" s="362" t="s">
        <v>972</v>
      </c>
      <c r="L568" s="363"/>
      <c r="M568" s="363"/>
      <c r="N568" s="363"/>
      <c r="O568" s="324"/>
    </row>
    <row r="569" ht="15.75" customHeight="1">
      <c r="A569" s="322"/>
      <c r="B569" s="365" t="s">
        <v>953</v>
      </c>
      <c r="C569" s="366" t="s">
        <v>3</v>
      </c>
      <c r="D569" s="366" t="s">
        <v>975</v>
      </c>
      <c r="E569" s="367" t="s">
        <v>35</v>
      </c>
      <c r="F569" s="324"/>
      <c r="J569" s="322"/>
      <c r="K569" s="365" t="s">
        <v>953</v>
      </c>
      <c r="L569" s="366" t="s">
        <v>3</v>
      </c>
      <c r="M569" s="366" t="s">
        <v>975</v>
      </c>
      <c r="N569" s="367" t="s">
        <v>35</v>
      </c>
      <c r="O569" s="324"/>
    </row>
    <row r="570" ht="15.75" customHeight="1">
      <c r="A570" s="322"/>
      <c r="B570" s="368"/>
      <c r="C570" s="366"/>
      <c r="D570" s="366"/>
      <c r="E570" s="368"/>
      <c r="F570" s="324"/>
      <c r="J570" s="322"/>
      <c r="K570" s="368"/>
      <c r="L570" s="366"/>
      <c r="M570" s="366"/>
      <c r="N570" s="368"/>
      <c r="O570" s="324"/>
    </row>
    <row r="571" ht="15.75" customHeight="1">
      <c r="A571" s="322"/>
      <c r="B571" s="60" t="s">
        <v>1025</v>
      </c>
      <c r="C571" s="342">
        <v>0.05</v>
      </c>
      <c r="D571" s="343">
        <f>'F&amp;B'!$F$246/3.79</f>
        <v>56160.94987</v>
      </c>
      <c r="E571" s="67">
        <f>D571*C571</f>
        <v>2808.047493</v>
      </c>
      <c r="F571" s="324"/>
      <c r="J571" s="322"/>
      <c r="K571" s="139" t="s">
        <v>850</v>
      </c>
      <c r="L571" s="344">
        <v>0.1</v>
      </c>
      <c r="M571" s="343">
        <f>'F&amp;B'!F99/12</f>
        <v>63000</v>
      </c>
      <c r="N571" s="67">
        <f t="shared" ref="N571:N572" si="58">M571*L571</f>
        <v>6300</v>
      </c>
      <c r="O571" s="324"/>
    </row>
    <row r="572" ht="15.75" customHeight="1">
      <c r="A572" s="322"/>
      <c r="B572" s="75"/>
      <c r="C572" s="346"/>
      <c r="D572" s="371"/>
      <c r="E572" s="67"/>
      <c r="F572" s="324"/>
      <c r="J572" s="322"/>
      <c r="K572" s="228" t="s">
        <v>128</v>
      </c>
      <c r="L572" s="398">
        <v>0.015</v>
      </c>
      <c r="M572" s="371">
        <f>'F&amp;B'!F258/3.75</f>
        <v>55440</v>
      </c>
      <c r="N572" s="67">
        <f t="shared" si="58"/>
        <v>831.6</v>
      </c>
      <c r="O572" s="324"/>
    </row>
    <row r="573" ht="15.75" customHeight="1">
      <c r="A573" s="322"/>
      <c r="B573" s="60"/>
      <c r="C573" s="342"/>
      <c r="D573" s="343"/>
      <c r="E573" s="67"/>
      <c r="F573" s="324"/>
      <c r="J573" s="322"/>
      <c r="K573" s="60"/>
      <c r="L573" s="342"/>
      <c r="M573" s="343"/>
      <c r="N573" s="67"/>
      <c r="O573" s="324"/>
    </row>
    <row r="574" ht="15.75" customHeight="1">
      <c r="A574" s="322"/>
      <c r="B574" s="75"/>
      <c r="C574" s="346"/>
      <c r="D574" s="371"/>
      <c r="E574" s="67">
        <f t="shared" ref="E574:E575" si="59">D574*C574</f>
        <v>0</v>
      </c>
      <c r="F574" s="324"/>
      <c r="J574" s="322"/>
      <c r="K574" s="75"/>
      <c r="L574" s="346"/>
      <c r="M574" s="371"/>
      <c r="N574" s="67">
        <f t="shared" ref="N574:N575" si="60">M574*L574</f>
        <v>0</v>
      </c>
      <c r="O574" s="324"/>
    </row>
    <row r="575" ht="15.75" customHeight="1">
      <c r="A575" s="322"/>
      <c r="B575" s="75"/>
      <c r="C575" s="346"/>
      <c r="D575" s="371"/>
      <c r="E575" s="67">
        <f t="shared" si="59"/>
        <v>0</v>
      </c>
      <c r="F575" s="324"/>
      <c r="J575" s="322"/>
      <c r="K575" s="75"/>
      <c r="L575" s="346"/>
      <c r="M575" s="371"/>
      <c r="N575" s="67">
        <f t="shared" si="60"/>
        <v>0</v>
      </c>
      <c r="O575" s="324"/>
    </row>
    <row r="576" ht="15.75" customHeight="1">
      <c r="A576" s="322"/>
      <c r="B576" s="75"/>
      <c r="C576" s="346"/>
      <c r="D576" s="371"/>
      <c r="E576" s="443">
        <v>0.0</v>
      </c>
      <c r="F576" s="324"/>
      <c r="J576" s="322"/>
      <c r="K576" s="75"/>
      <c r="L576" s="346"/>
      <c r="M576" s="371"/>
      <c r="N576" s="443">
        <v>0.0</v>
      </c>
      <c r="O576" s="324"/>
    </row>
    <row r="577" ht="15.75" customHeight="1">
      <c r="A577" s="322"/>
      <c r="B577" s="348"/>
      <c r="C577" s="346"/>
      <c r="D577" s="371"/>
      <c r="E577" s="67">
        <f t="shared" ref="E577:E580" si="61">D577*C577</f>
        <v>0</v>
      </c>
      <c r="F577" s="324"/>
      <c r="J577" s="322"/>
      <c r="K577" s="348"/>
      <c r="L577" s="346"/>
      <c r="M577" s="371"/>
      <c r="N577" s="67">
        <f t="shared" ref="N577:N580" si="62">M577*L577</f>
        <v>0</v>
      </c>
      <c r="O577" s="324"/>
    </row>
    <row r="578" ht="15.75" customHeight="1">
      <c r="A578" s="322"/>
      <c r="B578" s="348"/>
      <c r="C578" s="346"/>
      <c r="D578" s="373"/>
      <c r="E578" s="67">
        <f t="shared" si="61"/>
        <v>0</v>
      </c>
      <c r="F578" s="324"/>
      <c r="J578" s="322"/>
      <c r="K578" s="348"/>
      <c r="L578" s="346"/>
      <c r="M578" s="373"/>
      <c r="N578" s="67">
        <f t="shared" si="62"/>
        <v>0</v>
      </c>
      <c r="O578" s="324"/>
    </row>
    <row r="579" ht="15.75" customHeight="1">
      <c r="A579" s="322"/>
      <c r="B579" s="348"/>
      <c r="C579" s="346"/>
      <c r="D579" s="373"/>
      <c r="E579" s="67">
        <f t="shared" si="61"/>
        <v>0</v>
      </c>
      <c r="F579" s="324"/>
      <c r="J579" s="322"/>
      <c r="K579" s="348"/>
      <c r="L579" s="346"/>
      <c r="M579" s="373"/>
      <c r="N579" s="67">
        <f t="shared" si="62"/>
        <v>0</v>
      </c>
      <c r="O579" s="324"/>
    </row>
    <row r="580" ht="15.75" customHeight="1">
      <c r="A580" s="322"/>
      <c r="B580" s="354"/>
      <c r="C580" s="355"/>
      <c r="D580" s="356"/>
      <c r="E580" s="67">
        <f t="shared" si="61"/>
        <v>0</v>
      </c>
      <c r="F580" s="324"/>
      <c r="J580" s="322"/>
      <c r="K580" s="354"/>
      <c r="L580" s="355"/>
      <c r="M580" s="356"/>
      <c r="N580" s="67">
        <f t="shared" si="62"/>
        <v>0</v>
      </c>
      <c r="O580" s="324"/>
    </row>
    <row r="581" ht="15.75" customHeight="1">
      <c r="A581" s="322"/>
      <c r="B581" s="362" t="s">
        <v>84</v>
      </c>
      <c r="C581" s="374"/>
      <c r="D581" s="374"/>
      <c r="E581" s="375">
        <f>IF(SUM(E571:E580)=0,"",SUM(E571:E580))</f>
        <v>2808.047493</v>
      </c>
      <c r="F581" s="324"/>
      <c r="J581" s="322"/>
      <c r="K581" s="362" t="s">
        <v>84</v>
      </c>
      <c r="L581" s="374"/>
      <c r="M581" s="374"/>
      <c r="N581" s="375">
        <f>IF(SUM(N571:N580)=0,"",SUM(N571:N580))</f>
        <v>7131.6</v>
      </c>
      <c r="O581" s="324"/>
    </row>
    <row r="582" ht="15.75" customHeight="1">
      <c r="A582" s="322"/>
      <c r="B582" s="360"/>
      <c r="C582" s="360"/>
      <c r="D582" s="360"/>
      <c r="E582" s="361"/>
      <c r="F582" s="324"/>
      <c r="J582" s="322"/>
      <c r="K582" s="360"/>
      <c r="L582" s="360"/>
      <c r="M582" s="360"/>
      <c r="N582" s="361"/>
      <c r="O582" s="324"/>
    </row>
    <row r="583" ht="15.75" customHeight="1">
      <c r="A583" s="322"/>
      <c r="B583" s="34" t="s">
        <v>17</v>
      </c>
      <c r="C583" s="35"/>
      <c r="D583" s="35"/>
      <c r="E583" s="35"/>
      <c r="F583" s="324"/>
      <c r="J583" s="322"/>
      <c r="K583" s="34" t="s">
        <v>17</v>
      </c>
      <c r="L583" s="35"/>
      <c r="M583" s="35"/>
      <c r="N583" s="35"/>
      <c r="O583" s="324"/>
    </row>
    <row r="584" ht="15.75" customHeight="1">
      <c r="A584" s="322"/>
      <c r="B584" s="52" t="s">
        <v>42</v>
      </c>
      <c r="C584" s="54"/>
      <c r="D584" s="54"/>
      <c r="E584" s="56" t="s">
        <v>35</v>
      </c>
      <c r="F584" s="324"/>
      <c r="J584" s="322"/>
      <c r="K584" s="52" t="s">
        <v>42</v>
      </c>
      <c r="L584" s="54"/>
      <c r="M584" s="54"/>
      <c r="N584" s="56" t="s">
        <v>35</v>
      </c>
      <c r="O584" s="324"/>
    </row>
    <row r="585" ht="15.75" customHeight="1">
      <c r="A585" s="322"/>
      <c r="B585" s="60" t="s">
        <v>40</v>
      </c>
      <c r="C585" s="343">
        <f>'UTL COST'!$B$3</f>
        <v>369000</v>
      </c>
      <c r="D585" s="379">
        <f>'UTL COST'!$C$3</f>
        <v>0.0075</v>
      </c>
      <c r="E585" s="67">
        <f>'UTL COST'!$D$3</f>
        <v>2767.5</v>
      </c>
      <c r="F585" s="324"/>
      <c r="J585" s="322"/>
      <c r="K585" s="60" t="s">
        <v>40</v>
      </c>
      <c r="L585" s="343">
        <f>'UTL COST'!$B$3</f>
        <v>369000</v>
      </c>
      <c r="M585" s="379">
        <f>'UTL COST'!$C$3</f>
        <v>0.0075</v>
      </c>
      <c r="N585" s="67">
        <f>'UTL COST'!$D$3</f>
        <v>2767.5</v>
      </c>
      <c r="O585" s="324"/>
    </row>
    <row r="586" ht="15.75" customHeight="1">
      <c r="A586" s="322"/>
      <c r="B586" s="75" t="s">
        <v>51</v>
      </c>
      <c r="C586" s="371" t="str">
        <f>'UTL COST'!$B$4</f>
        <v>#REF!</v>
      </c>
      <c r="D586" s="382">
        <f>'UTL COST'!$C$4</f>
        <v>7000</v>
      </c>
      <c r="E586" s="67" t="str">
        <f>'UTL COST'!$D$4</f>
        <v>#REF!</v>
      </c>
      <c r="F586" s="324"/>
      <c r="J586" s="322"/>
      <c r="K586" s="75" t="s">
        <v>51</v>
      </c>
      <c r="L586" s="371" t="str">
        <f>'UTL COST'!$B$4</f>
        <v>#REF!</v>
      </c>
      <c r="M586" s="382">
        <f>'UTL COST'!$C$4</f>
        <v>7000</v>
      </c>
      <c r="N586" s="67" t="str">
        <f>'UTL COST'!$D$4</f>
        <v>#REF!</v>
      </c>
      <c r="O586" s="324"/>
    </row>
    <row r="587" ht="15.75" customHeight="1">
      <c r="A587" s="322"/>
      <c r="B587" s="75" t="s">
        <v>59</v>
      </c>
      <c r="C587" s="371" t="str">
        <f>'UTL COST'!$B$5</f>
        <v>#REF!</v>
      </c>
      <c r="D587" s="382">
        <f>'UTL COST'!$C$5</f>
        <v>45000</v>
      </c>
      <c r="E587" s="76" t="str">
        <f>'UTL COST'!$D$5</f>
        <v>#REF!</v>
      </c>
      <c r="F587" s="324"/>
      <c r="J587" s="322"/>
      <c r="K587" s="75" t="s">
        <v>59</v>
      </c>
      <c r="L587" s="371" t="str">
        <f>'UTL COST'!$B$5</f>
        <v>#REF!</v>
      </c>
      <c r="M587" s="382">
        <f>'UTL COST'!$C$5</f>
        <v>45000</v>
      </c>
      <c r="N587" s="76" t="str">
        <f>'UTL COST'!$D$5</f>
        <v>#REF!</v>
      </c>
      <c r="O587" s="324"/>
    </row>
    <row r="588" ht="15.75" customHeight="1">
      <c r="A588" s="322"/>
      <c r="B588" s="87" t="s">
        <v>78</v>
      </c>
      <c r="C588" s="371" t="str">
        <f>'UTL COST'!$B$6</f>
        <v>#REF!</v>
      </c>
      <c r="D588" s="383">
        <f>'UTL COST'!$C$6</f>
        <v>525</v>
      </c>
      <c r="E588" s="89">
        <v>0.1</v>
      </c>
      <c r="F588" s="324"/>
      <c r="J588" s="322"/>
      <c r="K588" s="87" t="s">
        <v>78</v>
      </c>
      <c r="L588" s="371" t="str">
        <f>'UTL COST'!$B$6</f>
        <v>#REF!</v>
      </c>
      <c r="M588" s="383">
        <f>'UTL COST'!$C$6</f>
        <v>525</v>
      </c>
      <c r="N588" s="89">
        <v>0.1</v>
      </c>
      <c r="O588" s="324"/>
    </row>
    <row r="589" ht="15.75" customHeight="1">
      <c r="A589" s="322"/>
      <c r="B589" s="34" t="s">
        <v>84</v>
      </c>
      <c r="C589" s="102"/>
      <c r="D589" s="102"/>
      <c r="E589" s="104" t="str">
        <f>IF(SUM(E585:E588)=0,"",SUM(E585:E588))</f>
        <v>#REF!</v>
      </c>
      <c r="F589" s="324"/>
      <c r="J589" s="322"/>
      <c r="K589" s="34" t="s">
        <v>84</v>
      </c>
      <c r="L589" s="102"/>
      <c r="M589" s="102"/>
      <c r="N589" s="104" t="str">
        <f>IF(SUM(N585:N588)=0,"",SUM(N585:N588))</f>
        <v>#REF!</v>
      </c>
      <c r="O589" s="324"/>
    </row>
    <row r="590" ht="15.75" customHeight="1">
      <c r="A590" s="322"/>
      <c r="B590" s="360"/>
      <c r="C590" s="360"/>
      <c r="D590" s="360"/>
      <c r="E590" s="361"/>
      <c r="F590" s="324"/>
      <c r="J590" s="322"/>
      <c r="K590" s="360"/>
      <c r="L590" s="360"/>
      <c r="M590" s="360"/>
      <c r="N590" s="361"/>
      <c r="O590" s="324"/>
    </row>
    <row r="591" ht="15.75" customHeight="1"/>
    <row r="592" ht="15.75" customHeight="1"/>
    <row r="593" ht="15.75" customHeight="1">
      <c r="A593" s="455"/>
      <c r="B593" s="455"/>
      <c r="C593" s="455"/>
      <c r="D593" s="455"/>
      <c r="E593" s="456"/>
      <c r="F593" s="457"/>
      <c r="G593" s="457"/>
      <c r="J593" s="458"/>
      <c r="K593" s="458"/>
      <c r="L593" s="458"/>
      <c r="M593" s="458"/>
      <c r="N593" s="459"/>
      <c r="O593" s="460"/>
    </row>
    <row r="594" ht="15.75" customHeight="1">
      <c r="A594" s="322"/>
      <c r="B594" s="325"/>
      <c r="C594" s="322"/>
      <c r="D594" s="322"/>
      <c r="E594" s="323"/>
      <c r="F594" s="326"/>
      <c r="G594" s="326"/>
      <c r="J594" s="322"/>
      <c r="K594" s="325"/>
      <c r="L594" s="322"/>
      <c r="M594" s="322"/>
      <c r="N594" s="323"/>
      <c r="O594" s="326"/>
    </row>
    <row r="595" ht="15.75" customHeight="1">
      <c r="A595" s="322"/>
      <c r="B595" s="327" t="s">
        <v>931</v>
      </c>
      <c r="C595" s="330" t="s">
        <v>1187</v>
      </c>
      <c r="D595" s="329"/>
      <c r="E595" s="323"/>
      <c r="F595" s="326"/>
      <c r="G595" s="326"/>
      <c r="J595" s="322"/>
      <c r="K595" s="327" t="s">
        <v>931</v>
      </c>
      <c r="L595" s="330" t="s">
        <v>124</v>
      </c>
      <c r="M595" s="329"/>
      <c r="N595" s="323"/>
      <c r="O595" s="326"/>
    </row>
    <row r="596" ht="15.75" customHeight="1">
      <c r="A596" s="322"/>
      <c r="B596" s="325"/>
      <c r="C596" s="322"/>
      <c r="D596" s="322"/>
      <c r="E596" s="323"/>
      <c r="F596" s="326"/>
      <c r="G596" s="326"/>
      <c r="J596" s="322"/>
      <c r="K596" s="325"/>
      <c r="L596" s="322"/>
      <c r="M596" s="322"/>
      <c r="N596" s="323"/>
      <c r="O596" s="326"/>
    </row>
    <row r="597" ht="15.75" customHeight="1">
      <c r="A597" s="322"/>
      <c r="B597" s="327" t="s">
        <v>935</v>
      </c>
      <c r="C597" s="440">
        <v>1100000.0</v>
      </c>
      <c r="D597" s="329"/>
      <c r="E597" s="323"/>
      <c r="F597" s="326"/>
      <c r="G597" s="326"/>
      <c r="J597" s="322"/>
      <c r="K597" s="327" t="s">
        <v>935</v>
      </c>
      <c r="L597" s="440">
        <v>1100000.0</v>
      </c>
      <c r="M597" s="329"/>
      <c r="N597" s="323"/>
      <c r="O597" s="326"/>
    </row>
    <row r="598" ht="15.75" customHeight="1">
      <c r="A598" s="322"/>
      <c r="B598" s="327"/>
      <c r="C598" s="332"/>
      <c r="D598" s="332"/>
      <c r="E598" s="323"/>
      <c r="F598" s="326"/>
      <c r="G598" s="326"/>
      <c r="J598" s="322"/>
      <c r="K598" s="327"/>
      <c r="L598" s="332"/>
      <c r="M598" s="332"/>
      <c r="N598" s="323"/>
      <c r="O598" s="326"/>
    </row>
    <row r="599" ht="15.75" customHeight="1">
      <c r="A599" s="322"/>
      <c r="B599" s="327" t="s">
        <v>939</v>
      </c>
      <c r="C599" s="333" t="str">
        <f>IF(SUM(E611,E626,E634)=0,"",SUM(E611,E626,E634))</f>
        <v>#REF!</v>
      </c>
      <c r="D599" s="321"/>
      <c r="E599" s="323" t="str">
        <f>C599/90000</f>
        <v>#REF!</v>
      </c>
      <c r="F599" s="326"/>
      <c r="G599" s="326"/>
      <c r="J599" s="322"/>
      <c r="K599" s="327" t="s">
        <v>939</v>
      </c>
      <c r="L599" s="333" t="str">
        <f>IF(SUM(N611,N626,N634)=0,"",SUM(N611,N626,N634))</f>
        <v>#REF!</v>
      </c>
      <c r="M599" s="321"/>
      <c r="N599" s="323" t="str">
        <f>L599/90000</f>
        <v>#REF!</v>
      </c>
      <c r="O599" s="326"/>
    </row>
    <row r="600" ht="15.75" customHeight="1">
      <c r="A600" s="322"/>
      <c r="B600" s="327"/>
      <c r="C600" s="334"/>
      <c r="D600" s="334"/>
      <c r="E600" s="323"/>
      <c r="F600" s="326"/>
      <c r="G600" s="326"/>
      <c r="J600" s="322"/>
      <c r="K600" s="327"/>
      <c r="L600" s="334"/>
      <c r="M600" s="334"/>
      <c r="N600" s="323"/>
      <c r="O600" s="326"/>
    </row>
    <row r="601" ht="15.75" customHeight="1">
      <c r="A601" s="322"/>
      <c r="B601" s="327" t="s">
        <v>946</v>
      </c>
      <c r="C601" s="335" t="str">
        <f>IF(C599="","",IF(ISBLANK(C597),"",C599/C597))</f>
        <v>#REF!</v>
      </c>
      <c r="D601" s="321"/>
      <c r="E601" s="323"/>
      <c r="F601" s="326"/>
      <c r="G601" s="326"/>
      <c r="J601" s="322"/>
      <c r="K601" s="327" t="s">
        <v>946</v>
      </c>
      <c r="L601" s="335" t="str">
        <f>IF(L599="","",IF(ISBLANK(L597),"",L599/L597))</f>
        <v>#REF!</v>
      </c>
      <c r="M601" s="321"/>
      <c r="N601" s="323"/>
      <c r="O601" s="326"/>
    </row>
    <row r="602" ht="15.75" customHeight="1">
      <c r="A602" s="322"/>
      <c r="B602" s="327"/>
      <c r="C602" s="334"/>
      <c r="D602" s="334"/>
      <c r="E602" s="323"/>
      <c r="F602" s="326"/>
      <c r="G602" s="326"/>
      <c r="J602" s="322"/>
      <c r="K602" s="327"/>
      <c r="L602" s="334"/>
      <c r="M602" s="334"/>
      <c r="N602" s="323"/>
      <c r="O602" s="326"/>
    </row>
    <row r="603" ht="15.75" customHeight="1">
      <c r="A603" s="322"/>
      <c r="B603" s="327" t="s">
        <v>950</v>
      </c>
      <c r="C603" s="333" t="str">
        <f>C597-C599</f>
        <v>#REF!</v>
      </c>
      <c r="D603" s="321"/>
      <c r="E603" s="323"/>
      <c r="F603" s="326"/>
      <c r="G603" s="326"/>
      <c r="J603" s="322"/>
      <c r="K603" s="327" t="s">
        <v>950</v>
      </c>
      <c r="L603" s="333" t="str">
        <f>L597-L599</f>
        <v>#REF!</v>
      </c>
      <c r="M603" s="321"/>
      <c r="N603" s="323"/>
      <c r="O603" s="326"/>
    </row>
    <row r="604" ht="15.75" customHeight="1">
      <c r="A604" s="322"/>
      <c r="B604" s="322"/>
      <c r="C604" s="322"/>
      <c r="D604" s="322"/>
      <c r="E604" s="323"/>
      <c r="F604" s="324"/>
      <c r="G604" s="324"/>
      <c r="J604" s="322"/>
      <c r="K604" s="322"/>
      <c r="L604" s="322"/>
      <c r="M604" s="322"/>
      <c r="N604" s="323"/>
      <c r="O604" s="324"/>
    </row>
    <row r="605" ht="15.75" customHeight="1">
      <c r="A605" s="322"/>
      <c r="B605" s="322"/>
      <c r="C605" s="322"/>
      <c r="D605" s="322"/>
      <c r="E605" s="337"/>
      <c r="F605" s="324"/>
      <c r="G605" s="324"/>
      <c r="J605" s="322"/>
      <c r="K605" s="322"/>
      <c r="L605" s="322"/>
      <c r="M605" s="322"/>
      <c r="N605" s="337"/>
      <c r="O605" s="324"/>
    </row>
    <row r="606" ht="15.75" customHeight="1">
      <c r="A606" s="322"/>
      <c r="B606" s="338" t="s">
        <v>951</v>
      </c>
      <c r="C606" s="339"/>
      <c r="D606" s="339"/>
      <c r="E606" s="339"/>
      <c r="F606" s="324"/>
      <c r="G606" s="324"/>
      <c r="J606" s="322"/>
      <c r="K606" s="338" t="s">
        <v>951</v>
      </c>
      <c r="L606" s="339"/>
      <c r="M606" s="339"/>
      <c r="N606" s="339"/>
      <c r="O606" s="324"/>
    </row>
    <row r="607" ht="15.75" customHeight="1">
      <c r="A607" s="322"/>
      <c r="B607" s="340" t="s">
        <v>953</v>
      </c>
      <c r="C607" s="341" t="s">
        <v>954</v>
      </c>
      <c r="D607" s="341" t="s">
        <v>955</v>
      </c>
      <c r="E607" s="341" t="s">
        <v>35</v>
      </c>
      <c r="F607" s="324"/>
      <c r="G607" s="324"/>
      <c r="J607" s="322"/>
      <c r="K607" s="340" t="s">
        <v>953</v>
      </c>
      <c r="L607" s="341" t="s">
        <v>954</v>
      </c>
      <c r="M607" s="341" t="s">
        <v>955</v>
      </c>
      <c r="N607" s="341" t="s">
        <v>35</v>
      </c>
      <c r="O607" s="324"/>
    </row>
    <row r="608" ht="15.75" customHeight="1">
      <c r="A608" s="322"/>
      <c r="B608" s="60" t="s">
        <v>1096</v>
      </c>
      <c r="C608" s="342">
        <v>0.05</v>
      </c>
      <c r="D608" s="343">
        <f>'F&amp;B'!F30/10</f>
        <v>54000</v>
      </c>
      <c r="E608" s="67">
        <f>IF(OR(ISBLANK(C608),ISBLANK(D608)),"",D608*C608)</f>
        <v>2700</v>
      </c>
      <c r="F608" s="324"/>
      <c r="G608" s="324"/>
      <c r="J608" s="322"/>
      <c r="K608" s="277" t="s">
        <v>1142</v>
      </c>
      <c r="L608" s="344">
        <v>0.1</v>
      </c>
      <c r="M608" s="343">
        <f>'F&amp;B'!F269</f>
        <v>414000</v>
      </c>
      <c r="N608" s="67">
        <f>IF(OR(ISBLANK(L608),ISBLANK(M608)),"",M608*L608)</f>
        <v>41400</v>
      </c>
      <c r="O608" s="324"/>
    </row>
    <row r="609" ht="15.75" customHeight="1">
      <c r="A609" s="322"/>
      <c r="B609" s="75" t="s">
        <v>1046</v>
      </c>
      <c r="C609" s="370">
        <v>0.03</v>
      </c>
      <c r="D609" s="371">
        <f>'F&amp;B'!$F$80</f>
        <v>103500</v>
      </c>
      <c r="E609" s="67">
        <f>D609*C609</f>
        <v>3105</v>
      </c>
      <c r="F609" s="324"/>
      <c r="G609" s="324"/>
      <c r="J609" s="322"/>
      <c r="K609" s="277" t="s">
        <v>1191</v>
      </c>
      <c r="L609" s="405">
        <v>1.0</v>
      </c>
      <c r="M609" s="371">
        <f>'F&amp;B'!F5/30</f>
        <v>7566</v>
      </c>
      <c r="N609" s="67">
        <f>M609*L609</f>
        <v>7566</v>
      </c>
      <c r="O609" s="324"/>
    </row>
    <row r="610" ht="15.75" customHeight="1">
      <c r="A610" s="322"/>
      <c r="B610" s="87" t="s">
        <v>850</v>
      </c>
      <c r="C610" s="412">
        <v>0.03</v>
      </c>
      <c r="D610" s="408">
        <f>'F&amp;B'!$F$99/12</f>
        <v>63000</v>
      </c>
      <c r="E610" s="89">
        <f>IF(OR(ISBLANK(C610),ISBLANK(D610)),"",D610*C610)</f>
        <v>1890</v>
      </c>
      <c r="F610" s="324"/>
      <c r="G610" s="324"/>
      <c r="J610" s="322"/>
      <c r="K610" s="277" t="s">
        <v>1144</v>
      </c>
      <c r="L610" s="407">
        <v>0.05</v>
      </c>
      <c r="M610" s="408">
        <f>'F&amp;B'!F36</f>
        <v>94050</v>
      </c>
      <c r="N610" s="89">
        <f>IF(OR(ISBLANK(L610),ISBLANK(M610)),"",M610*L610)</f>
        <v>4702.5</v>
      </c>
      <c r="O610" s="324"/>
    </row>
    <row r="611" ht="15.75" customHeight="1">
      <c r="A611" s="322"/>
      <c r="B611" s="338" t="s">
        <v>84</v>
      </c>
      <c r="C611" s="358"/>
      <c r="D611" s="358"/>
      <c r="E611" s="359">
        <f>IF(SUM(E608:E610)=0,"",SUM(E608:E610))</f>
        <v>7695</v>
      </c>
      <c r="F611" s="324"/>
      <c r="G611" s="324"/>
      <c r="J611" s="322"/>
      <c r="K611" s="338" t="s">
        <v>84</v>
      </c>
      <c r="L611" s="358"/>
      <c r="M611" s="358"/>
      <c r="N611" s="359">
        <f>IF(SUM(N608:N610)=0,"",SUM(N608:N610))</f>
        <v>53668.5</v>
      </c>
      <c r="O611" s="324"/>
    </row>
    <row r="612" ht="15.75" customHeight="1">
      <c r="A612" s="322"/>
      <c r="B612" s="360"/>
      <c r="C612" s="360"/>
      <c r="D612" s="360"/>
      <c r="E612" s="361"/>
      <c r="F612" s="324"/>
      <c r="G612" s="324"/>
      <c r="J612" s="322"/>
      <c r="K612" s="360"/>
      <c r="L612" s="360"/>
      <c r="M612" s="360"/>
      <c r="N612" s="361"/>
      <c r="O612" s="324"/>
    </row>
    <row r="613" ht="15.75" customHeight="1">
      <c r="A613" s="322"/>
      <c r="B613" s="362" t="s">
        <v>972</v>
      </c>
      <c r="C613" s="363"/>
      <c r="D613" s="363"/>
      <c r="E613" s="363"/>
      <c r="F613" s="324"/>
      <c r="G613" s="324"/>
      <c r="J613" s="322"/>
      <c r="K613" s="362" t="s">
        <v>972</v>
      </c>
      <c r="L613" s="363"/>
      <c r="M613" s="363"/>
      <c r="N613" s="363"/>
      <c r="O613" s="324"/>
    </row>
    <row r="614" ht="15.75" customHeight="1">
      <c r="A614" s="322"/>
      <c r="B614" s="365" t="s">
        <v>953</v>
      </c>
      <c r="C614" s="366" t="s">
        <v>3</v>
      </c>
      <c r="D614" s="366" t="s">
        <v>975</v>
      </c>
      <c r="E614" s="367" t="s">
        <v>35</v>
      </c>
      <c r="F614" s="324"/>
      <c r="G614" s="324"/>
      <c r="J614" s="322"/>
      <c r="K614" s="365" t="s">
        <v>953</v>
      </c>
      <c r="L614" s="366" t="s">
        <v>3</v>
      </c>
      <c r="M614" s="366" t="s">
        <v>975</v>
      </c>
      <c r="N614" s="367" t="s">
        <v>35</v>
      </c>
      <c r="O614" s="324"/>
    </row>
    <row r="615" ht="15.75" customHeight="1">
      <c r="A615" s="322"/>
      <c r="B615" s="368"/>
      <c r="C615" s="366"/>
      <c r="D615" s="366"/>
      <c r="E615" s="368"/>
      <c r="F615" s="324"/>
      <c r="G615" s="324"/>
      <c r="J615" s="322"/>
      <c r="K615" s="368"/>
      <c r="L615" s="366"/>
      <c r="M615" s="366"/>
      <c r="N615" s="368"/>
      <c r="O615" s="324"/>
    </row>
    <row r="616" ht="15.75" customHeight="1">
      <c r="A616" s="322"/>
      <c r="B616" s="75" t="s">
        <v>934</v>
      </c>
      <c r="C616" s="398">
        <v>0.2</v>
      </c>
      <c r="D616" s="371">
        <f>'F&amp;B'!$F$68/10</f>
        <v>19665</v>
      </c>
      <c r="E616" s="67">
        <f t="shared" ref="E616:E625" si="63">D616*C616</f>
        <v>3933</v>
      </c>
      <c r="F616" s="324"/>
      <c r="G616" s="324"/>
      <c r="J616" s="322"/>
      <c r="K616" s="277" t="s">
        <v>453</v>
      </c>
      <c r="L616" s="398">
        <v>0.05</v>
      </c>
      <c r="M616" s="371">
        <f>'F&amp;B'!F287</f>
        <v>8100</v>
      </c>
      <c r="N616" s="67">
        <f t="shared" ref="N616:N625" si="64">M616*L616</f>
        <v>405</v>
      </c>
      <c r="O616" s="324"/>
    </row>
    <row r="617" ht="15.75" customHeight="1">
      <c r="A617" s="322"/>
      <c r="B617" s="228" t="s">
        <v>1193</v>
      </c>
      <c r="C617" s="405">
        <v>1.0</v>
      </c>
      <c r="D617" s="371">
        <f>Prep!J112</f>
        <v>14106.98289</v>
      </c>
      <c r="E617" s="67">
        <f t="shared" si="63"/>
        <v>14106.98289</v>
      </c>
      <c r="F617" s="324"/>
      <c r="G617" s="324"/>
      <c r="J617" s="322"/>
      <c r="K617" s="277" t="s">
        <v>214</v>
      </c>
      <c r="L617" s="405">
        <v>0.025</v>
      </c>
      <c r="M617" s="371">
        <f>'F&amp;B'!F290</f>
        <v>6300</v>
      </c>
      <c r="N617" s="67">
        <f t="shared" si="64"/>
        <v>157.5</v>
      </c>
      <c r="O617" s="324"/>
    </row>
    <row r="618" ht="15.75" customHeight="1">
      <c r="A618" s="322"/>
      <c r="B618" s="228" t="s">
        <v>429</v>
      </c>
      <c r="C618" s="405">
        <v>1.0</v>
      </c>
      <c r="D618" s="371">
        <f>D116</f>
        <v>2661.661085</v>
      </c>
      <c r="E618" s="67">
        <f t="shared" si="63"/>
        <v>2661.661085</v>
      </c>
      <c r="F618" s="324"/>
      <c r="G618" s="324"/>
      <c r="J618" s="322"/>
      <c r="K618" s="277" t="s">
        <v>374</v>
      </c>
      <c r="L618" s="405">
        <v>0.02</v>
      </c>
      <c r="M618" s="371">
        <f>'F&amp;B'!F79/25</f>
        <v>14040</v>
      </c>
      <c r="N618" s="67">
        <f t="shared" si="64"/>
        <v>280.8</v>
      </c>
      <c r="O618" s="324"/>
    </row>
    <row r="619" ht="15.75" customHeight="1">
      <c r="A619" s="322"/>
      <c r="B619" s="228" t="s">
        <v>1194</v>
      </c>
      <c r="C619" s="405">
        <v>0.05</v>
      </c>
      <c r="D619" s="371">
        <f>D306</f>
        <v>37140.77491</v>
      </c>
      <c r="E619" s="67">
        <f t="shared" si="63"/>
        <v>1857.038745</v>
      </c>
      <c r="F619" s="324"/>
      <c r="G619" s="324"/>
      <c r="J619" s="322"/>
      <c r="K619" s="228"/>
      <c r="L619" s="405"/>
      <c r="M619" s="371"/>
      <c r="N619" s="67">
        <f t="shared" si="64"/>
        <v>0</v>
      </c>
      <c r="O619" s="324"/>
    </row>
    <row r="620" ht="15.75" customHeight="1">
      <c r="A620" s="322"/>
      <c r="B620" s="75"/>
      <c r="C620" s="346"/>
      <c r="D620" s="371"/>
      <c r="E620" s="67">
        <f t="shared" si="63"/>
        <v>0</v>
      </c>
      <c r="F620" s="324"/>
      <c r="G620" s="324"/>
      <c r="J620" s="322"/>
      <c r="K620" s="75"/>
      <c r="L620" s="346"/>
      <c r="M620" s="371"/>
      <c r="N620" s="67">
        <f t="shared" si="64"/>
        <v>0</v>
      </c>
      <c r="O620" s="324"/>
    </row>
    <row r="621" ht="15.75" customHeight="1">
      <c r="A621" s="322"/>
      <c r="B621" s="442"/>
      <c r="C621" s="346"/>
      <c r="D621" s="371"/>
      <c r="E621" s="67">
        <f t="shared" si="63"/>
        <v>0</v>
      </c>
      <c r="F621" s="324"/>
      <c r="G621" s="324"/>
      <c r="J621" s="322"/>
      <c r="K621" s="442"/>
      <c r="L621" s="346"/>
      <c r="M621" s="371"/>
      <c r="N621" s="67">
        <f t="shared" si="64"/>
        <v>0</v>
      </c>
      <c r="O621" s="324"/>
    </row>
    <row r="622" ht="15.75" customHeight="1">
      <c r="A622" s="322"/>
      <c r="B622" s="75"/>
      <c r="C622" s="398"/>
      <c r="D622" s="371"/>
      <c r="E622" s="67">
        <f t="shared" si="63"/>
        <v>0</v>
      </c>
      <c r="F622" s="324"/>
      <c r="G622" s="324"/>
      <c r="J622" s="322"/>
      <c r="K622" s="75"/>
      <c r="L622" s="398"/>
      <c r="M622" s="371"/>
      <c r="N622" s="67">
        <f t="shared" si="64"/>
        <v>0</v>
      </c>
      <c r="O622" s="324"/>
    </row>
    <row r="623" ht="15.75" customHeight="1">
      <c r="A623" s="322"/>
      <c r="B623" s="348"/>
      <c r="C623" s="346"/>
      <c r="D623" s="373"/>
      <c r="E623" s="67">
        <f t="shared" si="63"/>
        <v>0</v>
      </c>
      <c r="F623" s="324"/>
      <c r="G623" s="324"/>
      <c r="J623" s="322"/>
      <c r="K623" s="348"/>
      <c r="L623" s="346"/>
      <c r="M623" s="373"/>
      <c r="N623" s="67">
        <f t="shared" si="64"/>
        <v>0</v>
      </c>
      <c r="O623" s="324"/>
    </row>
    <row r="624" ht="15.75" customHeight="1">
      <c r="A624" s="322"/>
      <c r="B624" s="348"/>
      <c r="C624" s="346"/>
      <c r="D624" s="373"/>
      <c r="E624" s="67">
        <f t="shared" si="63"/>
        <v>0</v>
      </c>
      <c r="F624" s="324"/>
      <c r="G624" s="324"/>
      <c r="J624" s="322"/>
      <c r="K624" s="348"/>
      <c r="L624" s="346"/>
      <c r="M624" s="373"/>
      <c r="N624" s="67">
        <f t="shared" si="64"/>
        <v>0</v>
      </c>
      <c r="O624" s="324"/>
    </row>
    <row r="625" ht="15.75" customHeight="1">
      <c r="A625" s="322"/>
      <c r="B625" s="354"/>
      <c r="C625" s="355"/>
      <c r="D625" s="356"/>
      <c r="E625" s="67">
        <f t="shared" si="63"/>
        <v>0</v>
      </c>
      <c r="F625" s="324"/>
      <c r="G625" s="324"/>
      <c r="J625" s="322"/>
      <c r="K625" s="354"/>
      <c r="L625" s="355"/>
      <c r="M625" s="356"/>
      <c r="N625" s="67">
        <f t="shared" si="64"/>
        <v>0</v>
      </c>
      <c r="O625" s="324"/>
    </row>
    <row r="626" ht="15.75" customHeight="1">
      <c r="A626" s="322"/>
      <c r="B626" s="362" t="s">
        <v>84</v>
      </c>
      <c r="C626" s="374"/>
      <c r="D626" s="374"/>
      <c r="E626" s="375">
        <f>IF(SUM(E616:E625)=0,"",SUM(E616:E625))</f>
        <v>22558.68273</v>
      </c>
      <c r="F626" s="324"/>
      <c r="G626" s="324"/>
      <c r="J626" s="322"/>
      <c r="K626" s="362" t="s">
        <v>84</v>
      </c>
      <c r="L626" s="374"/>
      <c r="M626" s="374"/>
      <c r="N626" s="375">
        <f>IF(SUM(N616:N625)=0,"",SUM(N616:N625))</f>
        <v>843.3</v>
      </c>
      <c r="O626" s="324"/>
    </row>
    <row r="627" ht="15.75" customHeight="1">
      <c r="A627" s="322"/>
      <c r="B627" s="360"/>
      <c r="C627" s="360"/>
      <c r="D627" s="360"/>
      <c r="E627" s="361"/>
      <c r="F627" s="324"/>
      <c r="G627" s="324"/>
      <c r="J627" s="322"/>
      <c r="K627" s="360"/>
      <c r="L627" s="360"/>
      <c r="M627" s="360"/>
      <c r="N627" s="361"/>
      <c r="O627" s="324"/>
    </row>
    <row r="628" ht="15.75" customHeight="1">
      <c r="A628" s="322"/>
      <c r="B628" s="34" t="s">
        <v>17</v>
      </c>
      <c r="C628" s="35"/>
      <c r="D628" s="35"/>
      <c r="E628" s="35"/>
      <c r="F628" s="324"/>
      <c r="G628" s="324"/>
      <c r="J628" s="322"/>
      <c r="K628" s="34" t="s">
        <v>17</v>
      </c>
      <c r="L628" s="35"/>
      <c r="M628" s="35"/>
      <c r="N628" s="35"/>
      <c r="O628" s="324"/>
    </row>
    <row r="629" ht="15.75" customHeight="1">
      <c r="A629" s="322"/>
      <c r="B629" s="52" t="s">
        <v>42</v>
      </c>
      <c r="C629" s="54"/>
      <c r="D629" s="54"/>
      <c r="E629" s="56" t="s">
        <v>35</v>
      </c>
      <c r="F629" s="324"/>
      <c r="G629" s="324"/>
      <c r="J629" s="322"/>
      <c r="K629" s="52" t="s">
        <v>42</v>
      </c>
      <c r="L629" s="54"/>
      <c r="M629" s="54"/>
      <c r="N629" s="56" t="s">
        <v>35</v>
      </c>
      <c r="O629" s="324"/>
    </row>
    <row r="630" ht="15.75" customHeight="1">
      <c r="A630" s="322"/>
      <c r="B630" s="60" t="s">
        <v>40</v>
      </c>
      <c r="C630" s="343">
        <f>'UTL COST'!$B$3</f>
        <v>369000</v>
      </c>
      <c r="D630" s="379">
        <f>'UTL COST'!$C$3</f>
        <v>0.0075</v>
      </c>
      <c r="E630" s="67">
        <f>'UTL COST'!$D$3</f>
        <v>2767.5</v>
      </c>
      <c r="F630" s="324"/>
      <c r="G630" s="324"/>
      <c r="J630" s="322"/>
      <c r="K630" s="60" t="s">
        <v>40</v>
      </c>
      <c r="L630" s="343">
        <f>'UTL COST'!$B$3</f>
        <v>369000</v>
      </c>
      <c r="M630" s="379">
        <f>'UTL COST'!$C$3</f>
        <v>0.0075</v>
      </c>
      <c r="N630" s="67">
        <f>'UTL COST'!$D$3</f>
        <v>2767.5</v>
      </c>
      <c r="O630" s="324"/>
    </row>
    <row r="631" ht="15.75" customHeight="1">
      <c r="A631" s="322"/>
      <c r="B631" s="75" t="s">
        <v>51</v>
      </c>
      <c r="C631" s="371" t="str">
        <f>'UTL COST'!$B$4</f>
        <v>#REF!</v>
      </c>
      <c r="D631" s="382">
        <f>'UTL COST'!$C$4</f>
        <v>7000</v>
      </c>
      <c r="E631" s="67" t="str">
        <f>'UTL COST'!$D$4</f>
        <v>#REF!</v>
      </c>
      <c r="F631" s="324"/>
      <c r="G631" s="324"/>
      <c r="J631" s="322"/>
      <c r="K631" s="75" t="s">
        <v>51</v>
      </c>
      <c r="L631" s="371" t="str">
        <f>'UTL COST'!$B$4</f>
        <v>#REF!</v>
      </c>
      <c r="M631" s="382">
        <f>'UTL COST'!$C$4</f>
        <v>7000</v>
      </c>
      <c r="N631" s="67" t="str">
        <f>'UTL COST'!$D$4</f>
        <v>#REF!</v>
      </c>
      <c r="O631" s="324"/>
    </row>
    <row r="632" ht="15.75" customHeight="1">
      <c r="A632" s="322"/>
      <c r="B632" s="75" t="s">
        <v>59</v>
      </c>
      <c r="C632" s="371" t="str">
        <f>'UTL COST'!$B$5</f>
        <v>#REF!</v>
      </c>
      <c r="D632" s="382">
        <f>'UTL COST'!$C$5</f>
        <v>45000</v>
      </c>
      <c r="E632" s="76" t="str">
        <f>'UTL COST'!$D$5</f>
        <v>#REF!</v>
      </c>
      <c r="F632" s="324"/>
      <c r="G632" s="324"/>
      <c r="J632" s="322"/>
      <c r="K632" s="75" t="s">
        <v>59</v>
      </c>
      <c r="L632" s="371" t="str">
        <f>'UTL COST'!$B$5</f>
        <v>#REF!</v>
      </c>
      <c r="M632" s="382">
        <f>'UTL COST'!$C$5</f>
        <v>45000</v>
      </c>
      <c r="N632" s="76" t="str">
        <f>'UTL COST'!$D$5</f>
        <v>#REF!</v>
      </c>
      <c r="O632" s="324"/>
    </row>
    <row r="633" ht="15.75" customHeight="1">
      <c r="A633" s="322"/>
      <c r="B633" s="406" t="s">
        <v>64</v>
      </c>
      <c r="C633" s="371" t="str">
        <f>'UTL COST'!$B$6</f>
        <v>#REF!</v>
      </c>
      <c r="D633" s="383">
        <f>'UTL COST'!$C$6</f>
        <v>525</v>
      </c>
      <c r="E633" s="89">
        <v>0.1</v>
      </c>
      <c r="F633" s="324"/>
      <c r="G633" s="324"/>
      <c r="J633" s="322"/>
      <c r="K633" s="406" t="s">
        <v>64</v>
      </c>
      <c r="L633" s="371" t="str">
        <f>'UTL COST'!$B$6</f>
        <v>#REF!</v>
      </c>
      <c r="M633" s="383">
        <f>'UTL COST'!$C$6</f>
        <v>525</v>
      </c>
      <c r="N633" s="89">
        <v>0.1</v>
      </c>
      <c r="O633" s="324"/>
    </row>
    <row r="634" ht="15.75" customHeight="1">
      <c r="A634" s="322"/>
      <c r="B634" s="34" t="s">
        <v>84</v>
      </c>
      <c r="C634" s="102"/>
      <c r="D634" s="102"/>
      <c r="E634" s="104" t="str">
        <f>IF(SUM(E630:E633)=0,"",SUM(E630:E633))</f>
        <v>#REF!</v>
      </c>
      <c r="F634" s="324"/>
      <c r="G634" s="324"/>
      <c r="J634" s="322"/>
      <c r="K634" s="34" t="s">
        <v>84</v>
      </c>
      <c r="L634" s="102"/>
      <c r="M634" s="102"/>
      <c r="N634" s="104" t="str">
        <f>IF(SUM(N630:N633)=0,"",SUM(N630:N633))</f>
        <v>#REF!</v>
      </c>
      <c r="O634" s="324"/>
    </row>
    <row r="635" ht="15.75" customHeight="1">
      <c r="A635" s="322"/>
      <c r="B635" s="360"/>
      <c r="C635" s="360"/>
      <c r="D635" s="360"/>
      <c r="E635" s="361"/>
      <c r="F635" s="324"/>
      <c r="G635" s="324"/>
      <c r="J635" s="322"/>
      <c r="K635" s="360"/>
      <c r="L635" s="360"/>
      <c r="M635" s="360"/>
      <c r="N635" s="361"/>
      <c r="O635" s="324"/>
    </row>
    <row r="636" ht="15.75" customHeight="1"/>
    <row r="637" ht="15.75" customHeight="1"/>
    <row r="638" ht="15.75" customHeight="1">
      <c r="A638" s="458"/>
      <c r="B638" s="458"/>
      <c r="C638" s="458"/>
      <c r="D638" s="458"/>
      <c r="E638" s="459"/>
      <c r="F638" s="460"/>
      <c r="J638" s="458"/>
      <c r="K638" s="458"/>
      <c r="L638" s="458"/>
      <c r="M638" s="458"/>
      <c r="N638" s="459"/>
      <c r="O638" s="460"/>
    </row>
    <row r="639" ht="15.75" customHeight="1">
      <c r="A639" s="322"/>
      <c r="B639" s="325"/>
      <c r="C639" s="322"/>
      <c r="D639" s="322"/>
      <c r="E639" s="323"/>
      <c r="F639" s="326"/>
      <c r="J639" s="322"/>
      <c r="K639" s="325"/>
      <c r="L639" s="322"/>
      <c r="M639" s="322"/>
      <c r="N639" s="323"/>
      <c r="O639" s="326"/>
    </row>
    <row r="640" ht="15.75" customHeight="1">
      <c r="A640" s="322"/>
      <c r="B640" s="327" t="s">
        <v>931</v>
      </c>
      <c r="C640" s="330" t="s">
        <v>1053</v>
      </c>
      <c r="D640" s="329"/>
      <c r="E640" s="323"/>
      <c r="F640" s="326"/>
      <c r="J640" s="322"/>
      <c r="K640" s="327" t="s">
        <v>931</v>
      </c>
      <c r="L640" s="330" t="s">
        <v>1197</v>
      </c>
      <c r="M640" s="329"/>
      <c r="N640" s="323"/>
      <c r="O640" s="326"/>
    </row>
    <row r="641" ht="15.75" customHeight="1">
      <c r="A641" s="322"/>
      <c r="B641" s="325"/>
      <c r="C641" s="322"/>
      <c r="D641" s="322"/>
      <c r="E641" s="323"/>
      <c r="F641" s="326"/>
      <c r="J641" s="322"/>
      <c r="K641" s="325"/>
      <c r="L641" s="322"/>
      <c r="M641" s="322"/>
      <c r="N641" s="323"/>
      <c r="O641" s="326"/>
    </row>
    <row r="642" ht="15.75" customHeight="1">
      <c r="A642" s="322"/>
      <c r="B642" s="327" t="s">
        <v>935</v>
      </c>
      <c r="C642" s="440">
        <v>1100000.0</v>
      </c>
      <c r="D642" s="329"/>
      <c r="E642" s="323"/>
      <c r="F642" s="326"/>
      <c r="J642" s="322"/>
      <c r="K642" s="327" t="s">
        <v>935</v>
      </c>
      <c r="L642" s="440">
        <v>1100000.0</v>
      </c>
      <c r="M642" s="329"/>
      <c r="N642" s="323"/>
      <c r="O642" s="326"/>
    </row>
    <row r="643" ht="15.75" customHeight="1">
      <c r="A643" s="322"/>
      <c r="B643" s="327"/>
      <c r="C643" s="332"/>
      <c r="D643" s="332"/>
      <c r="E643" s="323"/>
      <c r="F643" s="326"/>
      <c r="J643" s="322"/>
      <c r="K643" s="327"/>
      <c r="L643" s="332"/>
      <c r="M643" s="332"/>
      <c r="N643" s="323"/>
      <c r="O643" s="326"/>
    </row>
    <row r="644" ht="15.75" customHeight="1">
      <c r="A644" s="322"/>
      <c r="B644" s="327" t="s">
        <v>939</v>
      </c>
      <c r="C644" s="333" t="str">
        <f>IF(SUM(E656,E671,E679)=0,"",SUM(E656,E671,E679))</f>
        <v>#REF!</v>
      </c>
      <c r="D644" s="321"/>
      <c r="E644" s="323" t="str">
        <f>C644/90000</f>
        <v>#REF!</v>
      </c>
      <c r="F644" s="326"/>
      <c r="J644" s="322"/>
      <c r="K644" s="327" t="s">
        <v>939</v>
      </c>
      <c r="L644" s="333" t="str">
        <f>IF(SUM(N656,N671,N679)=0,"",SUM(N656,N671,N679))</f>
        <v>#REF!</v>
      </c>
      <c r="M644" s="321"/>
      <c r="N644" s="323" t="str">
        <f>L644/90000</f>
        <v>#REF!</v>
      </c>
      <c r="O644" s="326"/>
    </row>
    <row r="645" ht="15.75" customHeight="1">
      <c r="A645" s="322"/>
      <c r="B645" s="327"/>
      <c r="C645" s="334"/>
      <c r="D645" s="334"/>
      <c r="E645" s="323"/>
      <c r="F645" s="326"/>
      <c r="J645" s="322"/>
      <c r="K645" s="327"/>
      <c r="L645" s="334"/>
      <c r="M645" s="334"/>
      <c r="N645" s="323"/>
      <c r="O645" s="326"/>
      <c r="R645" s="165" t="s">
        <v>12</v>
      </c>
    </row>
    <row r="646" ht="15.75" customHeight="1">
      <c r="A646" s="322"/>
      <c r="B646" s="327" t="s">
        <v>946</v>
      </c>
      <c r="C646" s="335" t="str">
        <f>IF(C644="","",IF(ISBLANK(C642),"",C644/C642))</f>
        <v>#REF!</v>
      </c>
      <c r="D646" s="321"/>
      <c r="E646" s="323"/>
      <c r="F646" s="326"/>
      <c r="J646" s="322"/>
      <c r="K646" s="327" t="s">
        <v>946</v>
      </c>
      <c r="L646" s="335" t="str">
        <f>IF(L644="","",IF(ISBLANK(L642),"",L644/L642))</f>
        <v>#REF!</v>
      </c>
      <c r="M646" s="321"/>
      <c r="N646" s="323"/>
      <c r="O646" s="326"/>
    </row>
    <row r="647" ht="15.75" customHeight="1">
      <c r="A647" s="322"/>
      <c r="B647" s="327"/>
      <c r="C647" s="334"/>
      <c r="D647" s="334"/>
      <c r="E647" s="323"/>
      <c r="F647" s="326"/>
      <c r="J647" s="322"/>
      <c r="K647" s="327"/>
      <c r="L647" s="334"/>
      <c r="M647" s="334"/>
      <c r="N647" s="323"/>
      <c r="O647" s="326"/>
    </row>
    <row r="648" ht="15.75" customHeight="1">
      <c r="A648" s="322"/>
      <c r="B648" s="327" t="s">
        <v>950</v>
      </c>
      <c r="C648" s="333" t="str">
        <f>C642-C644</f>
        <v>#REF!</v>
      </c>
      <c r="D648" s="321"/>
      <c r="E648" s="323"/>
      <c r="F648" s="326"/>
      <c r="J648" s="322"/>
      <c r="K648" s="327" t="s">
        <v>950</v>
      </c>
      <c r="L648" s="333" t="str">
        <f>L642-L644</f>
        <v>#REF!</v>
      </c>
      <c r="M648" s="321"/>
      <c r="N648" s="323"/>
      <c r="O648" s="326"/>
    </row>
    <row r="649" ht="15.75" customHeight="1">
      <c r="A649" s="322"/>
      <c r="B649" s="322"/>
      <c r="C649" s="322"/>
      <c r="D649" s="322"/>
      <c r="E649" s="323"/>
      <c r="F649" s="324"/>
      <c r="J649" s="322"/>
      <c r="K649" s="322"/>
      <c r="L649" s="322"/>
      <c r="M649" s="322"/>
      <c r="N649" s="323"/>
      <c r="O649" s="324"/>
    </row>
    <row r="650" ht="15.75" customHeight="1">
      <c r="A650" s="322"/>
      <c r="B650" s="322"/>
      <c r="C650" s="322"/>
      <c r="D650" s="322"/>
      <c r="E650" s="337"/>
      <c r="F650" s="324"/>
      <c r="J650" s="322"/>
      <c r="K650" s="322"/>
      <c r="L650" s="322"/>
      <c r="M650" s="322"/>
      <c r="N650" s="337"/>
      <c r="O650" s="324"/>
    </row>
    <row r="651" ht="15.75" customHeight="1">
      <c r="A651" s="322"/>
      <c r="B651" s="338" t="s">
        <v>951</v>
      </c>
      <c r="C651" s="339"/>
      <c r="D651" s="339"/>
      <c r="E651" s="339"/>
      <c r="F651" s="324"/>
      <c r="J651" s="322"/>
      <c r="K651" s="338" t="s">
        <v>951</v>
      </c>
      <c r="L651" s="339"/>
      <c r="M651" s="339"/>
      <c r="N651" s="339"/>
      <c r="O651" s="324"/>
    </row>
    <row r="652" ht="15.75" customHeight="1">
      <c r="A652" s="322"/>
      <c r="B652" s="340" t="s">
        <v>953</v>
      </c>
      <c r="C652" s="341" t="s">
        <v>954</v>
      </c>
      <c r="D652" s="341" t="s">
        <v>955</v>
      </c>
      <c r="E652" s="341" t="s">
        <v>35</v>
      </c>
      <c r="F652" s="324"/>
      <c r="J652" s="322"/>
      <c r="K652" s="340" t="s">
        <v>953</v>
      </c>
      <c r="L652" s="341" t="s">
        <v>954</v>
      </c>
      <c r="M652" s="341" t="s">
        <v>955</v>
      </c>
      <c r="N652" s="341" t="s">
        <v>35</v>
      </c>
      <c r="O652" s="324"/>
    </row>
    <row r="653" ht="15.75" customHeight="1">
      <c r="A653" s="322"/>
      <c r="B653" s="277" t="s">
        <v>1199</v>
      </c>
      <c r="C653" s="344">
        <v>0.12</v>
      </c>
      <c r="D653" s="343" t="str">
        <f>#REF!</f>
        <v>#REF!</v>
      </c>
      <c r="E653" s="67" t="str">
        <f>IF(OR(ISBLANK(C653),ISBLANK(D653)),"",D653*C653)</f>
        <v>#REF!</v>
      </c>
      <c r="F653" s="324"/>
      <c r="J653" s="322"/>
      <c r="K653" s="277" t="s">
        <v>838</v>
      </c>
      <c r="L653" s="344">
        <v>1.0</v>
      </c>
      <c r="M653" s="343">
        <f>MAINS!D388</f>
        <v>19681.11067</v>
      </c>
      <c r="N653" s="67">
        <f>IF(OR(ISBLANK(L653),ISBLANK(M653)),"",M653*L653)</f>
        <v>19681.11067</v>
      </c>
      <c r="O653" s="324"/>
    </row>
    <row r="654" ht="15.75" customHeight="1">
      <c r="A654" s="322"/>
      <c r="B654" s="277" t="s">
        <v>105</v>
      </c>
      <c r="C654" s="405">
        <v>0.06</v>
      </c>
      <c r="D654" s="371" t="str">
        <f>#REF!/30</f>
        <v>#REF!</v>
      </c>
      <c r="E654" s="67" t="str">
        <f>D654*C654</f>
        <v>#REF!</v>
      </c>
      <c r="F654" s="324"/>
      <c r="J654" s="322"/>
      <c r="K654" s="277" t="s">
        <v>275</v>
      </c>
      <c r="L654" s="405">
        <v>0.075</v>
      </c>
      <c r="M654" s="371">
        <f>D610</f>
        <v>63000</v>
      </c>
      <c r="N654" s="67">
        <f>M654*L654</f>
        <v>4725</v>
      </c>
      <c r="O654" s="324"/>
    </row>
    <row r="655" ht="15.75" customHeight="1">
      <c r="A655" s="322"/>
      <c r="B655" s="277"/>
      <c r="C655" s="407"/>
      <c r="D655" s="408" t="str">
        <f>#REF!</f>
        <v>#REF!</v>
      </c>
      <c r="E655" s="89" t="str">
        <f>IF(OR(ISBLANK(C655),ISBLANK(D655)),"",D655*C655)</f>
        <v/>
      </c>
      <c r="F655" s="324"/>
      <c r="J655" s="322"/>
      <c r="K655" s="277" t="s">
        <v>1204</v>
      </c>
      <c r="L655" s="407">
        <v>0.025</v>
      </c>
      <c r="M655" s="408">
        <f>D609</f>
        <v>103500</v>
      </c>
      <c r="N655" s="89">
        <f>IF(OR(ISBLANK(L655),ISBLANK(M655)),"",M655*L655)</f>
        <v>2587.5</v>
      </c>
      <c r="O655" s="324"/>
    </row>
    <row r="656" ht="15.75" customHeight="1">
      <c r="A656" s="322"/>
      <c r="B656" s="338" t="s">
        <v>84</v>
      </c>
      <c r="C656" s="358"/>
      <c r="D656" s="358"/>
      <c r="E656" s="359" t="str">
        <f>IF(SUM(E653:E655)=0,"",SUM(E653:E655))</f>
        <v>#REF!</v>
      </c>
      <c r="F656" s="324"/>
      <c r="J656" s="322"/>
      <c r="K656" s="338" t="s">
        <v>84</v>
      </c>
      <c r="L656" s="358"/>
      <c r="M656" s="358"/>
      <c r="N656" s="359">
        <f>IF(SUM(N653:N655)=0,"",SUM(N653:N655))</f>
        <v>26993.61067</v>
      </c>
      <c r="O656" s="324"/>
    </row>
    <row r="657" ht="15.75" customHeight="1">
      <c r="A657" s="322"/>
      <c r="B657" s="360"/>
      <c r="C657" s="360"/>
      <c r="D657" s="360"/>
      <c r="E657" s="361"/>
      <c r="F657" s="324"/>
      <c r="J657" s="322"/>
      <c r="K657" s="360"/>
      <c r="L657" s="360"/>
      <c r="M657" s="360"/>
      <c r="N657" s="361"/>
      <c r="O657" s="324"/>
    </row>
    <row r="658" ht="15.75" customHeight="1">
      <c r="A658" s="322"/>
      <c r="B658" s="362" t="s">
        <v>972</v>
      </c>
      <c r="C658" s="363"/>
      <c r="D658" s="363"/>
      <c r="E658" s="363"/>
      <c r="F658" s="324"/>
      <c r="J658" s="322"/>
      <c r="K658" s="362" t="s">
        <v>972</v>
      </c>
      <c r="L658" s="363"/>
      <c r="M658" s="363"/>
      <c r="N658" s="363"/>
      <c r="O658" s="324"/>
    </row>
    <row r="659" ht="15.75" customHeight="1">
      <c r="A659" s="322"/>
      <c r="B659" s="365" t="s">
        <v>953</v>
      </c>
      <c r="C659" s="366" t="s">
        <v>3</v>
      </c>
      <c r="D659" s="366" t="s">
        <v>975</v>
      </c>
      <c r="E659" s="367" t="s">
        <v>35</v>
      </c>
      <c r="F659" s="324"/>
      <c r="J659" s="322"/>
      <c r="K659" s="365" t="s">
        <v>953</v>
      </c>
      <c r="L659" s="366" t="s">
        <v>3</v>
      </c>
      <c r="M659" s="366" t="s">
        <v>975</v>
      </c>
      <c r="N659" s="367" t="s">
        <v>35</v>
      </c>
      <c r="O659" s="324"/>
    </row>
    <row r="660" ht="15.75" customHeight="1">
      <c r="A660" s="322"/>
      <c r="B660" s="368"/>
      <c r="C660" s="366"/>
      <c r="D660" s="366"/>
      <c r="E660" s="368"/>
      <c r="F660" s="324"/>
      <c r="J660" s="322"/>
      <c r="K660" s="368"/>
      <c r="L660" s="366"/>
      <c r="M660" s="366"/>
      <c r="N660" s="368"/>
      <c r="O660" s="324"/>
    </row>
    <row r="661" ht="15.75" customHeight="1">
      <c r="A661" s="322"/>
      <c r="B661" s="277" t="s">
        <v>453</v>
      </c>
      <c r="C661" s="398">
        <v>0.05</v>
      </c>
      <c r="D661" s="371" t="str">
        <f t="shared" ref="D661:D662" si="65">#REF!</f>
        <v>#REF!</v>
      </c>
      <c r="E661" s="67" t="str">
        <f t="shared" ref="E661:E670" si="66">D661*C661</f>
        <v>#REF!</v>
      </c>
      <c r="F661" s="324"/>
      <c r="J661" s="322"/>
      <c r="K661" s="277" t="s">
        <v>33</v>
      </c>
      <c r="L661" s="398">
        <v>0.4</v>
      </c>
      <c r="M661" s="371">
        <f>D616</f>
        <v>19665</v>
      </c>
      <c r="N661" s="67">
        <f t="shared" ref="N661:N670" si="67">M661*L661</f>
        <v>7866</v>
      </c>
      <c r="O661" s="324"/>
    </row>
    <row r="662" ht="15.75" customHeight="1">
      <c r="A662" s="322"/>
      <c r="B662" s="277" t="s">
        <v>214</v>
      </c>
      <c r="C662" s="405">
        <v>0.025</v>
      </c>
      <c r="D662" s="371" t="str">
        <f t="shared" si="65"/>
        <v>#REF!</v>
      </c>
      <c r="E662" s="67" t="str">
        <f t="shared" si="66"/>
        <v>#REF!</v>
      </c>
      <c r="F662" s="324"/>
      <c r="J662" s="322"/>
      <c r="K662" s="277"/>
      <c r="L662" s="405"/>
      <c r="M662" s="371"/>
      <c r="N662" s="67">
        <f t="shared" si="67"/>
        <v>0</v>
      </c>
      <c r="O662" s="324"/>
    </row>
    <row r="663" ht="15.75" customHeight="1">
      <c r="A663" s="322"/>
      <c r="B663" s="277" t="s">
        <v>374</v>
      </c>
      <c r="C663" s="405">
        <v>0.02</v>
      </c>
      <c r="D663" s="371" t="str">
        <f>#REF!/25</f>
        <v>#REF!</v>
      </c>
      <c r="E663" s="67" t="str">
        <f t="shared" si="66"/>
        <v>#REF!</v>
      </c>
      <c r="F663" s="324"/>
      <c r="J663" s="322"/>
      <c r="K663" s="277"/>
      <c r="L663" s="405"/>
      <c r="M663" s="371"/>
      <c r="N663" s="67">
        <f t="shared" si="67"/>
        <v>0</v>
      </c>
      <c r="O663" s="324"/>
    </row>
    <row r="664" ht="15.75" customHeight="1">
      <c r="A664" s="322"/>
      <c r="B664" s="228"/>
      <c r="C664" s="405"/>
      <c r="D664" s="371"/>
      <c r="E664" s="67">
        <f t="shared" si="66"/>
        <v>0</v>
      </c>
      <c r="F664" s="324"/>
      <c r="J664" s="322"/>
      <c r="K664" s="228"/>
      <c r="L664" s="405"/>
      <c r="M664" s="371"/>
      <c r="N664" s="67">
        <f t="shared" si="67"/>
        <v>0</v>
      </c>
      <c r="O664" s="324"/>
    </row>
    <row r="665" ht="15.75" customHeight="1">
      <c r="A665" s="322"/>
      <c r="B665" s="75"/>
      <c r="C665" s="346"/>
      <c r="D665" s="371"/>
      <c r="E665" s="67">
        <f t="shared" si="66"/>
        <v>0</v>
      </c>
      <c r="F665" s="324"/>
      <c r="J665" s="322"/>
      <c r="K665" s="75"/>
      <c r="L665" s="346"/>
      <c r="M665" s="371"/>
      <c r="N665" s="67">
        <f t="shared" si="67"/>
        <v>0</v>
      </c>
      <c r="O665" s="324"/>
    </row>
    <row r="666" ht="15.75" customHeight="1">
      <c r="A666" s="322"/>
      <c r="B666" s="442"/>
      <c r="C666" s="346"/>
      <c r="D666" s="371"/>
      <c r="E666" s="67">
        <f t="shared" si="66"/>
        <v>0</v>
      </c>
      <c r="F666" s="324"/>
      <c r="J666" s="322"/>
      <c r="K666" s="442"/>
      <c r="L666" s="346"/>
      <c r="M666" s="371"/>
      <c r="N666" s="67">
        <f t="shared" si="67"/>
        <v>0</v>
      </c>
      <c r="O666" s="324"/>
    </row>
    <row r="667" ht="15.75" customHeight="1">
      <c r="A667" s="322"/>
      <c r="B667" s="75"/>
      <c r="C667" s="398"/>
      <c r="D667" s="371"/>
      <c r="E667" s="67">
        <f t="shared" si="66"/>
        <v>0</v>
      </c>
      <c r="F667" s="324"/>
      <c r="J667" s="322"/>
      <c r="K667" s="75"/>
      <c r="L667" s="398"/>
      <c r="M667" s="371"/>
      <c r="N667" s="67">
        <f t="shared" si="67"/>
        <v>0</v>
      </c>
      <c r="O667" s="324"/>
    </row>
    <row r="668" ht="15.75" customHeight="1">
      <c r="A668" s="322"/>
      <c r="B668" s="348"/>
      <c r="C668" s="346"/>
      <c r="D668" s="373"/>
      <c r="E668" s="67">
        <f t="shared" si="66"/>
        <v>0</v>
      </c>
      <c r="F668" s="324"/>
      <c r="J668" s="322"/>
      <c r="K668" s="348"/>
      <c r="L668" s="346"/>
      <c r="M668" s="373"/>
      <c r="N668" s="67">
        <f t="shared" si="67"/>
        <v>0</v>
      </c>
      <c r="O668" s="324"/>
    </row>
    <row r="669" ht="15.75" customHeight="1">
      <c r="A669" s="322"/>
      <c r="B669" s="348"/>
      <c r="C669" s="346"/>
      <c r="D669" s="373"/>
      <c r="E669" s="67">
        <f t="shared" si="66"/>
        <v>0</v>
      </c>
      <c r="F669" s="324"/>
      <c r="J669" s="322"/>
      <c r="K669" s="348"/>
      <c r="L669" s="346"/>
      <c r="M669" s="373"/>
      <c r="N669" s="67">
        <f t="shared" si="67"/>
        <v>0</v>
      </c>
      <c r="O669" s="324"/>
    </row>
    <row r="670" ht="15.75" customHeight="1">
      <c r="A670" s="322"/>
      <c r="B670" s="354"/>
      <c r="C670" s="355"/>
      <c r="D670" s="356"/>
      <c r="E670" s="67">
        <f t="shared" si="66"/>
        <v>0</v>
      </c>
      <c r="F670" s="324"/>
      <c r="J670" s="322"/>
      <c r="K670" s="354"/>
      <c r="L670" s="355"/>
      <c r="M670" s="356"/>
      <c r="N670" s="67">
        <f t="shared" si="67"/>
        <v>0</v>
      </c>
      <c r="O670" s="324"/>
    </row>
    <row r="671" ht="15.75" customHeight="1">
      <c r="A671" s="322"/>
      <c r="B671" s="362" t="s">
        <v>84</v>
      </c>
      <c r="C671" s="374"/>
      <c r="D671" s="374"/>
      <c r="E671" s="375" t="str">
        <f>IF(SUM(E661:E670)=0,"",SUM(E661:E670))</f>
        <v>#REF!</v>
      </c>
      <c r="F671" s="324"/>
      <c r="J671" s="322"/>
      <c r="K671" s="362" t="s">
        <v>84</v>
      </c>
      <c r="L671" s="374"/>
      <c r="M671" s="374"/>
      <c r="N671" s="375">
        <f>IF(SUM(N661:N670)=0,"",SUM(N661:N670))</f>
        <v>7866</v>
      </c>
      <c r="O671" s="324"/>
    </row>
    <row r="672" ht="15.75" customHeight="1">
      <c r="A672" s="322"/>
      <c r="B672" s="360"/>
      <c r="C672" s="360"/>
      <c r="D672" s="360"/>
      <c r="E672" s="361"/>
      <c r="F672" s="324"/>
      <c r="J672" s="322"/>
      <c r="K672" s="360"/>
      <c r="L672" s="360"/>
      <c r="M672" s="360"/>
      <c r="N672" s="361"/>
      <c r="O672" s="324"/>
    </row>
    <row r="673" ht="15.75" customHeight="1">
      <c r="A673" s="322"/>
      <c r="B673" s="34" t="s">
        <v>17</v>
      </c>
      <c r="C673" s="35"/>
      <c r="D673" s="35"/>
      <c r="E673" s="35"/>
      <c r="F673" s="324"/>
      <c r="J673" s="322"/>
      <c r="K673" s="34" t="s">
        <v>17</v>
      </c>
      <c r="L673" s="35"/>
      <c r="M673" s="35"/>
      <c r="N673" s="35"/>
      <c r="O673" s="324"/>
    </row>
    <row r="674" ht="15.75" customHeight="1">
      <c r="A674" s="322"/>
      <c r="B674" s="52" t="s">
        <v>42</v>
      </c>
      <c r="C674" s="54"/>
      <c r="D674" s="54"/>
      <c r="E674" s="56" t="s">
        <v>35</v>
      </c>
      <c r="F674" s="324"/>
      <c r="J674" s="322"/>
      <c r="K674" s="52" t="s">
        <v>42</v>
      </c>
      <c r="L674" s="54"/>
      <c r="M674" s="54"/>
      <c r="N674" s="56" t="s">
        <v>35</v>
      </c>
      <c r="O674" s="324"/>
    </row>
    <row r="675" ht="15.75" customHeight="1">
      <c r="A675" s="322"/>
      <c r="B675" s="60" t="s">
        <v>40</v>
      </c>
      <c r="C675" s="343">
        <f>'UTL COST'!$B$3</f>
        <v>369000</v>
      </c>
      <c r="D675" s="379">
        <f>'UTL COST'!$C$3</f>
        <v>0.0075</v>
      </c>
      <c r="E675" s="67">
        <f>'UTL COST'!$D$3</f>
        <v>2767.5</v>
      </c>
      <c r="F675" s="324"/>
      <c r="J675" s="322"/>
      <c r="K675" s="60" t="s">
        <v>40</v>
      </c>
      <c r="L675" s="343">
        <f>'UTL COST'!$B$3</f>
        <v>369000</v>
      </c>
      <c r="M675" s="379">
        <f>'UTL COST'!$C$3</f>
        <v>0.0075</v>
      </c>
      <c r="N675" s="67">
        <f>'UTL COST'!$D$3</f>
        <v>2767.5</v>
      </c>
      <c r="O675" s="324"/>
    </row>
    <row r="676" ht="15.75" customHeight="1">
      <c r="A676" s="322"/>
      <c r="B676" s="75" t="s">
        <v>51</v>
      </c>
      <c r="C676" s="371" t="str">
        <f>'UTL COST'!$B$4</f>
        <v>#REF!</v>
      </c>
      <c r="D676" s="382">
        <f>'UTL COST'!$C$4</f>
        <v>7000</v>
      </c>
      <c r="E676" s="67" t="str">
        <f>'UTL COST'!$D$4</f>
        <v>#REF!</v>
      </c>
      <c r="F676" s="324"/>
      <c r="J676" s="322"/>
      <c r="K676" s="75" t="s">
        <v>51</v>
      </c>
      <c r="L676" s="371" t="str">
        <f>'UTL COST'!$B$4</f>
        <v>#REF!</v>
      </c>
      <c r="M676" s="382">
        <f>'UTL COST'!$C$4</f>
        <v>7000</v>
      </c>
      <c r="N676" s="67" t="str">
        <f>'UTL COST'!$D$4</f>
        <v>#REF!</v>
      </c>
      <c r="O676" s="324"/>
    </row>
    <row r="677" ht="15.75" customHeight="1">
      <c r="A677" s="322"/>
      <c r="B677" s="75" t="s">
        <v>59</v>
      </c>
      <c r="C677" s="371" t="str">
        <f>'UTL COST'!$B$5</f>
        <v>#REF!</v>
      </c>
      <c r="D677" s="382">
        <f>'UTL COST'!$C$5</f>
        <v>45000</v>
      </c>
      <c r="E677" s="76" t="str">
        <f>'UTL COST'!$D$5</f>
        <v>#REF!</v>
      </c>
      <c r="F677" s="324"/>
      <c r="J677" s="322"/>
      <c r="K677" s="75" t="s">
        <v>59</v>
      </c>
      <c r="L677" s="371" t="str">
        <f>'UTL COST'!$B$5</f>
        <v>#REF!</v>
      </c>
      <c r="M677" s="382">
        <f>'UTL COST'!$C$5</f>
        <v>45000</v>
      </c>
      <c r="N677" s="76" t="str">
        <f>'UTL COST'!$D$5</f>
        <v>#REF!</v>
      </c>
      <c r="O677" s="324"/>
    </row>
    <row r="678" ht="15.75" customHeight="1">
      <c r="A678" s="322"/>
      <c r="B678" s="406" t="s">
        <v>64</v>
      </c>
      <c r="C678" s="371" t="str">
        <f>'UTL COST'!$B$6</f>
        <v>#REF!</v>
      </c>
      <c r="D678" s="383">
        <f>'UTL COST'!$C$6</f>
        <v>525</v>
      </c>
      <c r="E678" s="89">
        <v>0.1</v>
      </c>
      <c r="F678" s="324"/>
      <c r="J678" s="322"/>
      <c r="K678" s="406" t="s">
        <v>64</v>
      </c>
      <c r="L678" s="371" t="str">
        <f>'UTL COST'!$B$6</f>
        <v>#REF!</v>
      </c>
      <c r="M678" s="383">
        <f>'UTL COST'!$C$6</f>
        <v>525</v>
      </c>
      <c r="N678" s="89">
        <v>0.1</v>
      </c>
      <c r="O678" s="324"/>
    </row>
    <row r="679" ht="15.75" customHeight="1">
      <c r="A679" s="322"/>
      <c r="B679" s="34" t="s">
        <v>84</v>
      </c>
      <c r="C679" s="102"/>
      <c r="D679" s="102"/>
      <c r="E679" s="104" t="str">
        <f>IF(SUM(E675:E678)=0,"",SUM(E675:E678))</f>
        <v>#REF!</v>
      </c>
      <c r="F679" s="324"/>
      <c r="J679" s="322"/>
      <c r="K679" s="34" t="s">
        <v>84</v>
      </c>
      <c r="L679" s="102"/>
      <c r="M679" s="102"/>
      <c r="N679" s="104" t="str">
        <f>IF(SUM(N675:N678)=0,"",SUM(N675:N678))</f>
        <v>#REF!</v>
      </c>
      <c r="O679" s="324"/>
    </row>
    <row r="680" ht="15.75" customHeight="1">
      <c r="A680" s="322"/>
      <c r="B680" s="360"/>
      <c r="C680" s="360"/>
      <c r="D680" s="360"/>
      <c r="E680" s="361"/>
      <c r="F680" s="324"/>
      <c r="J680" s="322"/>
      <c r="K680" s="360"/>
      <c r="L680" s="360"/>
      <c r="M680" s="360"/>
      <c r="N680" s="361"/>
      <c r="O680" s="324"/>
    </row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1">
    <mergeCell ref="L52:M52"/>
    <mergeCell ref="L54:M54"/>
    <mergeCell ref="L56:M56"/>
    <mergeCell ref="L58:M58"/>
    <mergeCell ref="K69:K70"/>
    <mergeCell ref="N69:N70"/>
    <mergeCell ref="L95:M95"/>
    <mergeCell ref="L97:M97"/>
    <mergeCell ref="L99:M99"/>
    <mergeCell ref="L101:M101"/>
    <mergeCell ref="L103:M103"/>
    <mergeCell ref="K114:K115"/>
    <mergeCell ref="N114:N115"/>
    <mergeCell ref="L140:M140"/>
    <mergeCell ref="L189:M189"/>
    <mergeCell ref="L191:M191"/>
    <mergeCell ref="L142:M142"/>
    <mergeCell ref="L144:M144"/>
    <mergeCell ref="L146:M146"/>
    <mergeCell ref="L148:M148"/>
    <mergeCell ref="K159:K160"/>
    <mergeCell ref="N159:N160"/>
    <mergeCell ref="L187:M187"/>
    <mergeCell ref="C95:D95"/>
    <mergeCell ref="C97:D97"/>
    <mergeCell ref="C99:D99"/>
    <mergeCell ref="C101:D101"/>
    <mergeCell ref="C103:D103"/>
    <mergeCell ref="B114:B115"/>
    <mergeCell ref="E114:E115"/>
    <mergeCell ref="C140:D140"/>
    <mergeCell ref="C142:D142"/>
    <mergeCell ref="C144:D144"/>
    <mergeCell ref="C146:D146"/>
    <mergeCell ref="C148:D148"/>
    <mergeCell ref="B159:B160"/>
    <mergeCell ref="E159:E160"/>
    <mergeCell ref="L10:M10"/>
    <mergeCell ref="L12:M12"/>
    <mergeCell ref="A1:F1"/>
    <mergeCell ref="C6:D6"/>
    <mergeCell ref="L6:M6"/>
    <mergeCell ref="C8:D8"/>
    <mergeCell ref="L8:M8"/>
    <mergeCell ref="C10:D10"/>
    <mergeCell ref="C12:D12"/>
    <mergeCell ref="C14:D14"/>
    <mergeCell ref="L14:M14"/>
    <mergeCell ref="B25:B26"/>
    <mergeCell ref="E25:E26"/>
    <mergeCell ref="K25:K26"/>
    <mergeCell ref="N25:N26"/>
    <mergeCell ref="L50:M50"/>
    <mergeCell ref="C50:D50"/>
    <mergeCell ref="C52:D52"/>
    <mergeCell ref="C54:D54"/>
    <mergeCell ref="C56:D56"/>
    <mergeCell ref="C58:D58"/>
    <mergeCell ref="B69:B70"/>
    <mergeCell ref="E69:E70"/>
    <mergeCell ref="C187:D187"/>
    <mergeCell ref="C189:D189"/>
    <mergeCell ref="C191:D191"/>
    <mergeCell ref="C193:D193"/>
    <mergeCell ref="L193:M193"/>
    <mergeCell ref="C195:D195"/>
    <mergeCell ref="L195:M195"/>
    <mergeCell ref="B206:B207"/>
    <mergeCell ref="E206:E207"/>
    <mergeCell ref="K206:K207"/>
    <mergeCell ref="N206:N207"/>
    <mergeCell ref="L233:M233"/>
    <mergeCell ref="L235:M235"/>
    <mergeCell ref="L237:M237"/>
    <mergeCell ref="L331:M331"/>
    <mergeCell ref="L333:M333"/>
    <mergeCell ref="C506:D506"/>
    <mergeCell ref="C508:D508"/>
    <mergeCell ref="C510:D510"/>
    <mergeCell ref="C512:D512"/>
    <mergeCell ref="C514:D514"/>
    <mergeCell ref="B525:B526"/>
    <mergeCell ref="E525:E526"/>
    <mergeCell ref="C550:D550"/>
    <mergeCell ref="C552:D552"/>
    <mergeCell ref="C554:D554"/>
    <mergeCell ref="C556:D556"/>
    <mergeCell ref="C558:D558"/>
    <mergeCell ref="B569:B570"/>
    <mergeCell ref="E569:E570"/>
    <mergeCell ref="C233:D233"/>
    <mergeCell ref="C235:D235"/>
    <mergeCell ref="C237:D237"/>
    <mergeCell ref="C239:D239"/>
    <mergeCell ref="C241:D241"/>
    <mergeCell ref="B252:B253"/>
    <mergeCell ref="E252:E253"/>
    <mergeCell ref="C280:D280"/>
    <mergeCell ref="C282:D282"/>
    <mergeCell ref="C284:D284"/>
    <mergeCell ref="C286:D286"/>
    <mergeCell ref="C288:D288"/>
    <mergeCell ref="B299:B300"/>
    <mergeCell ref="E299:E300"/>
    <mergeCell ref="C325:D325"/>
    <mergeCell ref="C327:D327"/>
    <mergeCell ref="C329:D329"/>
    <mergeCell ref="C331:D331"/>
    <mergeCell ref="C333:D333"/>
    <mergeCell ref="B344:B345"/>
    <mergeCell ref="E344:E345"/>
    <mergeCell ref="C370:D370"/>
    <mergeCell ref="C372:D372"/>
    <mergeCell ref="C374:D374"/>
    <mergeCell ref="C376:D376"/>
    <mergeCell ref="C378:D378"/>
    <mergeCell ref="B389:B390"/>
    <mergeCell ref="E389:E390"/>
    <mergeCell ref="C416:D416"/>
    <mergeCell ref="C418:D418"/>
    <mergeCell ref="C420:D420"/>
    <mergeCell ref="C422:D422"/>
    <mergeCell ref="C424:D424"/>
    <mergeCell ref="B435:B436"/>
    <mergeCell ref="E435:E436"/>
    <mergeCell ref="C461:D461"/>
    <mergeCell ref="C463:D463"/>
    <mergeCell ref="C465:D465"/>
    <mergeCell ref="C467:D467"/>
    <mergeCell ref="C469:D469"/>
    <mergeCell ref="B480:B481"/>
    <mergeCell ref="E480:E481"/>
    <mergeCell ref="C640:D640"/>
    <mergeCell ref="C642:D642"/>
    <mergeCell ref="C644:D644"/>
    <mergeCell ref="C646:D646"/>
    <mergeCell ref="C648:D648"/>
    <mergeCell ref="B659:B660"/>
    <mergeCell ref="E659:E660"/>
    <mergeCell ref="C595:D595"/>
    <mergeCell ref="C597:D597"/>
    <mergeCell ref="C599:D599"/>
    <mergeCell ref="C601:D601"/>
    <mergeCell ref="C603:D603"/>
    <mergeCell ref="B614:B615"/>
    <mergeCell ref="E614:E615"/>
    <mergeCell ref="K569:K570"/>
    <mergeCell ref="N569:N570"/>
    <mergeCell ref="L595:M595"/>
    <mergeCell ref="L597:M597"/>
    <mergeCell ref="L599:M599"/>
    <mergeCell ref="L601:M601"/>
    <mergeCell ref="L603:M603"/>
    <mergeCell ref="K659:K660"/>
    <mergeCell ref="N659:N660"/>
    <mergeCell ref="K614:K615"/>
    <mergeCell ref="N614:N615"/>
    <mergeCell ref="L640:M640"/>
    <mergeCell ref="L642:M642"/>
    <mergeCell ref="L644:M644"/>
    <mergeCell ref="L646:M646"/>
    <mergeCell ref="L648:M648"/>
    <mergeCell ref="L239:M239"/>
    <mergeCell ref="L241:M241"/>
    <mergeCell ref="K252:K253"/>
    <mergeCell ref="N252:N253"/>
    <mergeCell ref="L280:M280"/>
    <mergeCell ref="L282:M282"/>
    <mergeCell ref="L284:M284"/>
    <mergeCell ref="L286:M286"/>
    <mergeCell ref="L288:M288"/>
    <mergeCell ref="K299:K300"/>
    <mergeCell ref="N299:N300"/>
    <mergeCell ref="L325:M325"/>
    <mergeCell ref="L327:M327"/>
    <mergeCell ref="L329:M329"/>
    <mergeCell ref="K344:K345"/>
    <mergeCell ref="N344:N345"/>
    <mergeCell ref="L370:M370"/>
    <mergeCell ref="L372:M372"/>
    <mergeCell ref="L374:M374"/>
    <mergeCell ref="L376:M376"/>
    <mergeCell ref="L378:M378"/>
    <mergeCell ref="K389:K390"/>
    <mergeCell ref="N389:N390"/>
    <mergeCell ref="L416:M416"/>
    <mergeCell ref="L418:M418"/>
    <mergeCell ref="L420:M420"/>
    <mergeCell ref="L422:M422"/>
    <mergeCell ref="L424:M424"/>
    <mergeCell ref="K435:K436"/>
    <mergeCell ref="N435:N436"/>
    <mergeCell ref="L461:M461"/>
    <mergeCell ref="L463:M463"/>
    <mergeCell ref="L465:M465"/>
    <mergeCell ref="L467:M467"/>
    <mergeCell ref="L469:M469"/>
    <mergeCell ref="K480:K481"/>
    <mergeCell ref="N480:N481"/>
    <mergeCell ref="L506:M506"/>
    <mergeCell ref="L508:M508"/>
    <mergeCell ref="L510:M510"/>
    <mergeCell ref="L512:M512"/>
    <mergeCell ref="L514:M514"/>
    <mergeCell ref="K525:K526"/>
    <mergeCell ref="N525:N526"/>
    <mergeCell ref="L550:M550"/>
    <mergeCell ref="L552:M552"/>
    <mergeCell ref="L554:M554"/>
    <mergeCell ref="L556:M556"/>
    <mergeCell ref="L558:M558"/>
  </mergeCells>
  <printOptions/>
  <pageMargins bottom="0.75" footer="0.0" header="0.0" left="0.7" right="0.7" top="0.75"/>
  <pageSetup scale="90" orientation="portrait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0"/>
    <col customWidth="1" min="4" max="4" width="13.38"/>
    <col customWidth="1" min="5" max="5" width="12.63"/>
    <col customWidth="1" min="6" max="6" width="4.5"/>
    <col customWidth="1" min="7" max="7" width="3.0"/>
    <col customWidth="1" min="8" max="10" width="7.75"/>
    <col customWidth="1" min="11" max="11" width="24.38"/>
    <col customWidth="1" min="12" max="12" width="12.0"/>
    <col customWidth="1" min="13" max="13" width="13.38"/>
    <col customWidth="1" min="14" max="14" width="12.13"/>
    <col customWidth="1" min="15" max="15" width="10.0"/>
    <col customWidth="1" min="16" max="26" width="14.38"/>
  </cols>
  <sheetData>
    <row r="1" ht="46.5" customHeight="1">
      <c r="A1" s="399" t="s">
        <v>1034</v>
      </c>
      <c r="B1" s="321"/>
      <c r="C1" s="321"/>
      <c r="D1" s="321"/>
      <c r="E1" s="321"/>
      <c r="F1" s="321"/>
      <c r="G1" s="402"/>
      <c r="H1" s="387"/>
      <c r="I1" s="387"/>
      <c r="J1" s="387"/>
      <c r="K1" s="387"/>
      <c r="L1" s="387"/>
      <c r="M1" s="387"/>
      <c r="N1" s="387"/>
      <c r="O1" s="387"/>
    </row>
    <row r="2" ht="18.0" customHeight="1">
      <c r="A2" s="388"/>
      <c r="B2" s="388"/>
      <c r="C2" s="388"/>
      <c r="D2" s="388"/>
      <c r="E2" s="389"/>
      <c r="F2" s="387"/>
      <c r="G2" s="387"/>
      <c r="H2" s="387"/>
      <c r="I2" s="387"/>
      <c r="J2" s="387"/>
      <c r="K2" s="387"/>
      <c r="L2" s="387"/>
      <c r="M2" s="387"/>
      <c r="N2" s="387"/>
      <c r="O2" s="387"/>
    </row>
    <row r="3" ht="6.75" customHeight="1">
      <c r="A3" s="388"/>
      <c r="B3" s="388"/>
      <c r="C3" s="388"/>
      <c r="D3" s="388"/>
      <c r="E3" s="389"/>
      <c r="F3" s="387"/>
      <c r="G3" s="387"/>
      <c r="H3" s="387"/>
      <c r="I3" s="387"/>
      <c r="J3" s="387"/>
      <c r="K3" s="387"/>
      <c r="L3" s="387"/>
      <c r="M3" s="387"/>
      <c r="N3" s="387"/>
      <c r="O3" s="387"/>
    </row>
    <row r="4" ht="15.0" customHeight="1">
      <c r="A4" s="322"/>
      <c r="B4" s="322"/>
      <c r="C4" s="322"/>
      <c r="D4" s="322"/>
      <c r="E4" s="323"/>
      <c r="F4" s="324"/>
      <c r="G4" s="324"/>
      <c r="H4" s="387"/>
      <c r="I4" s="388"/>
      <c r="J4" s="322"/>
      <c r="K4" s="322"/>
      <c r="L4" s="322"/>
      <c r="M4" s="322"/>
      <c r="N4" s="323"/>
      <c r="O4" s="324"/>
    </row>
    <row r="5" ht="4.5" customHeight="1">
      <c r="A5" s="322"/>
      <c r="B5" s="325"/>
      <c r="C5" s="322"/>
      <c r="D5" s="322"/>
      <c r="E5" s="323"/>
      <c r="F5" s="326"/>
      <c r="G5" s="326"/>
      <c r="H5" s="404"/>
      <c r="I5" s="388"/>
      <c r="J5" s="322"/>
      <c r="K5" s="325"/>
      <c r="L5" s="322"/>
      <c r="M5" s="322"/>
      <c r="N5" s="323"/>
      <c r="O5" s="326"/>
    </row>
    <row r="6" ht="18.0" customHeight="1">
      <c r="A6" s="322"/>
      <c r="B6" s="327" t="s">
        <v>931</v>
      </c>
      <c r="C6" s="328" t="s">
        <v>1036</v>
      </c>
      <c r="D6" s="329"/>
      <c r="E6" s="323"/>
      <c r="F6" s="326"/>
      <c r="G6" s="326"/>
      <c r="H6" s="404"/>
      <c r="I6" s="388"/>
      <c r="J6" s="322"/>
      <c r="K6" s="327" t="s">
        <v>931</v>
      </c>
      <c r="L6" s="328" t="s">
        <v>513</v>
      </c>
      <c r="M6" s="329"/>
      <c r="N6" s="323"/>
      <c r="O6" s="326"/>
    </row>
    <row r="7" ht="4.5" customHeight="1">
      <c r="A7" s="322"/>
      <c r="B7" s="325"/>
      <c r="C7" s="322"/>
      <c r="D7" s="322"/>
      <c r="E7" s="323"/>
      <c r="F7" s="326"/>
      <c r="G7" s="326"/>
      <c r="H7" s="404"/>
      <c r="I7" s="388"/>
      <c r="J7" s="322"/>
      <c r="K7" s="325"/>
      <c r="L7" s="322"/>
      <c r="M7" s="322"/>
      <c r="N7" s="323"/>
      <c r="O7" s="326"/>
    </row>
    <row r="8" ht="18.0" customHeight="1">
      <c r="A8" s="322"/>
      <c r="B8" s="327" t="s">
        <v>935</v>
      </c>
      <c r="C8" s="331">
        <v>205000.0</v>
      </c>
      <c r="D8" s="329"/>
      <c r="E8" s="323"/>
      <c r="F8" s="326"/>
      <c r="G8" s="326"/>
      <c r="H8" s="404"/>
      <c r="I8" s="388"/>
      <c r="J8" s="322"/>
      <c r="K8" s="327" t="s">
        <v>935</v>
      </c>
      <c r="L8" s="331">
        <v>245000.0</v>
      </c>
      <c r="M8" s="329"/>
      <c r="N8" s="323"/>
      <c r="O8" s="326"/>
    </row>
    <row r="9" ht="4.5" customHeight="1">
      <c r="A9" s="322"/>
      <c r="B9" s="327"/>
      <c r="C9" s="332"/>
      <c r="D9" s="332"/>
      <c r="E9" s="323"/>
      <c r="F9" s="326"/>
      <c r="G9" s="326"/>
      <c r="H9" s="404"/>
      <c r="I9" s="388"/>
      <c r="J9" s="322"/>
      <c r="K9" s="327"/>
      <c r="L9" s="332"/>
      <c r="M9" s="332"/>
      <c r="N9" s="323"/>
      <c r="O9" s="326"/>
    </row>
    <row r="10" ht="18.0" customHeight="1">
      <c r="A10" s="322"/>
      <c r="B10" s="327" t="s">
        <v>939</v>
      </c>
      <c r="C10" s="333" t="str">
        <f>IF(SUM(E22,E37,E45)=0,"",SUM(E22,E37,E45))</f>
        <v>#REF!</v>
      </c>
      <c r="D10" s="321"/>
      <c r="E10" s="323"/>
      <c r="F10" s="326"/>
      <c r="G10" s="326"/>
      <c r="H10" s="404"/>
      <c r="I10" s="388"/>
      <c r="J10" s="322"/>
      <c r="K10" s="327" t="s">
        <v>939</v>
      </c>
      <c r="L10" s="333" t="str">
        <f>IF(SUM(N22,N37,N45)=0,"",SUM(N22,N37,N45))</f>
        <v>#REF!</v>
      </c>
      <c r="M10" s="321"/>
      <c r="N10" s="323" t="str">
        <f>L10/90000</f>
        <v>#REF!</v>
      </c>
      <c r="O10" s="326"/>
    </row>
    <row r="11" ht="4.5" customHeight="1">
      <c r="A11" s="322"/>
      <c r="B11" s="327"/>
      <c r="C11" s="334"/>
      <c r="D11" s="334"/>
      <c r="E11" s="323"/>
      <c r="F11" s="326"/>
      <c r="G11" s="326"/>
      <c r="H11" s="404"/>
      <c r="I11" s="388"/>
      <c r="J11" s="322"/>
      <c r="K11" s="327"/>
      <c r="L11" s="334"/>
      <c r="M11" s="334"/>
      <c r="N11" s="323"/>
      <c r="O11" s="326"/>
    </row>
    <row r="12" ht="18.0" customHeight="1">
      <c r="A12" s="322"/>
      <c r="B12" s="327" t="s">
        <v>946</v>
      </c>
      <c r="C12" s="335" t="str">
        <f>IF(C10="","",IF(ISBLANK(C8),"",C10/C8))</f>
        <v>#REF!</v>
      </c>
      <c r="D12" s="321"/>
      <c r="E12" s="323"/>
      <c r="F12" s="326"/>
      <c r="G12" s="326"/>
      <c r="H12" s="404"/>
      <c r="I12" s="388"/>
      <c r="J12" s="322"/>
      <c r="K12" s="327" t="s">
        <v>946</v>
      </c>
      <c r="L12" s="335" t="str">
        <f>IF(L10="","",IF(ISBLANK(L8),"",L10/L8))</f>
        <v>#REF!</v>
      </c>
      <c r="M12" s="321"/>
      <c r="N12" s="323"/>
      <c r="O12" s="326"/>
    </row>
    <row r="13" ht="4.5" customHeight="1">
      <c r="A13" s="322"/>
      <c r="B13" s="327"/>
      <c r="C13" s="334"/>
      <c r="D13" s="334"/>
      <c r="E13" s="323"/>
      <c r="F13" s="326"/>
      <c r="G13" s="326"/>
      <c r="H13" s="404"/>
      <c r="I13" s="388"/>
      <c r="J13" s="322"/>
      <c r="K13" s="327"/>
      <c r="L13" s="334"/>
      <c r="M13" s="334"/>
      <c r="N13" s="323"/>
      <c r="O13" s="326"/>
    </row>
    <row r="14" ht="18.0" customHeight="1">
      <c r="A14" s="322"/>
      <c r="B14" s="327" t="s">
        <v>950</v>
      </c>
      <c r="C14" s="333" t="str">
        <f>C8-C10</f>
        <v>#REF!</v>
      </c>
      <c r="D14" s="321"/>
      <c r="E14" s="323"/>
      <c r="F14" s="326"/>
      <c r="G14" s="326"/>
      <c r="H14" s="404"/>
      <c r="I14" s="388"/>
      <c r="J14" s="322"/>
      <c r="K14" s="327" t="s">
        <v>950</v>
      </c>
      <c r="L14" s="333" t="str">
        <f>L8-L10</f>
        <v>#REF!</v>
      </c>
      <c r="M14" s="321"/>
      <c r="N14" s="323"/>
      <c r="O14" s="326"/>
    </row>
    <row r="15" ht="15.0" customHeight="1">
      <c r="A15" s="322"/>
      <c r="B15" s="322"/>
      <c r="C15" s="322"/>
      <c r="D15" s="322"/>
      <c r="E15" s="323"/>
      <c r="F15" s="324"/>
      <c r="G15" s="324"/>
      <c r="H15" s="404"/>
      <c r="I15" s="388"/>
      <c r="J15" s="322"/>
      <c r="K15" s="322"/>
      <c r="L15" s="322"/>
      <c r="M15" s="322"/>
      <c r="N15" s="323"/>
      <c r="O15" s="324"/>
    </row>
    <row r="16" ht="12.75" customHeight="1">
      <c r="A16" s="322"/>
      <c r="B16" s="322"/>
      <c r="C16" s="322"/>
      <c r="D16" s="322"/>
      <c r="E16" s="337"/>
      <c r="F16" s="324"/>
      <c r="G16" s="324"/>
      <c r="H16" s="387"/>
      <c r="I16" s="388"/>
      <c r="J16" s="322"/>
      <c r="K16" s="322"/>
      <c r="L16" s="322"/>
      <c r="M16" s="322"/>
      <c r="N16" s="337"/>
      <c r="O16" s="324"/>
    </row>
    <row r="17" ht="12.75" customHeight="1">
      <c r="A17" s="322"/>
      <c r="B17" s="338" t="s">
        <v>951</v>
      </c>
      <c r="C17" s="339"/>
      <c r="D17" s="339"/>
      <c r="E17" s="339"/>
      <c r="F17" s="324"/>
      <c r="G17" s="324"/>
      <c r="H17" s="410"/>
      <c r="I17" s="388"/>
      <c r="J17" s="322"/>
      <c r="K17" s="338" t="s">
        <v>951</v>
      </c>
      <c r="L17" s="339"/>
      <c r="M17" s="339"/>
      <c r="N17" s="339"/>
      <c r="O17" s="324"/>
    </row>
    <row r="18" ht="12.75" customHeight="1">
      <c r="A18" s="322"/>
      <c r="B18" s="340" t="s">
        <v>953</v>
      </c>
      <c r="C18" s="341" t="s">
        <v>954</v>
      </c>
      <c r="D18" s="341" t="s">
        <v>955</v>
      </c>
      <c r="E18" s="341" t="s">
        <v>35</v>
      </c>
      <c r="F18" s="324"/>
      <c r="G18" s="324"/>
      <c r="H18" s="387"/>
      <c r="I18" s="388"/>
      <c r="J18" s="322"/>
      <c r="K18" s="340" t="s">
        <v>953</v>
      </c>
      <c r="L18" s="341" t="s">
        <v>954</v>
      </c>
      <c r="M18" s="341" t="s">
        <v>955</v>
      </c>
      <c r="N18" s="341" t="s">
        <v>35</v>
      </c>
      <c r="O18" s="324"/>
    </row>
    <row r="19" ht="12.75" customHeight="1">
      <c r="A19" s="322"/>
      <c r="B19" s="60" t="s">
        <v>513</v>
      </c>
      <c r="C19" s="342">
        <v>0.28</v>
      </c>
      <c r="D19" s="343">
        <f>SANDWICHES!$D$19</f>
        <v>81000</v>
      </c>
      <c r="E19" s="67">
        <f t="shared" ref="E19:E20" si="1">IF(OR(ISBLANK(C19),ISBLANK(D19)),"",D19*C19)</f>
        <v>22680</v>
      </c>
      <c r="F19" s="324"/>
      <c r="G19" s="324"/>
      <c r="H19" s="387">
        <f>E19/90000</f>
        <v>0.252</v>
      </c>
      <c r="I19" s="388"/>
      <c r="J19" s="322"/>
      <c r="K19" s="60" t="s">
        <v>513</v>
      </c>
      <c r="L19" s="342">
        <v>0.28</v>
      </c>
      <c r="M19" s="343">
        <f>SANDWICHES!$D$19</f>
        <v>81000</v>
      </c>
      <c r="N19" s="67">
        <f t="shared" ref="N19:N20" si="2">IF(OR(ISBLANK(L19),ISBLANK(M19)),"",M19*L19)</f>
        <v>22680</v>
      </c>
      <c r="O19" s="324"/>
    </row>
    <row r="20" ht="12.75" customHeight="1">
      <c r="A20" s="322"/>
      <c r="B20" s="75" t="s">
        <v>33</v>
      </c>
      <c r="C20" s="346">
        <v>0.16</v>
      </c>
      <c r="D20" s="371">
        <f>STARTERS!$D$19</f>
        <v>19665</v>
      </c>
      <c r="E20" s="67">
        <f t="shared" si="1"/>
        <v>3146.4</v>
      </c>
      <c r="F20" s="324"/>
      <c r="G20" s="324"/>
      <c r="H20" s="387"/>
      <c r="I20" s="388"/>
      <c r="J20" s="322"/>
      <c r="K20" s="75" t="s">
        <v>33</v>
      </c>
      <c r="L20" s="370">
        <v>0.2</v>
      </c>
      <c r="M20" s="371">
        <f>STARTERS!$D$19</f>
        <v>19665</v>
      </c>
      <c r="N20" s="67">
        <f t="shared" si="2"/>
        <v>3933</v>
      </c>
      <c r="O20" s="324"/>
    </row>
    <row r="21" ht="12.75" customHeight="1">
      <c r="A21" s="322"/>
      <c r="B21" s="87"/>
      <c r="C21" s="355"/>
      <c r="D21" s="356"/>
      <c r="E21" s="67"/>
      <c r="F21" s="324"/>
      <c r="G21" s="324"/>
      <c r="H21" s="387"/>
      <c r="I21" s="388"/>
      <c r="J21" s="322"/>
      <c r="K21" s="87"/>
      <c r="L21" s="355"/>
      <c r="M21" s="356"/>
      <c r="N21" s="67"/>
      <c r="O21" s="324"/>
    </row>
    <row r="22" ht="12.75" customHeight="1">
      <c r="A22" s="322"/>
      <c r="B22" s="338" t="s">
        <v>84</v>
      </c>
      <c r="C22" s="358"/>
      <c r="D22" s="358"/>
      <c r="E22" s="359">
        <f>IF(SUM(E19:E21)=0,"",SUM(E19:E21))</f>
        <v>25826.4</v>
      </c>
      <c r="F22" s="324"/>
      <c r="G22" s="324"/>
      <c r="H22" s="387"/>
      <c r="I22" s="388"/>
      <c r="J22" s="322"/>
      <c r="K22" s="338" t="s">
        <v>84</v>
      </c>
      <c r="L22" s="358"/>
      <c r="M22" s="358"/>
      <c r="N22" s="359">
        <f>IF(SUM(N19:N21)=0,"",SUM(N19:N21))</f>
        <v>26613</v>
      </c>
      <c r="O22" s="324"/>
    </row>
    <row r="23" ht="12.75" customHeight="1">
      <c r="A23" s="322"/>
      <c r="B23" s="360"/>
      <c r="C23" s="360"/>
      <c r="D23" s="360"/>
      <c r="E23" s="361"/>
      <c r="F23" s="324"/>
      <c r="G23" s="324"/>
      <c r="H23" s="387"/>
      <c r="I23" s="388"/>
      <c r="J23" s="322"/>
      <c r="K23" s="360"/>
      <c r="L23" s="360"/>
      <c r="M23" s="360"/>
      <c r="N23" s="361"/>
      <c r="O23" s="324"/>
    </row>
    <row r="24" ht="12.75" customHeight="1">
      <c r="A24" s="322"/>
      <c r="B24" s="362" t="s">
        <v>972</v>
      </c>
      <c r="C24" s="363"/>
      <c r="D24" s="363"/>
      <c r="E24" s="363"/>
      <c r="F24" s="324"/>
      <c r="G24" s="324"/>
      <c r="H24" s="387"/>
      <c r="I24" s="388"/>
      <c r="J24" s="322"/>
      <c r="K24" s="362" t="s">
        <v>972</v>
      </c>
      <c r="L24" s="363"/>
      <c r="M24" s="363"/>
      <c r="N24" s="363"/>
      <c r="O24" s="324"/>
    </row>
    <row r="25" ht="12.75" customHeight="1">
      <c r="A25" s="322"/>
      <c r="B25" s="365" t="s">
        <v>953</v>
      </c>
      <c r="C25" s="366" t="s">
        <v>3</v>
      </c>
      <c r="D25" s="366" t="s">
        <v>975</v>
      </c>
      <c r="E25" s="367" t="s">
        <v>35</v>
      </c>
      <c r="F25" s="324"/>
      <c r="G25" s="324"/>
      <c r="H25" s="387"/>
      <c r="I25" s="388"/>
      <c r="J25" s="322"/>
      <c r="K25" s="365" t="s">
        <v>953</v>
      </c>
      <c r="L25" s="366" t="s">
        <v>3</v>
      </c>
      <c r="M25" s="366" t="s">
        <v>975</v>
      </c>
      <c r="N25" s="367" t="s">
        <v>35</v>
      </c>
      <c r="O25" s="324"/>
    </row>
    <row r="26" ht="12.75" customHeight="1">
      <c r="A26" s="322"/>
      <c r="B26" s="368"/>
      <c r="C26" s="366"/>
      <c r="D26" s="366"/>
      <c r="E26" s="368"/>
      <c r="F26" s="324"/>
      <c r="G26" s="324"/>
      <c r="H26" s="387"/>
      <c r="I26" s="388"/>
      <c r="J26" s="322"/>
      <c r="K26" s="368"/>
      <c r="L26" s="366"/>
      <c r="M26" s="366"/>
      <c r="N26" s="368"/>
      <c r="O26" s="324"/>
    </row>
    <row r="27" ht="12.75" customHeight="1">
      <c r="A27" s="322"/>
      <c r="B27" s="60" t="s">
        <v>205</v>
      </c>
      <c r="C27" s="342">
        <v>1.0</v>
      </c>
      <c r="D27" s="343">
        <f>SAUCES!$L$58</f>
        <v>923.2488</v>
      </c>
      <c r="E27" s="67">
        <f t="shared" ref="E27:E36" si="3">D27*C27</f>
        <v>923.2488</v>
      </c>
      <c r="F27" s="324"/>
      <c r="G27" s="324"/>
      <c r="H27" s="387"/>
      <c r="I27" s="388"/>
      <c r="J27" s="322"/>
      <c r="K27" s="60" t="s">
        <v>256</v>
      </c>
      <c r="L27" s="344">
        <v>0.3</v>
      </c>
      <c r="M27" s="343">
        <f>SAUCES!$D$68</f>
        <v>3768.104768</v>
      </c>
      <c r="N27" s="67">
        <f t="shared" ref="N27:N36" si="4">M27*L27</f>
        <v>1130.43143</v>
      </c>
      <c r="O27" s="324"/>
    </row>
    <row r="28" ht="12.75" customHeight="1">
      <c r="A28" s="322"/>
      <c r="B28" s="75" t="s">
        <v>155</v>
      </c>
      <c r="C28" s="370">
        <v>1.0</v>
      </c>
      <c r="D28" s="371" t="str">
        <f>SAUCES!$L$44</f>
        <v/>
      </c>
      <c r="E28" s="67">
        <f t="shared" si="3"/>
        <v>0</v>
      </c>
      <c r="F28" s="324"/>
      <c r="G28" s="324"/>
      <c r="H28" s="387"/>
      <c r="I28" s="388"/>
      <c r="J28" s="322"/>
      <c r="K28" s="75"/>
      <c r="L28" s="370"/>
      <c r="M28" s="371"/>
      <c r="N28" s="67">
        <f t="shared" si="4"/>
        <v>0</v>
      </c>
      <c r="O28" s="324"/>
    </row>
    <row r="29" ht="12.75" customHeight="1">
      <c r="A29" s="322"/>
      <c r="B29" s="75" t="s">
        <v>1043</v>
      </c>
      <c r="C29" s="370">
        <v>0.5</v>
      </c>
      <c r="D29" s="371">
        <f>SAUCES!$D$48</f>
        <v>563.76</v>
      </c>
      <c r="E29" s="67">
        <f t="shared" si="3"/>
        <v>281.88</v>
      </c>
      <c r="F29" s="324"/>
      <c r="G29" s="324"/>
      <c r="H29" s="387"/>
      <c r="I29" s="388"/>
      <c r="J29" s="322"/>
      <c r="K29" s="75"/>
      <c r="L29" s="370"/>
      <c r="M29" s="371"/>
      <c r="N29" s="67">
        <f t="shared" si="4"/>
        <v>0</v>
      </c>
      <c r="O29" s="324"/>
    </row>
    <row r="30" ht="12.75" customHeight="1">
      <c r="A30" s="322"/>
      <c r="B30" s="75" t="s">
        <v>161</v>
      </c>
      <c r="C30" s="370">
        <v>0.02</v>
      </c>
      <c r="D30" s="371">
        <f>'F&amp;B'!$F$49/10</f>
        <v>13500</v>
      </c>
      <c r="E30" s="67">
        <f t="shared" si="3"/>
        <v>270</v>
      </c>
      <c r="F30" s="324"/>
      <c r="G30" s="324"/>
      <c r="H30" s="387"/>
      <c r="I30" s="388"/>
      <c r="J30" s="322"/>
      <c r="K30" s="75"/>
      <c r="L30" s="346"/>
      <c r="M30" s="371"/>
      <c r="N30" s="67">
        <f t="shared" si="4"/>
        <v>0</v>
      </c>
      <c r="O30" s="324"/>
    </row>
    <row r="31" ht="12.75" customHeight="1">
      <c r="A31" s="322"/>
      <c r="B31" s="75"/>
      <c r="C31" s="346"/>
      <c r="D31" s="371"/>
      <c r="E31" s="67">
        <f t="shared" si="3"/>
        <v>0</v>
      </c>
      <c r="F31" s="324"/>
      <c r="G31" s="324"/>
      <c r="H31" s="387"/>
      <c r="I31" s="388"/>
      <c r="J31" s="322"/>
      <c r="K31" s="75"/>
      <c r="L31" s="346"/>
      <c r="M31" s="371"/>
      <c r="N31" s="67">
        <f t="shared" si="4"/>
        <v>0</v>
      </c>
      <c r="O31" s="324"/>
    </row>
    <row r="32" ht="12.75" customHeight="1">
      <c r="A32" s="322"/>
      <c r="B32" s="75"/>
      <c r="C32" s="346"/>
      <c r="D32" s="373"/>
      <c r="E32" s="67">
        <f t="shared" si="3"/>
        <v>0</v>
      </c>
      <c r="F32" s="324"/>
      <c r="G32" s="324"/>
      <c r="H32" s="387"/>
      <c r="I32" s="388"/>
      <c r="J32" s="322"/>
      <c r="K32" s="75"/>
      <c r="L32" s="346"/>
      <c r="M32" s="373"/>
      <c r="N32" s="67">
        <f t="shared" si="4"/>
        <v>0</v>
      </c>
      <c r="O32" s="324"/>
    </row>
    <row r="33" ht="12.75" customHeight="1">
      <c r="A33" s="322"/>
      <c r="B33" s="348"/>
      <c r="C33" s="346"/>
      <c r="D33" s="373"/>
      <c r="E33" s="67">
        <f t="shared" si="3"/>
        <v>0</v>
      </c>
      <c r="F33" s="324"/>
      <c r="G33" s="324"/>
      <c r="H33" s="387"/>
      <c r="I33" s="388"/>
      <c r="J33" s="322"/>
      <c r="K33" s="348"/>
      <c r="L33" s="346"/>
      <c r="M33" s="373"/>
      <c r="N33" s="67">
        <f t="shared" si="4"/>
        <v>0</v>
      </c>
      <c r="O33" s="324"/>
    </row>
    <row r="34" ht="12.75" customHeight="1">
      <c r="A34" s="322"/>
      <c r="B34" s="348"/>
      <c r="C34" s="346"/>
      <c r="D34" s="373"/>
      <c r="E34" s="67">
        <f t="shared" si="3"/>
        <v>0</v>
      </c>
      <c r="F34" s="324"/>
      <c r="G34" s="324"/>
      <c r="H34" s="387"/>
      <c r="I34" s="388"/>
      <c r="J34" s="322"/>
      <c r="K34" s="348"/>
      <c r="L34" s="346"/>
      <c r="M34" s="373"/>
      <c r="N34" s="67">
        <f t="shared" si="4"/>
        <v>0</v>
      </c>
      <c r="O34" s="324"/>
    </row>
    <row r="35" ht="12.75" customHeight="1">
      <c r="A35" s="322"/>
      <c r="B35" s="348"/>
      <c r="C35" s="346"/>
      <c r="D35" s="373"/>
      <c r="E35" s="67">
        <f t="shared" si="3"/>
        <v>0</v>
      </c>
      <c r="F35" s="324"/>
      <c r="G35" s="324"/>
      <c r="H35" s="387"/>
      <c r="I35" s="388"/>
      <c r="J35" s="322"/>
      <c r="K35" s="348"/>
      <c r="L35" s="346"/>
      <c r="M35" s="373"/>
      <c r="N35" s="67">
        <f t="shared" si="4"/>
        <v>0</v>
      </c>
      <c r="O35" s="324"/>
    </row>
    <row r="36" ht="12.75" customHeight="1">
      <c r="A36" s="322"/>
      <c r="B36" s="354"/>
      <c r="C36" s="355"/>
      <c r="D36" s="356"/>
      <c r="E36" s="67">
        <f t="shared" si="3"/>
        <v>0</v>
      </c>
      <c r="F36" s="324"/>
      <c r="G36" s="324"/>
      <c r="H36" s="387"/>
      <c r="I36" s="388"/>
      <c r="J36" s="322"/>
      <c r="K36" s="354"/>
      <c r="L36" s="355"/>
      <c r="M36" s="356"/>
      <c r="N36" s="67">
        <f t="shared" si="4"/>
        <v>0</v>
      </c>
      <c r="O36" s="324"/>
    </row>
    <row r="37" ht="12.75" customHeight="1">
      <c r="A37" s="322"/>
      <c r="B37" s="362" t="s">
        <v>84</v>
      </c>
      <c r="C37" s="374"/>
      <c r="D37" s="374"/>
      <c r="E37" s="375">
        <f>IF(SUM(E27:E36)=0,"",SUM(E27:E36))</f>
        <v>1475.1288</v>
      </c>
      <c r="F37" s="324"/>
      <c r="G37" s="324"/>
      <c r="H37" s="387"/>
      <c r="I37" s="388"/>
      <c r="J37" s="322"/>
      <c r="K37" s="362" t="s">
        <v>84</v>
      </c>
      <c r="L37" s="374"/>
      <c r="M37" s="374"/>
      <c r="N37" s="375">
        <f>IF(SUM(N27:N36)=0,"",SUM(N27:N36))</f>
        <v>1130.43143</v>
      </c>
      <c r="O37" s="324"/>
    </row>
    <row r="38" ht="12.75" customHeight="1">
      <c r="A38" s="322"/>
      <c r="B38" s="360"/>
      <c r="C38" s="360"/>
      <c r="D38" s="360"/>
      <c r="E38" s="361"/>
      <c r="F38" s="324"/>
      <c r="G38" s="324"/>
      <c r="H38" s="387"/>
      <c r="I38" s="388"/>
      <c r="J38" s="322"/>
      <c r="K38" s="360"/>
      <c r="L38" s="360"/>
      <c r="M38" s="360"/>
      <c r="N38" s="361"/>
      <c r="O38" s="324"/>
    </row>
    <row r="39" ht="12.75" customHeight="1">
      <c r="A39" s="322"/>
      <c r="B39" s="34" t="s">
        <v>17</v>
      </c>
      <c r="C39" s="35"/>
      <c r="D39" s="35"/>
      <c r="E39" s="35"/>
      <c r="F39" s="324"/>
      <c r="G39" s="324"/>
      <c r="H39" s="387"/>
      <c r="I39" s="388"/>
      <c r="J39" s="322"/>
      <c r="K39" s="34" t="s">
        <v>17</v>
      </c>
      <c r="L39" s="35"/>
      <c r="M39" s="35"/>
      <c r="N39" s="35"/>
      <c r="O39" s="324"/>
    </row>
    <row r="40" ht="12.75" customHeight="1">
      <c r="A40" s="322"/>
      <c r="B40" s="52" t="s">
        <v>42</v>
      </c>
      <c r="C40" s="54"/>
      <c r="D40" s="54"/>
      <c r="E40" s="56" t="s">
        <v>35</v>
      </c>
      <c r="F40" s="324"/>
      <c r="G40" s="324"/>
      <c r="H40" s="387"/>
      <c r="I40" s="388"/>
      <c r="J40" s="322"/>
      <c r="K40" s="52" t="s">
        <v>42</v>
      </c>
      <c r="L40" s="54"/>
      <c r="M40" s="54"/>
      <c r="N40" s="56" t="s">
        <v>35</v>
      </c>
      <c r="O40" s="324"/>
    </row>
    <row r="41" ht="12.75" customHeight="1">
      <c r="A41" s="322"/>
      <c r="B41" s="60" t="s">
        <v>40</v>
      </c>
      <c r="C41" s="343">
        <f>'UTL COST'!$B$3</f>
        <v>369000</v>
      </c>
      <c r="D41" s="379">
        <f>'UTL COST'!$C$3</f>
        <v>0.0075</v>
      </c>
      <c r="E41" s="67">
        <f>'UTL COST'!$D$3</f>
        <v>2767.5</v>
      </c>
      <c r="F41" s="324"/>
      <c r="G41" s="324"/>
      <c r="H41" s="387"/>
      <c r="I41" s="388"/>
      <c r="J41" s="322"/>
      <c r="K41" s="60" t="s">
        <v>40</v>
      </c>
      <c r="L41" s="343">
        <f>'UTL COST'!$B$3</f>
        <v>369000</v>
      </c>
      <c r="M41" s="379">
        <f>'UTL COST'!$C$3</f>
        <v>0.0075</v>
      </c>
      <c r="N41" s="67">
        <f>E41</f>
        <v>2767.5</v>
      </c>
      <c r="O41" s="324"/>
    </row>
    <row r="42" ht="12.75" customHeight="1">
      <c r="A42" s="322"/>
      <c r="B42" s="75" t="s">
        <v>51</v>
      </c>
      <c r="C42" s="371" t="str">
        <f>'UTL COST'!$B$4</f>
        <v>#REF!</v>
      </c>
      <c r="D42" s="382">
        <f>'UTL COST'!$C$4</f>
        <v>7000</v>
      </c>
      <c r="E42" s="76" t="str">
        <f>'UTL COST'!$D$4</f>
        <v>#REF!</v>
      </c>
      <c r="F42" s="324"/>
      <c r="G42" s="324"/>
      <c r="H42" s="387"/>
      <c r="I42" s="388"/>
      <c r="J42" s="322"/>
      <c r="K42" s="75" t="s">
        <v>51</v>
      </c>
      <c r="L42" s="371" t="str">
        <f>'UTL COST'!$B$4</f>
        <v>#REF!</v>
      </c>
      <c r="M42" s="382">
        <f>'UTL COST'!$C$4</f>
        <v>7000</v>
      </c>
      <c r="N42" s="76" t="str">
        <f>'UTL COST'!$D$4</f>
        <v>#REF!</v>
      </c>
      <c r="O42" s="324"/>
    </row>
    <row r="43" ht="12.75" customHeight="1">
      <c r="A43" s="322"/>
      <c r="B43" s="75" t="s">
        <v>59</v>
      </c>
      <c r="C43" s="371" t="str">
        <f>'UTL COST'!$B$5</f>
        <v>#REF!</v>
      </c>
      <c r="D43" s="382">
        <f>'UTL COST'!$C$5</f>
        <v>45000</v>
      </c>
      <c r="E43" s="76" t="str">
        <f>'UTL COST'!$D$5</f>
        <v>#REF!</v>
      </c>
      <c r="F43" s="324"/>
      <c r="G43" s="324"/>
      <c r="H43" s="387"/>
      <c r="I43" s="388"/>
      <c r="J43" s="322"/>
      <c r="K43" s="75" t="s">
        <v>59</v>
      </c>
      <c r="L43" s="371" t="str">
        <f>'UTL COST'!$B$5</f>
        <v>#REF!</v>
      </c>
      <c r="M43" s="382">
        <f>'UTL COST'!$C$5</f>
        <v>45000</v>
      </c>
      <c r="N43" s="76" t="str">
        <f>'UTL COST'!$D$5</f>
        <v>#REF!</v>
      </c>
      <c r="O43" s="324"/>
    </row>
    <row r="44" ht="12.75" customHeight="1">
      <c r="A44" s="322"/>
      <c r="B44" s="87" t="s">
        <v>78</v>
      </c>
      <c r="C44" s="371" t="str">
        <f>'UTL COST'!$B$6</f>
        <v>#REF!</v>
      </c>
      <c r="D44" s="383">
        <f>'UTL COST'!$C$6</f>
        <v>525</v>
      </c>
      <c r="E44" s="89">
        <v>0.1</v>
      </c>
      <c r="F44" s="324"/>
      <c r="G44" s="324"/>
      <c r="H44" s="387"/>
      <c r="I44" s="388"/>
      <c r="J44" s="322"/>
      <c r="K44" s="87" t="s">
        <v>78</v>
      </c>
      <c r="L44" s="371" t="str">
        <f>'UTL COST'!$B$6</f>
        <v>#REF!</v>
      </c>
      <c r="M44" s="383">
        <f>'UTL COST'!$C$6</f>
        <v>525</v>
      </c>
      <c r="N44" s="89">
        <v>0.1</v>
      </c>
      <c r="O44" s="324"/>
    </row>
    <row r="45" ht="12.75" customHeight="1">
      <c r="A45" s="322"/>
      <c r="B45" s="34" t="s">
        <v>84</v>
      </c>
      <c r="C45" s="102"/>
      <c r="D45" s="102"/>
      <c r="E45" s="104" t="str">
        <f>IF(SUM(E41:E44)=0,"",SUM(E41:E44))</f>
        <v>#REF!</v>
      </c>
      <c r="F45" s="324"/>
      <c r="G45" s="324"/>
      <c r="H45" s="387"/>
      <c r="I45" s="388"/>
      <c r="J45" s="322"/>
      <c r="K45" s="34" t="s">
        <v>84</v>
      </c>
      <c r="L45" s="102"/>
      <c r="M45" s="102"/>
      <c r="N45" s="104" t="str">
        <f>IF(SUM(N41:N44)=0,"",SUM(N41:N44))</f>
        <v>#REF!</v>
      </c>
      <c r="O45" s="324"/>
    </row>
    <row r="46" ht="12.75" customHeight="1">
      <c r="A46" s="322"/>
      <c r="B46" s="360"/>
      <c r="C46" s="360"/>
      <c r="D46" s="360"/>
      <c r="E46" s="361"/>
      <c r="F46" s="324"/>
      <c r="G46" s="324"/>
      <c r="H46" s="387"/>
      <c r="I46" s="388"/>
      <c r="J46" s="322"/>
      <c r="K46" s="360"/>
      <c r="L46" s="360"/>
      <c r="M46" s="360"/>
      <c r="N46" s="361"/>
      <c r="O46" s="324"/>
    </row>
    <row r="47" ht="12.75" customHeight="1">
      <c r="A47" s="387"/>
      <c r="B47" s="387"/>
      <c r="C47" s="387"/>
      <c r="D47" s="387"/>
      <c r="E47" s="418"/>
      <c r="F47" s="387"/>
      <c r="G47" s="387"/>
      <c r="H47" s="387"/>
      <c r="I47" s="387"/>
      <c r="J47" s="387"/>
      <c r="K47" s="387"/>
      <c r="L47" s="387"/>
      <c r="M47" s="387"/>
      <c r="N47" s="387"/>
      <c r="O47" s="387"/>
    </row>
    <row r="48" ht="12.75" customHeight="1">
      <c r="A48" s="322"/>
      <c r="B48" s="322"/>
      <c r="C48" s="322"/>
      <c r="D48" s="322"/>
      <c r="E48" s="323"/>
      <c r="F48" s="324"/>
      <c r="G48" s="324"/>
      <c r="H48" s="387"/>
      <c r="I48" s="388"/>
      <c r="J48" s="322"/>
      <c r="K48" s="322"/>
      <c r="L48" s="322"/>
      <c r="M48" s="322"/>
      <c r="N48" s="323"/>
      <c r="O48" s="324"/>
    </row>
    <row r="49" ht="12.75" customHeight="1">
      <c r="A49" s="322"/>
      <c r="B49" s="325"/>
      <c r="C49" s="322"/>
      <c r="D49" s="322"/>
      <c r="E49" s="323"/>
      <c r="F49" s="326"/>
      <c r="G49" s="326"/>
      <c r="H49" s="404"/>
      <c r="I49" s="388"/>
      <c r="J49" s="322"/>
      <c r="K49" s="325"/>
      <c r="L49" s="322"/>
      <c r="M49" s="322"/>
      <c r="N49" s="323"/>
      <c r="O49" s="326"/>
    </row>
    <row r="50" ht="12.75" customHeight="1">
      <c r="A50" s="322"/>
      <c r="B50" s="327" t="s">
        <v>931</v>
      </c>
      <c r="C50" s="328" t="s">
        <v>528</v>
      </c>
      <c r="D50" s="329"/>
      <c r="E50" s="323"/>
      <c r="F50" s="326"/>
      <c r="G50" s="326"/>
      <c r="H50" s="404"/>
      <c r="I50" s="388"/>
      <c r="J50" s="322"/>
      <c r="K50" s="327" t="s">
        <v>931</v>
      </c>
      <c r="L50" s="328" t="s">
        <v>1051</v>
      </c>
      <c r="M50" s="329"/>
      <c r="N50" s="323"/>
      <c r="O50" s="326"/>
    </row>
    <row r="51" ht="12.75" customHeight="1">
      <c r="A51" s="322"/>
      <c r="B51" s="325"/>
      <c r="C51" s="322"/>
      <c r="D51" s="322"/>
      <c r="E51" s="323"/>
      <c r="F51" s="326"/>
      <c r="G51" s="326"/>
      <c r="H51" s="404"/>
      <c r="I51" s="388"/>
      <c r="J51" s="322"/>
      <c r="K51" s="325"/>
      <c r="L51" s="322"/>
      <c r="M51" s="322"/>
      <c r="N51" s="323"/>
      <c r="O51" s="326"/>
    </row>
    <row r="52" ht="12.75" customHeight="1">
      <c r="A52" s="322"/>
      <c r="B52" s="327" t="s">
        <v>935</v>
      </c>
      <c r="C52" s="331">
        <v>190000.0</v>
      </c>
      <c r="D52" s="329"/>
      <c r="E52" s="323"/>
      <c r="F52" s="326"/>
      <c r="G52" s="326"/>
      <c r="H52" s="404"/>
      <c r="I52" s="388"/>
      <c r="J52" s="322"/>
      <c r="K52" s="327" t="s">
        <v>935</v>
      </c>
      <c r="L52" s="331">
        <v>220000.0</v>
      </c>
      <c r="M52" s="329"/>
      <c r="N52" s="323"/>
      <c r="O52" s="326"/>
    </row>
    <row r="53" ht="12.75" customHeight="1">
      <c r="A53" s="322"/>
      <c r="B53" s="327"/>
      <c r="C53" s="332"/>
      <c r="D53" s="332"/>
      <c r="E53" s="323"/>
      <c r="F53" s="326"/>
      <c r="G53" s="326"/>
      <c r="H53" s="404"/>
      <c r="I53" s="388"/>
      <c r="J53" s="322"/>
      <c r="K53" s="327"/>
      <c r="L53" s="332"/>
      <c r="M53" s="332"/>
      <c r="N53" s="323"/>
      <c r="O53" s="326"/>
    </row>
    <row r="54" ht="12.75" customHeight="1">
      <c r="A54" s="322"/>
      <c r="B54" s="327" t="s">
        <v>939</v>
      </c>
      <c r="C54" s="333" t="str">
        <f>IF(SUM(E66,E81,E89)=0,"",SUM(E66,E81,E89))</f>
        <v>#REF!</v>
      </c>
      <c r="D54" s="321"/>
      <c r="E54" s="323"/>
      <c r="F54" s="326"/>
      <c r="G54" s="326"/>
      <c r="H54" s="404"/>
      <c r="I54" s="388"/>
      <c r="J54" s="322"/>
      <c r="K54" s="327" t="s">
        <v>939</v>
      </c>
      <c r="L54" s="333" t="str">
        <f>IF(SUM(N66,N81,N89)=0,"",SUM(N66,N81,N89))</f>
        <v>#REF!</v>
      </c>
      <c r="M54" s="321"/>
      <c r="N54" s="323"/>
      <c r="O54" s="326"/>
    </row>
    <row r="55" ht="12.75" customHeight="1">
      <c r="A55" s="322"/>
      <c r="B55" s="327"/>
      <c r="C55" s="334"/>
      <c r="D55" s="334"/>
      <c r="E55" s="323"/>
      <c r="F55" s="326"/>
      <c r="G55" s="326"/>
      <c r="H55" s="404"/>
      <c r="I55" s="388"/>
      <c r="J55" s="322"/>
      <c r="K55" s="327"/>
      <c r="L55" s="334"/>
      <c r="M55" s="334"/>
      <c r="N55" s="323"/>
      <c r="O55" s="326"/>
    </row>
    <row r="56" ht="12.75" customHeight="1">
      <c r="A56" s="322"/>
      <c r="B56" s="327" t="s">
        <v>946</v>
      </c>
      <c r="C56" s="335" t="str">
        <f>IF(C54="","",IF(ISBLANK(C52),"",C54/C52))</f>
        <v>#REF!</v>
      </c>
      <c r="D56" s="321"/>
      <c r="E56" s="323"/>
      <c r="F56" s="326"/>
      <c r="G56" s="326"/>
      <c r="H56" s="404"/>
      <c r="I56" s="388"/>
      <c r="J56" s="322"/>
      <c r="K56" s="327" t="s">
        <v>946</v>
      </c>
      <c r="L56" s="335" t="str">
        <f>IF(L54="","",IF(ISBLANK(L52),"",L54/L52))</f>
        <v>#REF!</v>
      </c>
      <c r="M56" s="321"/>
      <c r="N56" s="323"/>
      <c r="O56" s="326"/>
    </row>
    <row r="57" ht="12.75" customHeight="1">
      <c r="A57" s="322"/>
      <c r="B57" s="327"/>
      <c r="C57" s="334"/>
      <c r="D57" s="334"/>
      <c r="E57" s="323"/>
      <c r="F57" s="326"/>
      <c r="G57" s="326"/>
      <c r="H57" s="404"/>
      <c r="I57" s="388"/>
      <c r="J57" s="322"/>
      <c r="K57" s="327"/>
      <c r="L57" s="334"/>
      <c r="M57" s="334"/>
      <c r="N57" s="323"/>
      <c r="O57" s="326"/>
    </row>
    <row r="58" ht="12.75" customHeight="1">
      <c r="A58" s="322"/>
      <c r="B58" s="327" t="s">
        <v>950</v>
      </c>
      <c r="C58" s="333" t="str">
        <f>C52-C54</f>
        <v>#REF!</v>
      </c>
      <c r="D58" s="321"/>
      <c r="E58" s="323"/>
      <c r="F58" s="326"/>
      <c r="G58" s="326"/>
      <c r="H58" s="404"/>
      <c r="I58" s="388"/>
      <c r="J58" s="322"/>
      <c r="K58" s="327" t="s">
        <v>950</v>
      </c>
      <c r="L58" s="333" t="str">
        <f>L52-L54</f>
        <v>#REF!</v>
      </c>
      <c r="M58" s="321"/>
      <c r="N58" s="323"/>
      <c r="O58" s="326"/>
    </row>
    <row r="59" ht="12.75" customHeight="1">
      <c r="A59" s="322"/>
      <c r="B59" s="322"/>
      <c r="C59" s="322"/>
      <c r="D59" s="322"/>
      <c r="E59" s="323"/>
      <c r="F59" s="324"/>
      <c r="G59" s="324"/>
      <c r="H59" s="404"/>
      <c r="I59" s="388"/>
      <c r="J59" s="322"/>
      <c r="K59" s="322"/>
      <c r="L59" s="322"/>
      <c r="M59" s="322"/>
      <c r="N59" s="323"/>
      <c r="O59" s="324"/>
    </row>
    <row r="60" ht="12.75" customHeight="1">
      <c r="A60" s="322"/>
      <c r="B60" s="322"/>
      <c r="C60" s="322"/>
      <c r="D60" s="322"/>
      <c r="E60" s="337"/>
      <c r="F60" s="324"/>
      <c r="G60" s="324"/>
      <c r="H60" s="387"/>
      <c r="I60" s="388"/>
      <c r="J60" s="322"/>
      <c r="K60" s="322"/>
      <c r="L60" s="322"/>
      <c r="M60" s="322"/>
      <c r="N60" s="337"/>
      <c r="O60" s="324"/>
    </row>
    <row r="61" ht="12.75" customHeight="1">
      <c r="A61" s="322"/>
      <c r="B61" s="338" t="s">
        <v>951</v>
      </c>
      <c r="C61" s="339"/>
      <c r="D61" s="339"/>
      <c r="E61" s="339"/>
      <c r="F61" s="324"/>
      <c r="G61" s="324"/>
      <c r="H61" s="410"/>
      <c r="I61" s="388"/>
      <c r="J61" s="322"/>
      <c r="K61" s="338" t="s">
        <v>951</v>
      </c>
      <c r="L61" s="339"/>
      <c r="M61" s="339"/>
      <c r="N61" s="339"/>
      <c r="O61" s="324"/>
    </row>
    <row r="62" ht="12.75" customHeight="1">
      <c r="A62" s="322"/>
      <c r="B62" s="340" t="s">
        <v>953</v>
      </c>
      <c r="C62" s="341" t="s">
        <v>954</v>
      </c>
      <c r="D62" s="341" t="s">
        <v>955</v>
      </c>
      <c r="E62" s="341" t="s">
        <v>35</v>
      </c>
      <c r="F62" s="324"/>
      <c r="G62" s="324"/>
      <c r="H62" s="387"/>
      <c r="I62" s="388"/>
      <c r="J62" s="322"/>
      <c r="K62" s="340" t="s">
        <v>953</v>
      </c>
      <c r="L62" s="341" t="s">
        <v>954</v>
      </c>
      <c r="M62" s="341" t="s">
        <v>955</v>
      </c>
      <c r="N62" s="341" t="s">
        <v>35</v>
      </c>
      <c r="O62" s="324"/>
    </row>
    <row r="63" ht="12.75" customHeight="1">
      <c r="A63" s="322"/>
      <c r="B63" s="60" t="s">
        <v>513</v>
      </c>
      <c r="C63" s="342">
        <v>0.3</v>
      </c>
      <c r="D63" s="343">
        <f>SANDWICHES!$D$19</f>
        <v>81000</v>
      </c>
      <c r="E63" s="67">
        <f t="shared" ref="E63:E65" si="5">IF(OR(ISBLANK(C63),ISBLANK(D63)),"",D63*C63)</f>
        <v>24300</v>
      </c>
      <c r="F63" s="324"/>
      <c r="G63" s="324"/>
      <c r="H63" s="387"/>
      <c r="I63" s="388"/>
      <c r="J63" s="322"/>
      <c r="K63" s="60" t="s">
        <v>513</v>
      </c>
      <c r="L63" s="342">
        <v>0.3</v>
      </c>
      <c r="M63" s="343">
        <f>SANDWICHES!$D$19</f>
        <v>81000</v>
      </c>
      <c r="N63" s="67">
        <f t="shared" ref="N63:N64" si="6">IF(OR(ISBLANK(L63),ISBLANK(M63)),"",M63*L63)</f>
        <v>24300</v>
      </c>
      <c r="O63" s="427" t="str">
        <f t="shared" ref="O63:O64" si="7">N63/$L$54</f>
        <v>#REF!</v>
      </c>
    </row>
    <row r="64" ht="12.75" customHeight="1">
      <c r="A64" s="322"/>
      <c r="B64" s="75" t="s">
        <v>33</v>
      </c>
      <c r="C64" s="398">
        <v>0.2</v>
      </c>
      <c r="D64" s="371">
        <f>STARTERS!$D$19</f>
        <v>19665</v>
      </c>
      <c r="E64" s="67">
        <f t="shared" si="5"/>
        <v>3933</v>
      </c>
      <c r="F64" s="324"/>
      <c r="G64" s="324"/>
      <c r="H64" s="387"/>
      <c r="I64" s="388"/>
      <c r="J64" s="322"/>
      <c r="K64" s="75" t="s">
        <v>33</v>
      </c>
      <c r="L64" s="398">
        <v>0.2</v>
      </c>
      <c r="M64" s="371">
        <f>STARTERS!$D$19</f>
        <v>19665</v>
      </c>
      <c r="N64" s="67">
        <f t="shared" si="6"/>
        <v>3933</v>
      </c>
      <c r="O64" s="427" t="str">
        <f t="shared" si="7"/>
        <v>#REF!</v>
      </c>
    </row>
    <row r="65" ht="12.75" customHeight="1">
      <c r="A65" s="322"/>
      <c r="B65" s="87"/>
      <c r="C65" s="355"/>
      <c r="D65" s="352"/>
      <c r="E65" s="67" t="str">
        <f t="shared" si="5"/>
        <v/>
      </c>
      <c r="F65" s="324"/>
      <c r="G65" s="324"/>
      <c r="H65" s="387"/>
      <c r="I65" s="388"/>
      <c r="J65" s="322"/>
      <c r="K65" s="87"/>
      <c r="L65" s="355"/>
      <c r="M65" s="356"/>
      <c r="N65" s="67"/>
      <c r="O65" s="324"/>
    </row>
    <row r="66" ht="12.75" customHeight="1">
      <c r="A66" s="322"/>
      <c r="B66" s="338" t="s">
        <v>84</v>
      </c>
      <c r="C66" s="358"/>
      <c r="D66" s="358"/>
      <c r="E66" s="359">
        <f>IF(SUM(E63:E65)=0,"",SUM(E63:E65))</f>
        <v>28233</v>
      </c>
      <c r="F66" s="324"/>
      <c r="G66" s="324"/>
      <c r="H66" s="387"/>
      <c r="I66" s="388"/>
      <c r="J66" s="322"/>
      <c r="K66" s="338" t="s">
        <v>84</v>
      </c>
      <c r="L66" s="358"/>
      <c r="M66" s="358"/>
      <c r="N66" s="359">
        <f>IF(SUM(N63:N65)=0,"",SUM(N63:N65))</f>
        <v>28233</v>
      </c>
      <c r="O66" s="324"/>
    </row>
    <row r="67" ht="12.75" customHeight="1">
      <c r="A67" s="322"/>
      <c r="B67" s="360"/>
      <c r="C67" s="360"/>
      <c r="D67" s="360"/>
      <c r="E67" s="361"/>
      <c r="F67" s="324"/>
      <c r="G67" s="324"/>
      <c r="H67" s="387"/>
      <c r="I67" s="388"/>
      <c r="J67" s="322"/>
      <c r="K67" s="360"/>
      <c r="L67" s="360"/>
      <c r="M67" s="360"/>
      <c r="N67" s="361"/>
      <c r="O67" s="324"/>
    </row>
    <row r="68" ht="12.75" customHeight="1">
      <c r="A68" s="322"/>
      <c r="B68" s="362" t="s">
        <v>972</v>
      </c>
      <c r="C68" s="363"/>
      <c r="D68" s="363"/>
      <c r="E68" s="363"/>
      <c r="F68" s="324"/>
      <c r="G68" s="324"/>
      <c r="H68" s="387"/>
      <c r="I68" s="388"/>
      <c r="J68" s="322"/>
      <c r="K68" s="362" t="s">
        <v>972</v>
      </c>
      <c r="L68" s="363"/>
      <c r="M68" s="363"/>
      <c r="N68" s="363"/>
      <c r="O68" s="324"/>
    </row>
    <row r="69" ht="12.75" customHeight="1">
      <c r="A69" s="322"/>
      <c r="B69" s="365" t="s">
        <v>953</v>
      </c>
      <c r="C69" s="366" t="s">
        <v>3</v>
      </c>
      <c r="D69" s="366" t="s">
        <v>975</v>
      </c>
      <c r="E69" s="367" t="s">
        <v>35</v>
      </c>
      <c r="F69" s="324"/>
      <c r="G69" s="324"/>
      <c r="H69" s="387"/>
      <c r="I69" s="388"/>
      <c r="J69" s="322"/>
      <c r="K69" s="365" t="s">
        <v>953</v>
      </c>
      <c r="L69" s="366" t="s">
        <v>3</v>
      </c>
      <c r="M69" s="366" t="s">
        <v>975</v>
      </c>
      <c r="N69" s="367" t="s">
        <v>35</v>
      </c>
      <c r="O69" s="324"/>
    </row>
    <row r="70" ht="12.75" customHeight="1">
      <c r="A70" s="322"/>
      <c r="B70" s="368"/>
      <c r="C70" s="366"/>
      <c r="D70" s="366"/>
      <c r="E70" s="368"/>
      <c r="F70" s="324"/>
      <c r="G70" s="324"/>
      <c r="H70" s="387"/>
      <c r="I70" s="388"/>
      <c r="J70" s="322"/>
      <c r="K70" s="368"/>
      <c r="L70" s="366"/>
      <c r="M70" s="366"/>
      <c r="N70" s="368"/>
      <c r="O70" s="324"/>
    </row>
    <row r="71" ht="12.75" customHeight="1">
      <c r="A71" s="322"/>
      <c r="B71" s="60" t="s">
        <v>1060</v>
      </c>
      <c r="C71" s="342">
        <v>1.0</v>
      </c>
      <c r="D71" s="343">
        <f>SAUCES!$L$34</f>
        <v>480.448125</v>
      </c>
      <c r="E71" s="67">
        <f t="shared" ref="E71:E80" si="8">D71*C71</f>
        <v>480.448125</v>
      </c>
      <c r="F71" s="324"/>
      <c r="G71" s="324"/>
      <c r="H71" s="387"/>
      <c r="I71" s="388"/>
      <c r="J71" s="322"/>
      <c r="K71" s="60" t="s">
        <v>256</v>
      </c>
      <c r="L71" s="342">
        <v>1.0</v>
      </c>
      <c r="M71" s="343">
        <f>M27</f>
        <v>3768.104768</v>
      </c>
      <c r="N71" s="67">
        <f t="shared" ref="N71:N80" si="9">M71*L71</f>
        <v>3768.104768</v>
      </c>
      <c r="O71" s="427" t="str">
        <f t="shared" ref="O71:O72" si="10">N71/$L$54</f>
        <v>#REF!</v>
      </c>
    </row>
    <row r="72" ht="12.75" customHeight="1">
      <c r="A72" s="322"/>
      <c r="B72" s="75" t="s">
        <v>161</v>
      </c>
      <c r="C72" s="370">
        <v>0.01</v>
      </c>
      <c r="D72" s="371">
        <f>'F&amp;B'!$F$49/10</f>
        <v>13500</v>
      </c>
      <c r="E72" s="67">
        <f t="shared" si="8"/>
        <v>135</v>
      </c>
      <c r="F72" s="324"/>
      <c r="G72" s="324"/>
      <c r="H72" s="387"/>
      <c r="I72" s="388"/>
      <c r="J72" s="322"/>
      <c r="K72" s="75" t="s">
        <v>353</v>
      </c>
      <c r="L72" s="370">
        <v>2.0</v>
      </c>
      <c r="M72" s="371">
        <f>SAUCES!$L$92</f>
        <v>2481.970249</v>
      </c>
      <c r="N72" s="67">
        <f t="shared" si="9"/>
        <v>4963.940498</v>
      </c>
      <c r="O72" s="427" t="str">
        <f t="shared" si="10"/>
        <v>#REF!</v>
      </c>
    </row>
    <row r="73" ht="12.75" customHeight="1">
      <c r="A73" s="322"/>
      <c r="B73" s="75" t="s">
        <v>205</v>
      </c>
      <c r="C73" s="370">
        <v>1.0</v>
      </c>
      <c r="D73" s="371">
        <f>D27</f>
        <v>923.2488</v>
      </c>
      <c r="E73" s="67">
        <f t="shared" si="8"/>
        <v>923.2488</v>
      </c>
      <c r="F73" s="324"/>
      <c r="G73" s="324"/>
      <c r="H73" s="387"/>
      <c r="I73" s="388"/>
      <c r="J73" s="322"/>
      <c r="K73" s="429"/>
      <c r="L73" s="370"/>
      <c r="M73" s="371"/>
      <c r="N73" s="67">
        <f t="shared" si="9"/>
        <v>0</v>
      </c>
      <c r="O73" s="324"/>
    </row>
    <row r="74" ht="12.75" customHeight="1">
      <c r="A74" s="322"/>
      <c r="B74" s="75" t="s">
        <v>1062</v>
      </c>
      <c r="C74" s="346">
        <v>1.0</v>
      </c>
      <c r="D74" s="371">
        <f>'F&amp;B'!F4/9</f>
        <v>970</v>
      </c>
      <c r="E74" s="67">
        <f t="shared" si="8"/>
        <v>970</v>
      </c>
      <c r="F74" s="324"/>
      <c r="G74" s="324"/>
      <c r="H74" s="387"/>
      <c r="I74" s="388"/>
      <c r="J74" s="322"/>
      <c r="K74" s="75"/>
      <c r="L74" s="346"/>
      <c r="M74" s="371"/>
      <c r="N74" s="67">
        <f t="shared" si="9"/>
        <v>0</v>
      </c>
      <c r="O74" s="324"/>
    </row>
    <row r="75" ht="12.75" customHeight="1">
      <c r="A75" s="322"/>
      <c r="B75" s="75" t="s">
        <v>1063</v>
      </c>
      <c r="C75" s="346">
        <v>0.03</v>
      </c>
      <c r="D75" s="371">
        <f>'F&amp;B'!F50</f>
        <v>27000</v>
      </c>
      <c r="E75" s="67">
        <f t="shared" si="8"/>
        <v>810</v>
      </c>
      <c r="F75" s="324"/>
      <c r="G75" s="324"/>
      <c r="H75" s="387"/>
      <c r="I75" s="388"/>
      <c r="J75" s="322"/>
      <c r="K75" s="75"/>
      <c r="L75" s="346"/>
      <c r="M75" s="371"/>
      <c r="N75" s="67">
        <f t="shared" si="9"/>
        <v>0</v>
      </c>
      <c r="O75" s="324"/>
    </row>
    <row r="76" ht="12.75" customHeight="1">
      <c r="A76" s="322"/>
      <c r="B76" s="75"/>
      <c r="C76" s="346"/>
      <c r="D76" s="373"/>
      <c r="E76" s="67">
        <f t="shared" si="8"/>
        <v>0</v>
      </c>
      <c r="F76" s="324"/>
      <c r="G76" s="324"/>
      <c r="H76" s="387"/>
      <c r="I76" s="388"/>
      <c r="J76" s="322"/>
      <c r="K76" s="75"/>
      <c r="L76" s="346"/>
      <c r="M76" s="373"/>
      <c r="N76" s="67">
        <f t="shared" si="9"/>
        <v>0</v>
      </c>
      <c r="O76" s="324"/>
    </row>
    <row r="77" ht="12.75" customHeight="1">
      <c r="A77" s="322"/>
      <c r="B77" s="348"/>
      <c r="C77" s="346"/>
      <c r="D77" s="373"/>
      <c r="E77" s="67">
        <f t="shared" si="8"/>
        <v>0</v>
      </c>
      <c r="F77" s="324"/>
      <c r="G77" s="324"/>
      <c r="H77" s="387"/>
      <c r="I77" s="388"/>
      <c r="J77" s="322"/>
      <c r="K77" s="348"/>
      <c r="L77" s="346"/>
      <c r="M77" s="373"/>
      <c r="N77" s="67">
        <f t="shared" si="9"/>
        <v>0</v>
      </c>
      <c r="O77" s="324"/>
    </row>
    <row r="78" ht="12.75" customHeight="1">
      <c r="A78" s="322"/>
      <c r="B78" s="348"/>
      <c r="C78" s="346"/>
      <c r="D78" s="373"/>
      <c r="E78" s="67">
        <f t="shared" si="8"/>
        <v>0</v>
      </c>
      <c r="F78" s="324"/>
      <c r="G78" s="324"/>
      <c r="H78" s="387"/>
      <c r="I78" s="388"/>
      <c r="J78" s="322"/>
      <c r="K78" s="348"/>
      <c r="L78" s="346"/>
      <c r="M78" s="373"/>
      <c r="N78" s="67">
        <f t="shared" si="9"/>
        <v>0</v>
      </c>
      <c r="O78" s="324"/>
    </row>
    <row r="79" ht="12.75" customHeight="1">
      <c r="A79" s="322"/>
      <c r="B79" s="348"/>
      <c r="C79" s="346"/>
      <c r="D79" s="373"/>
      <c r="E79" s="67">
        <f t="shared" si="8"/>
        <v>0</v>
      </c>
      <c r="F79" s="324"/>
      <c r="G79" s="324"/>
      <c r="H79" s="387"/>
      <c r="I79" s="388"/>
      <c r="J79" s="322"/>
      <c r="K79" s="348"/>
      <c r="L79" s="346"/>
      <c r="M79" s="373"/>
      <c r="N79" s="67">
        <f t="shared" si="9"/>
        <v>0</v>
      </c>
      <c r="O79" s="324"/>
    </row>
    <row r="80" ht="12.75" customHeight="1">
      <c r="A80" s="322"/>
      <c r="B80" s="354"/>
      <c r="C80" s="355"/>
      <c r="D80" s="356"/>
      <c r="E80" s="67">
        <f t="shared" si="8"/>
        <v>0</v>
      </c>
      <c r="F80" s="324"/>
      <c r="G80" s="324"/>
      <c r="H80" s="387"/>
      <c r="I80" s="388"/>
      <c r="J80" s="322"/>
      <c r="K80" s="354"/>
      <c r="L80" s="355"/>
      <c r="M80" s="356"/>
      <c r="N80" s="67">
        <f t="shared" si="9"/>
        <v>0</v>
      </c>
      <c r="O80" s="324"/>
    </row>
    <row r="81" ht="12.75" customHeight="1">
      <c r="A81" s="322"/>
      <c r="B81" s="362" t="s">
        <v>84</v>
      </c>
      <c r="C81" s="374"/>
      <c r="D81" s="374"/>
      <c r="E81" s="375">
        <f>IF(SUM(E71:E80)=0,"",SUM(E71:E80))</f>
        <v>3318.696925</v>
      </c>
      <c r="F81" s="324"/>
      <c r="G81" s="324"/>
      <c r="H81" s="387"/>
      <c r="I81" s="388"/>
      <c r="J81" s="322"/>
      <c r="K81" s="362" t="s">
        <v>84</v>
      </c>
      <c r="L81" s="374"/>
      <c r="M81" s="374"/>
      <c r="N81" s="375">
        <f>IF(SUM(N71:N80)=0,"",SUM(N71:N80))</f>
        <v>8732.045266</v>
      </c>
      <c r="O81" s="324"/>
    </row>
    <row r="82" ht="12.75" customHeight="1">
      <c r="A82" s="322"/>
      <c r="B82" s="360"/>
      <c r="C82" s="360"/>
      <c r="D82" s="360"/>
      <c r="E82" s="361"/>
      <c r="F82" s="324"/>
      <c r="G82" s="324"/>
      <c r="H82" s="387"/>
      <c r="I82" s="388"/>
      <c r="J82" s="322"/>
      <c r="K82" s="360"/>
      <c r="L82" s="360"/>
      <c r="M82" s="360"/>
      <c r="N82" s="361"/>
      <c r="O82" s="324"/>
    </row>
    <row r="83" ht="12.75" customHeight="1">
      <c r="A83" s="322"/>
      <c r="B83" s="34" t="s">
        <v>17</v>
      </c>
      <c r="C83" s="35"/>
      <c r="D83" s="35"/>
      <c r="E83" s="35"/>
      <c r="F83" s="324"/>
      <c r="G83" s="324"/>
      <c r="H83" s="387"/>
      <c r="I83" s="388"/>
      <c r="J83" s="322"/>
      <c r="K83" s="34" t="s">
        <v>17</v>
      </c>
      <c r="L83" s="35"/>
      <c r="M83" s="35"/>
      <c r="N83" s="35"/>
      <c r="O83" s="324"/>
    </row>
    <row r="84" ht="12.75" customHeight="1">
      <c r="A84" s="322"/>
      <c r="B84" s="52" t="s">
        <v>42</v>
      </c>
      <c r="C84" s="54"/>
      <c r="D84" s="54"/>
      <c r="E84" s="56" t="s">
        <v>35</v>
      </c>
      <c r="F84" s="324"/>
      <c r="G84" s="324"/>
      <c r="H84" s="387"/>
      <c r="I84" s="388"/>
      <c r="J84" s="322"/>
      <c r="K84" s="52" t="s">
        <v>42</v>
      </c>
      <c r="L84" s="54"/>
      <c r="M84" s="54"/>
      <c r="N84" s="56" t="s">
        <v>35</v>
      </c>
      <c r="O84" s="324"/>
    </row>
    <row r="85" ht="12.75" customHeight="1">
      <c r="A85" s="322"/>
      <c r="B85" s="60" t="s">
        <v>40</v>
      </c>
      <c r="C85" s="343">
        <f>'UTL COST'!$B$3</f>
        <v>369000</v>
      </c>
      <c r="D85" s="379">
        <f>'UTL COST'!$C$3</f>
        <v>0.0075</v>
      </c>
      <c r="E85" s="67">
        <f>N85</f>
        <v>2767.5</v>
      </c>
      <c r="F85" s="324"/>
      <c r="G85" s="324"/>
      <c r="H85" s="387"/>
      <c r="I85" s="388"/>
      <c r="J85" s="322"/>
      <c r="K85" s="60" t="s">
        <v>40</v>
      </c>
      <c r="L85" s="343">
        <f>'UTL COST'!$B$3</f>
        <v>369000</v>
      </c>
      <c r="M85" s="379">
        <f>'UTL COST'!$C$3</f>
        <v>0.0075</v>
      </c>
      <c r="N85" s="67">
        <f>E41</f>
        <v>2767.5</v>
      </c>
      <c r="O85" s="427" t="str">
        <f t="shared" ref="O85:O88" si="11">N85/$N$89</f>
        <v>#REF!</v>
      </c>
    </row>
    <row r="86" ht="12.75" customHeight="1">
      <c r="A86" s="322"/>
      <c r="B86" s="75" t="s">
        <v>51</v>
      </c>
      <c r="C86" s="371" t="str">
        <f>'UTL COST'!$B$4</f>
        <v>#REF!</v>
      </c>
      <c r="D86" s="382">
        <f>'UTL COST'!$C$4</f>
        <v>7000</v>
      </c>
      <c r="E86" s="76" t="str">
        <f>'UTL COST'!$D$4</f>
        <v>#REF!</v>
      </c>
      <c r="F86" s="324"/>
      <c r="G86" s="324"/>
      <c r="H86" s="387"/>
      <c r="I86" s="388"/>
      <c r="J86" s="322"/>
      <c r="K86" s="75" t="s">
        <v>51</v>
      </c>
      <c r="L86" s="371" t="str">
        <f>'UTL COST'!$B$4</f>
        <v>#REF!</v>
      </c>
      <c r="M86" s="382">
        <f>'UTL COST'!$C$4</f>
        <v>7000</v>
      </c>
      <c r="N86" s="76" t="str">
        <f>'UTL COST'!$D$4</f>
        <v>#REF!</v>
      </c>
      <c r="O86" s="427" t="str">
        <f t="shared" si="11"/>
        <v>#REF!</v>
      </c>
    </row>
    <row r="87" ht="12.75" customHeight="1">
      <c r="A87" s="322"/>
      <c r="B87" s="75" t="s">
        <v>59</v>
      </c>
      <c r="C87" s="371" t="str">
        <f>'UTL COST'!$B$5</f>
        <v>#REF!</v>
      </c>
      <c r="D87" s="382">
        <f>'UTL COST'!$C$5</f>
        <v>45000</v>
      </c>
      <c r="E87" s="76" t="str">
        <f>'UTL COST'!$D$5</f>
        <v>#REF!</v>
      </c>
      <c r="F87" s="324"/>
      <c r="G87" s="324"/>
      <c r="H87" s="387"/>
      <c r="I87" s="388"/>
      <c r="J87" s="322"/>
      <c r="K87" s="75" t="s">
        <v>59</v>
      </c>
      <c r="L87" s="371" t="str">
        <f>'UTL COST'!$B$5</f>
        <v>#REF!</v>
      </c>
      <c r="M87" s="382">
        <f>'UTL COST'!$C$5</f>
        <v>45000</v>
      </c>
      <c r="N87" s="76" t="str">
        <f>'UTL COST'!$D$5</f>
        <v>#REF!</v>
      </c>
      <c r="O87" s="427" t="str">
        <f t="shared" si="11"/>
        <v>#REF!</v>
      </c>
    </row>
    <row r="88" ht="12.75" customHeight="1">
      <c r="A88" s="322"/>
      <c r="B88" s="87" t="s">
        <v>78</v>
      </c>
      <c r="C88" s="371" t="str">
        <f>'UTL COST'!$B$6</f>
        <v>#REF!</v>
      </c>
      <c r="D88" s="383">
        <f>'UTL COST'!$C$6</f>
        <v>525</v>
      </c>
      <c r="E88" s="89">
        <v>0.1</v>
      </c>
      <c r="F88" s="324"/>
      <c r="G88" s="324"/>
      <c r="H88" s="387"/>
      <c r="I88" s="388"/>
      <c r="J88" s="322"/>
      <c r="K88" s="87" t="s">
        <v>78</v>
      </c>
      <c r="L88" s="371" t="str">
        <f>'UTL COST'!$B$6</f>
        <v>#REF!</v>
      </c>
      <c r="M88" s="383">
        <f>'UTL COST'!$C$6</f>
        <v>525</v>
      </c>
      <c r="N88" s="89">
        <v>0.1</v>
      </c>
      <c r="O88" s="427" t="str">
        <f t="shared" si="11"/>
        <v>#REF!</v>
      </c>
    </row>
    <row r="89" ht="12.75" customHeight="1">
      <c r="A89" s="322"/>
      <c r="B89" s="34" t="s">
        <v>84</v>
      </c>
      <c r="C89" s="102"/>
      <c r="D89" s="102"/>
      <c r="E89" s="104" t="str">
        <f>IF(SUM(E85:E88)=0,"",SUM(E85:E88))</f>
        <v>#REF!</v>
      </c>
      <c r="F89" s="324"/>
      <c r="G89" s="324"/>
      <c r="H89" s="387"/>
      <c r="I89" s="388"/>
      <c r="J89" s="322"/>
      <c r="K89" s="34" t="s">
        <v>84</v>
      </c>
      <c r="L89" s="102"/>
      <c r="M89" s="102"/>
      <c r="N89" s="104" t="str">
        <f>IF(SUM(N85:N88)=0,"",SUM(N85:N88))</f>
        <v>#REF!</v>
      </c>
      <c r="O89" s="427"/>
    </row>
    <row r="90" ht="12.75" customHeight="1">
      <c r="A90" s="322"/>
      <c r="B90" s="360"/>
      <c r="C90" s="360"/>
      <c r="D90" s="360"/>
      <c r="E90" s="361"/>
      <c r="F90" s="324"/>
      <c r="G90" s="324"/>
      <c r="H90" s="387"/>
      <c r="I90" s="388"/>
      <c r="J90" s="322"/>
      <c r="K90" s="360"/>
      <c r="L90" s="360"/>
      <c r="M90" s="360"/>
      <c r="N90" s="361"/>
      <c r="O90" s="324"/>
    </row>
    <row r="91" ht="12.75" customHeight="1">
      <c r="A91" s="388"/>
      <c r="B91" s="432"/>
      <c r="C91" s="432"/>
      <c r="D91" s="432"/>
      <c r="E91" s="433"/>
      <c r="F91" s="387"/>
      <c r="G91" s="387"/>
      <c r="H91" s="387"/>
      <c r="I91" s="388"/>
      <c r="J91" s="387"/>
      <c r="K91" s="387"/>
      <c r="L91" s="387"/>
      <c r="M91" s="387"/>
      <c r="N91" s="387"/>
      <c r="O91" s="387"/>
    </row>
    <row r="92" ht="12.75" customHeight="1">
      <c r="A92" s="387"/>
      <c r="B92" s="387"/>
      <c r="C92" s="387"/>
      <c r="D92" s="387"/>
      <c r="E92" s="418"/>
      <c r="F92" s="387"/>
      <c r="G92" s="387"/>
      <c r="H92" s="387"/>
      <c r="I92" s="387"/>
      <c r="J92" s="387"/>
      <c r="K92" s="387"/>
      <c r="L92" s="387"/>
      <c r="M92" s="387"/>
      <c r="N92" s="387"/>
      <c r="O92" s="387"/>
    </row>
    <row r="93" ht="12.75" customHeight="1">
      <c r="A93" s="322"/>
      <c r="B93" s="322"/>
      <c r="C93" s="322"/>
      <c r="D93" s="322"/>
      <c r="E93" s="323"/>
      <c r="F93" s="324"/>
      <c r="G93" s="324"/>
      <c r="H93" s="387"/>
      <c r="I93" s="388"/>
      <c r="J93" s="322"/>
      <c r="K93" s="322"/>
      <c r="L93" s="322"/>
      <c r="M93" s="322"/>
      <c r="N93" s="323"/>
      <c r="O93" s="324"/>
    </row>
    <row r="94" ht="12.75" customHeight="1">
      <c r="A94" s="322"/>
      <c r="B94" s="325"/>
      <c r="C94" s="322"/>
      <c r="D94" s="322"/>
      <c r="E94" s="323"/>
      <c r="F94" s="326"/>
      <c r="G94" s="326"/>
      <c r="H94" s="404"/>
      <c r="I94" s="388"/>
      <c r="J94" s="322"/>
      <c r="K94" s="325"/>
      <c r="L94" s="322"/>
      <c r="M94" s="322"/>
      <c r="N94" s="323"/>
      <c r="O94" s="326"/>
    </row>
    <row r="95" ht="12.75" customHeight="1">
      <c r="A95" s="322"/>
      <c r="B95" s="327" t="s">
        <v>931</v>
      </c>
      <c r="C95" s="328" t="s">
        <v>1071</v>
      </c>
      <c r="D95" s="329"/>
      <c r="E95" s="323"/>
      <c r="F95" s="326"/>
      <c r="G95" s="326"/>
      <c r="H95" s="404"/>
      <c r="I95" s="388"/>
      <c r="J95" s="322"/>
      <c r="K95" s="327" t="s">
        <v>931</v>
      </c>
      <c r="L95" s="328" t="s">
        <v>534</v>
      </c>
      <c r="M95" s="329"/>
      <c r="N95" s="323"/>
      <c r="O95" s="326"/>
    </row>
    <row r="96" ht="12.75" customHeight="1">
      <c r="A96" s="322"/>
      <c r="B96" s="325"/>
      <c r="C96" s="322"/>
      <c r="D96" s="322"/>
      <c r="E96" s="323"/>
      <c r="F96" s="326"/>
      <c r="G96" s="326"/>
      <c r="H96" s="404"/>
      <c r="I96" s="388"/>
      <c r="J96" s="322"/>
      <c r="K96" s="325"/>
      <c r="L96" s="322"/>
      <c r="M96" s="322"/>
      <c r="N96" s="323"/>
      <c r="O96" s="326"/>
    </row>
    <row r="97" ht="12.75" customHeight="1">
      <c r="A97" s="322"/>
      <c r="B97" s="327" t="s">
        <v>935</v>
      </c>
      <c r="C97" s="331">
        <v>350000.0</v>
      </c>
      <c r="D97" s="329"/>
      <c r="E97" s="323"/>
      <c r="F97" s="326"/>
      <c r="G97" s="326"/>
      <c r="H97" s="404"/>
      <c r="I97" s="388"/>
      <c r="J97" s="322"/>
      <c r="K97" s="327" t="s">
        <v>935</v>
      </c>
      <c r="L97" s="331">
        <v>210000.0</v>
      </c>
      <c r="M97" s="329"/>
      <c r="N97" s="323"/>
      <c r="O97" s="326"/>
    </row>
    <row r="98" ht="12.75" customHeight="1">
      <c r="A98" s="322"/>
      <c r="B98" s="327"/>
      <c r="C98" s="332"/>
      <c r="D98" s="332"/>
      <c r="E98" s="323"/>
      <c r="F98" s="326"/>
      <c r="G98" s="326"/>
      <c r="H98" s="404"/>
      <c r="I98" s="388"/>
      <c r="J98" s="322"/>
      <c r="K98" s="327"/>
      <c r="L98" s="332"/>
      <c r="M98" s="332"/>
      <c r="N98" s="323"/>
      <c r="O98" s="326"/>
    </row>
    <row r="99" ht="12.75" customHeight="1">
      <c r="A99" s="322"/>
      <c r="B99" s="327" t="s">
        <v>939</v>
      </c>
      <c r="C99" s="333" t="str">
        <f>IF(SUM(E111,E126,E134)=0,"",SUM(E111,E126,E134))</f>
        <v>#REF!</v>
      </c>
      <c r="D99" s="321"/>
      <c r="E99" s="323"/>
      <c r="F99" s="326"/>
      <c r="G99" s="326"/>
      <c r="H99" s="404"/>
      <c r="I99" s="388"/>
      <c r="J99" s="322"/>
      <c r="K99" s="327" t="s">
        <v>939</v>
      </c>
      <c r="L99" s="333" t="str">
        <f>IF(SUM(N111,N126,N134)=0,"",SUM(N111,N126,N134))</f>
        <v>#REF!</v>
      </c>
      <c r="M99" s="321"/>
      <c r="N99" s="323"/>
      <c r="O99" s="326"/>
    </row>
    <row r="100" ht="12.75" customHeight="1">
      <c r="A100" s="322"/>
      <c r="B100" s="327"/>
      <c r="C100" s="334"/>
      <c r="D100" s="334"/>
      <c r="E100" s="323"/>
      <c r="F100" s="415" t="str">
        <f>C99/90000</f>
        <v>#REF!</v>
      </c>
      <c r="G100" s="326"/>
      <c r="H100" s="404"/>
      <c r="I100" s="388"/>
      <c r="J100" s="322"/>
      <c r="K100" s="327"/>
      <c r="L100" s="334"/>
      <c r="M100" s="334"/>
      <c r="N100" s="323"/>
      <c r="O100" s="326"/>
    </row>
    <row r="101" ht="12.75" customHeight="1">
      <c r="A101" s="322"/>
      <c r="B101" s="327" t="s">
        <v>946</v>
      </c>
      <c r="C101" s="335" t="str">
        <f>IF(C99="","",IF(ISBLANK(C97),"",C99/C97))</f>
        <v>#REF!</v>
      </c>
      <c r="D101" s="321"/>
      <c r="E101" s="323"/>
      <c r="F101" s="326"/>
      <c r="G101" s="326"/>
      <c r="H101" s="404"/>
      <c r="I101" s="388"/>
      <c r="J101" s="322"/>
      <c r="K101" s="327" t="s">
        <v>946</v>
      </c>
      <c r="L101" s="335" t="str">
        <f>IF(L99="","",IF(ISBLANK(L97),"",L99/L97))</f>
        <v>#REF!</v>
      </c>
      <c r="M101" s="321"/>
      <c r="N101" s="323"/>
      <c r="O101" s="326"/>
    </row>
    <row r="102" ht="12.75" customHeight="1">
      <c r="A102" s="322"/>
      <c r="B102" s="327"/>
      <c r="C102" s="334"/>
      <c r="D102" s="334"/>
      <c r="E102" s="323"/>
      <c r="F102" s="326"/>
      <c r="G102" s="326"/>
      <c r="H102" s="404"/>
      <c r="I102" s="388"/>
      <c r="J102" s="322"/>
      <c r="K102" s="327"/>
      <c r="L102" s="334"/>
      <c r="M102" s="334"/>
      <c r="N102" s="323"/>
      <c r="O102" s="326"/>
    </row>
    <row r="103" ht="12.75" customHeight="1">
      <c r="A103" s="322"/>
      <c r="B103" s="327" t="s">
        <v>950</v>
      </c>
      <c r="C103" s="333" t="str">
        <f>C97-C99</f>
        <v>#REF!</v>
      </c>
      <c r="D103" s="321"/>
      <c r="E103" s="323"/>
      <c r="F103" s="326"/>
      <c r="G103" s="326"/>
      <c r="H103" s="404"/>
      <c r="I103" s="388"/>
      <c r="J103" s="322"/>
      <c r="K103" s="327" t="s">
        <v>950</v>
      </c>
      <c r="L103" s="333" t="str">
        <f>L97-L99</f>
        <v>#REF!</v>
      </c>
      <c r="M103" s="321"/>
      <c r="N103" s="323"/>
      <c r="O103" s="326"/>
    </row>
    <row r="104" ht="12.75" customHeight="1">
      <c r="A104" s="322"/>
      <c r="B104" s="322"/>
      <c r="C104" s="322"/>
      <c r="D104" s="322"/>
      <c r="E104" s="323"/>
      <c r="F104" s="324"/>
      <c r="G104" s="324"/>
      <c r="H104" s="404"/>
      <c r="I104" s="388"/>
      <c r="J104" s="322"/>
      <c r="K104" s="322"/>
      <c r="L104" s="322"/>
      <c r="M104" s="322"/>
      <c r="N104" s="323"/>
      <c r="O104" s="324"/>
    </row>
    <row r="105" ht="12.75" customHeight="1">
      <c r="A105" s="322"/>
      <c r="B105" s="322"/>
      <c r="C105" s="322"/>
      <c r="D105" s="322"/>
      <c r="E105" s="337"/>
      <c r="F105" s="324"/>
      <c r="G105" s="324"/>
      <c r="H105" s="387"/>
      <c r="I105" s="388"/>
      <c r="J105" s="322"/>
      <c r="K105" s="322"/>
      <c r="L105" s="322"/>
      <c r="M105" s="322"/>
      <c r="N105" s="337"/>
      <c r="O105" s="324"/>
    </row>
    <row r="106" ht="12.75" customHeight="1">
      <c r="A106" s="322"/>
      <c r="B106" s="338" t="s">
        <v>951</v>
      </c>
      <c r="C106" s="339"/>
      <c r="D106" s="339"/>
      <c r="E106" s="339"/>
      <c r="F106" s="324"/>
      <c r="G106" s="324"/>
      <c r="H106" s="410"/>
      <c r="I106" s="388"/>
      <c r="J106" s="322"/>
      <c r="K106" s="338" t="s">
        <v>951</v>
      </c>
      <c r="L106" s="339"/>
      <c r="M106" s="339"/>
      <c r="N106" s="339"/>
      <c r="O106" s="324"/>
    </row>
    <row r="107" ht="12.75" customHeight="1">
      <c r="A107" s="322"/>
      <c r="B107" s="340" t="s">
        <v>953</v>
      </c>
      <c r="C107" s="341" t="s">
        <v>954</v>
      </c>
      <c r="D107" s="341" t="s">
        <v>955</v>
      </c>
      <c r="E107" s="341" t="s">
        <v>35</v>
      </c>
      <c r="F107" s="324"/>
      <c r="G107" s="324"/>
      <c r="H107" s="387"/>
      <c r="I107" s="388"/>
      <c r="J107" s="322"/>
      <c r="K107" s="340" t="s">
        <v>953</v>
      </c>
      <c r="L107" s="341" t="s">
        <v>954</v>
      </c>
      <c r="M107" s="341" t="s">
        <v>955</v>
      </c>
      <c r="N107" s="341" t="s">
        <v>35</v>
      </c>
      <c r="O107" s="324"/>
    </row>
    <row r="108" ht="12.75" customHeight="1">
      <c r="A108" s="322"/>
      <c r="B108" s="60" t="s">
        <v>1075</v>
      </c>
      <c r="C108" s="342">
        <v>0.22</v>
      </c>
      <c r="D108" s="343">
        <f>'F&amp;B'!$F$215</f>
        <v>198000</v>
      </c>
      <c r="E108" s="67">
        <f t="shared" ref="E108:E109" si="12">IF(OR(ISBLANK(C108),ISBLANK(D108)),"",D108*C108)</f>
        <v>43560</v>
      </c>
      <c r="F108" s="324"/>
      <c r="G108" s="324"/>
      <c r="H108" s="387"/>
      <c r="I108" s="388"/>
      <c r="J108" s="322"/>
      <c r="K108" s="60" t="s">
        <v>513</v>
      </c>
      <c r="L108" s="342">
        <v>0.28</v>
      </c>
      <c r="M108" s="343">
        <f>SANDWICHES!$D$19</f>
        <v>81000</v>
      </c>
      <c r="N108" s="67">
        <f t="shared" ref="N108:N109" si="13">IF(OR(ISBLANK(L108),ISBLANK(M108)),"",M108*L108)</f>
        <v>22680</v>
      </c>
      <c r="O108" s="324"/>
    </row>
    <row r="109" ht="12.75" customHeight="1">
      <c r="A109" s="322"/>
      <c r="B109" s="75" t="s">
        <v>33</v>
      </c>
      <c r="C109" s="346">
        <v>0.16</v>
      </c>
      <c r="D109" s="371">
        <f>STARTERS!$D$19</f>
        <v>19665</v>
      </c>
      <c r="E109" s="67">
        <f t="shared" si="12"/>
        <v>3146.4</v>
      </c>
      <c r="F109" s="324"/>
      <c r="G109" s="324"/>
      <c r="H109" s="387"/>
      <c r="I109" s="388"/>
      <c r="J109" s="322"/>
      <c r="K109" s="75"/>
      <c r="L109" s="370"/>
      <c r="M109" s="371"/>
      <c r="N109" s="67" t="str">
        <f t="shared" si="13"/>
        <v/>
      </c>
      <c r="O109" s="324"/>
    </row>
    <row r="110" ht="12.75" customHeight="1">
      <c r="A110" s="322"/>
      <c r="B110" s="87"/>
      <c r="C110" s="355"/>
      <c r="D110" s="356"/>
      <c r="E110" s="67"/>
      <c r="F110" s="324"/>
      <c r="G110" s="324"/>
      <c r="H110" s="387"/>
      <c r="I110" s="388"/>
      <c r="J110" s="322"/>
      <c r="K110" s="87"/>
      <c r="L110" s="355"/>
      <c r="M110" s="356"/>
      <c r="N110" s="67"/>
      <c r="O110" s="324"/>
    </row>
    <row r="111" ht="12.75" customHeight="1">
      <c r="A111" s="322"/>
      <c r="B111" s="338" t="s">
        <v>84</v>
      </c>
      <c r="C111" s="358"/>
      <c r="D111" s="358"/>
      <c r="E111" s="359">
        <f>IF(SUM(E108:E110)=0,"",SUM(E108:E110))</f>
        <v>46706.4</v>
      </c>
      <c r="F111" s="324"/>
      <c r="G111" s="324"/>
      <c r="H111" s="387"/>
      <c r="I111" s="388"/>
      <c r="J111" s="322"/>
      <c r="K111" s="338" t="s">
        <v>84</v>
      </c>
      <c r="L111" s="358"/>
      <c r="M111" s="358"/>
      <c r="N111" s="359">
        <f>IF(SUM(N108:N110)=0,"",SUM(N108:N110))</f>
        <v>22680</v>
      </c>
      <c r="O111" s="324"/>
    </row>
    <row r="112" ht="12.75" customHeight="1">
      <c r="A112" s="322"/>
      <c r="B112" s="360"/>
      <c r="C112" s="360"/>
      <c r="D112" s="360"/>
      <c r="E112" s="361"/>
      <c r="F112" s="324"/>
      <c r="G112" s="324"/>
      <c r="H112" s="387"/>
      <c r="I112" s="388"/>
      <c r="J112" s="322"/>
      <c r="K112" s="360"/>
      <c r="L112" s="360"/>
      <c r="M112" s="360"/>
      <c r="N112" s="361"/>
      <c r="O112" s="324"/>
    </row>
    <row r="113" ht="12.75" customHeight="1">
      <c r="A113" s="322"/>
      <c r="B113" s="362" t="s">
        <v>972</v>
      </c>
      <c r="C113" s="363"/>
      <c r="D113" s="363"/>
      <c r="E113" s="363"/>
      <c r="F113" s="324"/>
      <c r="G113" s="324"/>
      <c r="H113" s="387"/>
      <c r="I113" s="388"/>
      <c r="J113" s="322"/>
      <c r="K113" s="362" t="s">
        <v>972</v>
      </c>
      <c r="L113" s="363"/>
      <c r="M113" s="363"/>
      <c r="N113" s="363"/>
      <c r="O113" s="324"/>
    </row>
    <row r="114" ht="12.75" customHeight="1">
      <c r="A114" s="322"/>
      <c r="B114" s="365" t="s">
        <v>953</v>
      </c>
      <c r="C114" s="366" t="s">
        <v>3</v>
      </c>
      <c r="D114" s="366" t="s">
        <v>975</v>
      </c>
      <c r="E114" s="367" t="s">
        <v>35</v>
      </c>
      <c r="F114" s="324"/>
      <c r="G114" s="324"/>
      <c r="H114" s="387"/>
      <c r="I114" s="388"/>
      <c r="J114" s="322"/>
      <c r="K114" s="365" t="s">
        <v>953</v>
      </c>
      <c r="L114" s="366" t="s">
        <v>3</v>
      </c>
      <c r="M114" s="366" t="s">
        <v>975</v>
      </c>
      <c r="N114" s="367" t="s">
        <v>35</v>
      </c>
      <c r="O114" s="324"/>
    </row>
    <row r="115" ht="12.75" customHeight="1">
      <c r="A115" s="322"/>
      <c r="B115" s="368"/>
      <c r="C115" s="366"/>
      <c r="D115" s="366"/>
      <c r="E115" s="368"/>
      <c r="F115" s="324"/>
      <c r="G115" s="324"/>
      <c r="H115" s="387"/>
      <c r="I115" s="388"/>
      <c r="J115" s="322"/>
      <c r="K115" s="368"/>
      <c r="L115" s="366"/>
      <c r="M115" s="366"/>
      <c r="N115" s="368"/>
      <c r="O115" s="324"/>
    </row>
    <row r="116" ht="12.75" customHeight="1">
      <c r="A116" s="322"/>
      <c r="B116" s="75" t="s">
        <v>843</v>
      </c>
      <c r="C116" s="370">
        <v>0.2</v>
      </c>
      <c r="D116" s="343" t="str">
        <f>SALADS!$C$54</f>
        <v>#REF!</v>
      </c>
      <c r="E116" s="67" t="str">
        <f t="shared" ref="E116:E119" si="14">D116*C116</f>
        <v>#REF!</v>
      </c>
      <c r="F116" s="324"/>
      <c r="G116" s="324"/>
      <c r="H116" s="387"/>
      <c r="I116" s="388"/>
      <c r="J116" s="322"/>
      <c r="K116" s="60" t="s">
        <v>1078</v>
      </c>
      <c r="L116" s="342">
        <v>0.035</v>
      </c>
      <c r="M116" s="343">
        <f>'F&amp;B'!$F$296</f>
        <v>9000</v>
      </c>
      <c r="N116" s="67">
        <f t="shared" ref="N116:N125" si="15">M116*L116</f>
        <v>315</v>
      </c>
      <c r="O116" s="324"/>
    </row>
    <row r="117" ht="12.75" customHeight="1">
      <c r="A117" s="322"/>
      <c r="B117" s="75" t="s">
        <v>353</v>
      </c>
      <c r="C117" s="370">
        <v>2.0</v>
      </c>
      <c r="D117" s="371">
        <f>SAUCES!$L$92</f>
        <v>2481.970249</v>
      </c>
      <c r="E117" s="67">
        <f t="shared" si="14"/>
        <v>4963.940498</v>
      </c>
      <c r="F117" s="324"/>
      <c r="G117" s="324"/>
      <c r="H117" s="387"/>
      <c r="I117" s="388"/>
      <c r="J117" s="322"/>
      <c r="K117" s="75" t="s">
        <v>214</v>
      </c>
      <c r="L117" s="370">
        <v>0.035</v>
      </c>
      <c r="M117" s="343">
        <f>'F&amp;B'!$F$290</f>
        <v>6300</v>
      </c>
      <c r="N117" s="67">
        <f t="shared" si="15"/>
        <v>220.5</v>
      </c>
      <c r="O117" s="324"/>
    </row>
    <row r="118" ht="12.75" customHeight="1">
      <c r="A118" s="322"/>
      <c r="B118" s="75"/>
      <c r="C118" s="370">
        <v>0.0</v>
      </c>
      <c r="D118" s="371"/>
      <c r="E118" s="67">
        <f t="shared" si="14"/>
        <v>0</v>
      </c>
      <c r="F118" s="324"/>
      <c r="G118" s="324"/>
      <c r="H118" s="387"/>
      <c r="I118" s="388"/>
      <c r="J118" s="322"/>
      <c r="K118" s="75" t="s">
        <v>1033</v>
      </c>
      <c r="L118" s="370">
        <v>0.035</v>
      </c>
      <c r="M118" s="343">
        <f>'F&amp;B'!$F$278</f>
        <v>103500</v>
      </c>
      <c r="N118" s="67">
        <f t="shared" si="15"/>
        <v>3622.5</v>
      </c>
      <c r="O118" s="324"/>
    </row>
    <row r="119" ht="12.75" customHeight="1">
      <c r="A119" s="322"/>
      <c r="B119" s="75"/>
      <c r="C119" s="370">
        <v>0.0</v>
      </c>
      <c r="D119" s="371"/>
      <c r="E119" s="67">
        <f t="shared" si="14"/>
        <v>0</v>
      </c>
      <c r="F119" s="324"/>
      <c r="G119" s="324"/>
      <c r="H119" s="387"/>
      <c r="I119" s="388"/>
      <c r="J119" s="322"/>
      <c r="K119" s="75" t="s">
        <v>1082</v>
      </c>
      <c r="L119" s="370">
        <v>0.105</v>
      </c>
      <c r="M119" s="343">
        <f>'F&amp;B'!$F$29/12</f>
        <v>48750</v>
      </c>
      <c r="N119" s="67">
        <f t="shared" si="15"/>
        <v>5118.75</v>
      </c>
      <c r="O119" s="324"/>
    </row>
    <row r="120" ht="12.75" customHeight="1">
      <c r="A120" s="322"/>
      <c r="F120" s="324"/>
      <c r="G120" s="324"/>
      <c r="H120" s="387"/>
      <c r="I120" s="388"/>
      <c r="J120" s="322"/>
      <c r="K120" s="75" t="s">
        <v>1083</v>
      </c>
      <c r="L120" s="370">
        <v>0.03</v>
      </c>
      <c r="M120" s="343">
        <f>'F&amp;B'!$F$80</f>
        <v>103500</v>
      </c>
      <c r="N120" s="67">
        <f t="shared" si="15"/>
        <v>3105</v>
      </c>
      <c r="O120" s="324"/>
    </row>
    <row r="121" ht="12.75" customHeight="1">
      <c r="A121" s="322"/>
      <c r="B121" s="429"/>
      <c r="C121" s="370"/>
      <c r="D121" s="371"/>
      <c r="E121" s="67">
        <f t="shared" ref="E121:E125" si="16">D121*C121</f>
        <v>0</v>
      </c>
      <c r="F121" s="324"/>
      <c r="G121" s="324"/>
      <c r="H121" s="387"/>
      <c r="I121" s="388"/>
      <c r="J121" s="322"/>
      <c r="K121" s="75" t="s">
        <v>1047</v>
      </c>
      <c r="L121" s="370">
        <v>1.0</v>
      </c>
      <c r="M121" s="343">
        <f>SAUCES!$D$105</f>
        <v>2661.661085</v>
      </c>
      <c r="N121" s="67">
        <f t="shared" si="15"/>
        <v>2661.661085</v>
      </c>
      <c r="O121" s="324"/>
    </row>
    <row r="122" ht="12.75" customHeight="1">
      <c r="A122" s="322"/>
      <c r="B122" s="348"/>
      <c r="C122" s="346"/>
      <c r="D122" s="373"/>
      <c r="E122" s="67">
        <f t="shared" si="16"/>
        <v>0</v>
      </c>
      <c r="F122" s="324"/>
      <c r="G122" s="324"/>
      <c r="H122" s="387"/>
      <c r="I122" s="388"/>
      <c r="J122" s="322"/>
      <c r="K122" s="75" t="s">
        <v>1049</v>
      </c>
      <c r="L122" s="370">
        <v>1.0</v>
      </c>
      <c r="M122" s="343">
        <f>SAUCES!$L$105</f>
        <v>1090.94156</v>
      </c>
      <c r="N122" s="67">
        <f t="shared" si="15"/>
        <v>1090.94156</v>
      </c>
      <c r="O122" s="324"/>
    </row>
    <row r="123" ht="12.75" customHeight="1">
      <c r="A123" s="322"/>
      <c r="B123" s="348"/>
      <c r="C123" s="346"/>
      <c r="D123" s="373"/>
      <c r="E123" s="67">
        <f t="shared" si="16"/>
        <v>0</v>
      </c>
      <c r="F123" s="324"/>
      <c r="G123" s="324"/>
      <c r="H123" s="387"/>
      <c r="I123" s="388"/>
      <c r="J123" s="322"/>
      <c r="K123" s="75" t="s">
        <v>850</v>
      </c>
      <c r="L123" s="370">
        <v>0.02</v>
      </c>
      <c r="M123" s="343">
        <f>'F&amp;B'!F100/12</f>
        <v>50250</v>
      </c>
      <c r="N123" s="67">
        <f t="shared" si="15"/>
        <v>1005</v>
      </c>
      <c r="O123" s="324"/>
    </row>
    <row r="124" ht="12.75" customHeight="1">
      <c r="A124" s="322"/>
      <c r="B124" s="348"/>
      <c r="C124" s="346"/>
      <c r="D124" s="373"/>
      <c r="E124" s="67">
        <f t="shared" si="16"/>
        <v>0</v>
      </c>
      <c r="F124" s="324"/>
      <c r="G124" s="324"/>
      <c r="H124" s="387"/>
      <c r="I124" s="388"/>
      <c r="J124" s="322"/>
      <c r="K124" s="348"/>
      <c r="L124" s="346"/>
      <c r="M124" s="343"/>
      <c r="N124" s="67">
        <f t="shared" si="15"/>
        <v>0</v>
      </c>
      <c r="O124" s="324"/>
    </row>
    <row r="125" ht="12.75" customHeight="1">
      <c r="A125" s="322"/>
      <c r="B125" s="354"/>
      <c r="C125" s="355"/>
      <c r="D125" s="356"/>
      <c r="E125" s="67">
        <f t="shared" si="16"/>
        <v>0</v>
      </c>
      <c r="F125" s="324"/>
      <c r="G125" s="324"/>
      <c r="H125" s="387"/>
      <c r="I125" s="388"/>
      <c r="J125" s="322"/>
      <c r="K125" s="354"/>
      <c r="L125" s="355"/>
      <c r="M125" s="343"/>
      <c r="N125" s="67">
        <f t="shared" si="15"/>
        <v>0</v>
      </c>
      <c r="O125" s="324"/>
    </row>
    <row r="126" ht="12.75" customHeight="1">
      <c r="A126" s="322"/>
      <c r="B126" s="362" t="s">
        <v>84</v>
      </c>
      <c r="C126" s="374"/>
      <c r="D126" s="374"/>
      <c r="E126" s="375" t="str">
        <f>IF(SUM(E116:E125)=0,"",SUM(E116:E125))</f>
        <v>#REF!</v>
      </c>
      <c r="F126" s="324"/>
      <c r="G126" s="324"/>
      <c r="H126" s="387"/>
      <c r="I126" s="388"/>
      <c r="J126" s="322"/>
      <c r="K126" s="362" t="s">
        <v>84</v>
      </c>
      <c r="L126" s="374"/>
      <c r="M126" s="374"/>
      <c r="N126" s="375">
        <f>IF(SUM(N116:N125)=0,"",SUM(N116:N125))</f>
        <v>17139.35265</v>
      </c>
      <c r="O126" s="324"/>
    </row>
    <row r="127" ht="12.75" customHeight="1">
      <c r="A127" s="322"/>
      <c r="B127" s="360"/>
      <c r="C127" s="360"/>
      <c r="D127" s="360"/>
      <c r="E127" s="361"/>
      <c r="F127" s="324"/>
      <c r="G127" s="324"/>
      <c r="H127" s="387"/>
      <c r="I127" s="388"/>
      <c r="J127" s="322"/>
      <c r="K127" s="360"/>
      <c r="L127" s="360"/>
      <c r="M127" s="360"/>
      <c r="N127" s="361"/>
      <c r="O127" s="324"/>
    </row>
    <row r="128" ht="12.75" customHeight="1">
      <c r="A128" s="322"/>
      <c r="B128" s="34" t="s">
        <v>17</v>
      </c>
      <c r="C128" s="35"/>
      <c r="D128" s="35"/>
      <c r="E128" s="35"/>
      <c r="F128" s="324"/>
      <c r="G128" s="324"/>
      <c r="H128" s="387"/>
      <c r="I128" s="388"/>
      <c r="J128" s="322"/>
      <c r="K128" s="34" t="s">
        <v>17</v>
      </c>
      <c r="L128" s="35"/>
      <c r="M128" s="35"/>
      <c r="N128" s="35"/>
      <c r="O128" s="324"/>
    </row>
    <row r="129" ht="12.75" customHeight="1">
      <c r="A129" s="322"/>
      <c r="B129" s="52" t="s">
        <v>42</v>
      </c>
      <c r="C129" s="54"/>
      <c r="D129" s="54"/>
      <c r="E129" s="56" t="s">
        <v>35</v>
      </c>
      <c r="F129" s="324"/>
      <c r="G129" s="324"/>
      <c r="H129" s="387"/>
      <c r="I129" s="388"/>
      <c r="J129" s="322"/>
      <c r="K129" s="52" t="s">
        <v>42</v>
      </c>
      <c r="L129" s="54"/>
      <c r="M129" s="54"/>
      <c r="N129" s="56" t="s">
        <v>35</v>
      </c>
      <c r="O129" s="324"/>
    </row>
    <row r="130" ht="12.75" customHeight="1">
      <c r="A130" s="322"/>
      <c r="B130" s="60" t="s">
        <v>40</v>
      </c>
      <c r="C130" s="343">
        <f>'UTL COST'!$B$3</f>
        <v>369000</v>
      </c>
      <c r="D130" s="379">
        <f>'UTL COST'!$C$3</f>
        <v>0.0075</v>
      </c>
      <c r="E130" s="67">
        <f>'UTL COST'!$D$3</f>
        <v>2767.5</v>
      </c>
      <c r="F130" s="324"/>
      <c r="G130" s="324"/>
      <c r="H130" s="387"/>
      <c r="I130" s="388"/>
      <c r="J130" s="322"/>
      <c r="K130" s="60" t="s">
        <v>40</v>
      </c>
      <c r="L130" s="343">
        <f>'UTL COST'!$B$3</f>
        <v>369000</v>
      </c>
      <c r="M130" s="379">
        <f>'UTL COST'!$C$3</f>
        <v>0.0075</v>
      </c>
      <c r="N130" s="67">
        <f>E130</f>
        <v>2767.5</v>
      </c>
      <c r="O130" s="324"/>
    </row>
    <row r="131" ht="12.75" customHeight="1">
      <c r="A131" s="322"/>
      <c r="B131" s="75" t="s">
        <v>51</v>
      </c>
      <c r="C131" s="371" t="str">
        <f>'UTL COST'!$B$4</f>
        <v>#REF!</v>
      </c>
      <c r="D131" s="382">
        <f>'UTL COST'!$C$4</f>
        <v>7000</v>
      </c>
      <c r="E131" s="76" t="str">
        <f>'UTL COST'!$D$4</f>
        <v>#REF!</v>
      </c>
      <c r="F131" s="324"/>
      <c r="G131" s="324"/>
      <c r="H131" s="387"/>
      <c r="I131" s="388"/>
      <c r="J131" s="322"/>
      <c r="K131" s="75" t="s">
        <v>51</v>
      </c>
      <c r="L131" s="371" t="str">
        <f>'UTL COST'!$B$4</f>
        <v>#REF!</v>
      </c>
      <c r="M131" s="382">
        <f>'UTL COST'!$C$4</f>
        <v>7000</v>
      </c>
      <c r="N131" s="76" t="str">
        <f>'UTL COST'!$D$4</f>
        <v>#REF!</v>
      </c>
      <c r="O131" s="324"/>
    </row>
    <row r="132" ht="12.75" customHeight="1">
      <c r="A132" s="322"/>
      <c r="B132" s="75" t="s">
        <v>59</v>
      </c>
      <c r="C132" s="371" t="str">
        <f>'UTL COST'!$B$5</f>
        <v>#REF!</v>
      </c>
      <c r="D132" s="382">
        <f>'UTL COST'!$C$5</f>
        <v>45000</v>
      </c>
      <c r="E132" s="76" t="str">
        <f>'UTL COST'!$D$5</f>
        <v>#REF!</v>
      </c>
      <c r="F132" s="324"/>
      <c r="G132" s="324"/>
      <c r="H132" s="387"/>
      <c r="I132" s="388"/>
      <c r="J132" s="322"/>
      <c r="K132" s="75" t="s">
        <v>59</v>
      </c>
      <c r="L132" s="371" t="str">
        <f>'UTL COST'!$B$5</f>
        <v>#REF!</v>
      </c>
      <c r="M132" s="382">
        <f>'UTL COST'!$C$5</f>
        <v>45000</v>
      </c>
      <c r="N132" s="76" t="str">
        <f>'UTL COST'!$D$5</f>
        <v>#REF!</v>
      </c>
      <c r="O132" s="324"/>
    </row>
    <row r="133" ht="12.75" customHeight="1">
      <c r="A133" s="322"/>
      <c r="B133" s="87" t="s">
        <v>78</v>
      </c>
      <c r="C133" s="371" t="str">
        <f>'UTL COST'!$B$6</f>
        <v>#REF!</v>
      </c>
      <c r="D133" s="383">
        <f>'UTL COST'!$C$6</f>
        <v>525</v>
      </c>
      <c r="E133" s="89">
        <v>0.1</v>
      </c>
      <c r="F133" s="324"/>
      <c r="G133" s="324"/>
      <c r="H133" s="387"/>
      <c r="I133" s="388"/>
      <c r="J133" s="322"/>
      <c r="K133" s="87" t="s">
        <v>78</v>
      </c>
      <c r="L133" s="371" t="str">
        <f>'UTL COST'!$B$6</f>
        <v>#REF!</v>
      </c>
      <c r="M133" s="383">
        <f>'UTL COST'!$C$6</f>
        <v>525</v>
      </c>
      <c r="N133" s="89">
        <v>0.1</v>
      </c>
      <c r="O133" s="324"/>
    </row>
    <row r="134" ht="12.75" customHeight="1">
      <c r="A134" s="322"/>
      <c r="B134" s="34" t="s">
        <v>84</v>
      </c>
      <c r="C134" s="102"/>
      <c r="D134" s="102"/>
      <c r="E134" s="104" t="str">
        <f>IF(SUM(E130:E133)=0,"",SUM(E130:E133))</f>
        <v>#REF!</v>
      </c>
      <c r="F134" s="324"/>
      <c r="G134" s="324"/>
      <c r="H134" s="387"/>
      <c r="I134" s="388"/>
      <c r="J134" s="322"/>
      <c r="K134" s="34" t="s">
        <v>84</v>
      </c>
      <c r="L134" s="102"/>
      <c r="M134" s="102"/>
      <c r="N134" s="104" t="str">
        <f>IF(SUM(N130:N133)=0,"",SUM(N130:N133))</f>
        <v>#REF!</v>
      </c>
      <c r="O134" s="324"/>
    </row>
    <row r="135" ht="12.75" customHeight="1">
      <c r="A135" s="322"/>
      <c r="B135" s="360"/>
      <c r="C135" s="360"/>
      <c r="D135" s="360"/>
      <c r="E135" s="361"/>
      <c r="F135" s="324"/>
      <c r="G135" s="324"/>
      <c r="H135" s="387"/>
      <c r="I135" s="388"/>
      <c r="J135" s="322"/>
      <c r="K135" s="360"/>
      <c r="L135" s="360"/>
      <c r="M135" s="360"/>
      <c r="N135" s="361"/>
      <c r="O135" s="324"/>
    </row>
    <row r="136" ht="12.75" customHeight="1">
      <c r="A136" s="387"/>
      <c r="B136" s="387"/>
      <c r="C136" s="387"/>
      <c r="D136" s="387"/>
      <c r="E136" s="418"/>
      <c r="F136" s="387"/>
      <c r="G136" s="387"/>
      <c r="H136" s="387"/>
      <c r="I136" s="387"/>
      <c r="J136" s="387"/>
      <c r="K136" s="387"/>
      <c r="L136" s="387"/>
      <c r="M136" s="387"/>
      <c r="N136" s="387"/>
      <c r="O136" s="387"/>
    </row>
    <row r="137" ht="12.75" customHeight="1">
      <c r="A137" s="387"/>
      <c r="B137" s="387"/>
      <c r="C137" s="387"/>
      <c r="D137" s="387"/>
      <c r="E137" s="418"/>
      <c r="F137" s="387"/>
      <c r="G137" s="387"/>
      <c r="H137" s="387"/>
      <c r="I137" s="387"/>
      <c r="J137" s="387"/>
      <c r="K137" s="387"/>
      <c r="L137" s="387"/>
      <c r="M137" s="387"/>
      <c r="N137" s="387"/>
      <c r="O137" s="387"/>
    </row>
    <row r="138" ht="14.25" customHeight="1">
      <c r="A138" s="322"/>
      <c r="B138" s="322"/>
      <c r="C138" s="322"/>
      <c r="D138" s="322"/>
      <c r="E138" s="323"/>
      <c r="F138" s="324"/>
      <c r="G138" s="324"/>
      <c r="H138" s="387"/>
      <c r="I138" s="387"/>
      <c r="J138" s="322"/>
      <c r="K138" s="322"/>
      <c r="L138" s="322"/>
      <c r="M138" s="322"/>
      <c r="N138" s="323"/>
      <c r="O138" s="324"/>
    </row>
    <row r="139" ht="14.25" customHeight="1">
      <c r="A139" s="322"/>
      <c r="B139" s="325"/>
      <c r="C139" s="322"/>
      <c r="D139" s="322"/>
      <c r="E139" s="323"/>
      <c r="F139" s="326"/>
      <c r="G139" s="326"/>
      <c r="H139" s="387"/>
      <c r="I139" s="387"/>
      <c r="J139" s="322"/>
      <c r="K139" s="325"/>
      <c r="L139" s="322"/>
      <c r="M139" s="322"/>
      <c r="N139" s="323"/>
      <c r="O139" s="326"/>
    </row>
    <row r="140" ht="15.0" customHeight="1">
      <c r="A140" s="322"/>
      <c r="B140" s="327" t="s">
        <v>931</v>
      </c>
      <c r="C140" s="328" t="s">
        <v>1093</v>
      </c>
      <c r="D140" s="329"/>
      <c r="E140" s="323"/>
      <c r="F140" s="326"/>
      <c r="G140" s="326"/>
      <c r="H140" s="387"/>
      <c r="I140" s="387"/>
      <c r="J140" s="322"/>
      <c r="K140" s="327" t="s">
        <v>931</v>
      </c>
      <c r="L140" s="328" t="s">
        <v>537</v>
      </c>
      <c r="M140" s="329"/>
      <c r="N140" s="323"/>
      <c r="O140" s="326"/>
    </row>
    <row r="141" ht="14.25" customHeight="1">
      <c r="A141" s="322"/>
      <c r="B141" s="325"/>
      <c r="C141" s="322"/>
      <c r="D141" s="322"/>
      <c r="E141" s="323"/>
      <c r="F141" s="326"/>
      <c r="G141" s="326"/>
      <c r="H141" s="387"/>
      <c r="I141" s="387"/>
      <c r="J141" s="322"/>
      <c r="K141" s="325"/>
      <c r="L141" s="322"/>
      <c r="M141" s="322"/>
      <c r="N141" s="323"/>
      <c r="O141" s="326"/>
    </row>
    <row r="142" ht="15.0" customHeight="1">
      <c r="A142" s="322"/>
      <c r="B142" s="327" t="s">
        <v>935</v>
      </c>
      <c r="C142" s="331">
        <v>200000.0</v>
      </c>
      <c r="D142" s="329"/>
      <c r="E142" s="323"/>
      <c r="F142" s="326"/>
      <c r="G142" s="326"/>
      <c r="H142" s="387"/>
      <c r="I142" s="387"/>
      <c r="J142" s="322"/>
      <c r="K142" s="327" t="s">
        <v>935</v>
      </c>
      <c r="L142" s="331">
        <v>250000.0</v>
      </c>
      <c r="M142" s="329"/>
      <c r="N142" s="323"/>
      <c r="O142" s="326"/>
    </row>
    <row r="143" ht="15.0" customHeight="1">
      <c r="A143" s="322"/>
      <c r="B143" s="327"/>
      <c r="C143" s="332"/>
      <c r="D143" s="332"/>
      <c r="E143" s="323"/>
      <c r="F143" s="326"/>
      <c r="G143" s="326"/>
      <c r="H143" s="387"/>
      <c r="I143" s="387"/>
      <c r="J143" s="322"/>
      <c r="K143" s="327"/>
      <c r="L143" s="332"/>
      <c r="M143" s="332"/>
      <c r="N143" s="323"/>
      <c r="O143" s="326"/>
    </row>
    <row r="144" ht="15.0" customHeight="1">
      <c r="A144" s="322"/>
      <c r="B144" s="327" t="s">
        <v>939</v>
      </c>
      <c r="C144" s="333" t="str">
        <f>IF(SUM(E156,E171,E179)=0,"",SUM(E156,E171,E179))</f>
        <v>#REF!</v>
      </c>
      <c r="D144" s="321"/>
      <c r="E144" s="323"/>
      <c r="F144" s="326"/>
      <c r="G144" s="326"/>
      <c r="H144" s="387"/>
      <c r="I144" s="387"/>
      <c r="J144" s="322"/>
      <c r="K144" s="327" t="s">
        <v>939</v>
      </c>
      <c r="L144" s="333" t="str">
        <f>IF(SUM(N156,N171,N179)=0,"",SUM(N156,N171,N179))</f>
        <v>#REF!</v>
      </c>
      <c r="M144" s="321"/>
      <c r="N144" s="323"/>
      <c r="O144" s="326"/>
    </row>
    <row r="145" ht="15.0" customHeight="1">
      <c r="A145" s="322"/>
      <c r="B145" s="327"/>
      <c r="C145" s="334"/>
      <c r="D145" s="334"/>
      <c r="E145" s="323"/>
      <c r="F145" s="326"/>
      <c r="G145" s="326"/>
      <c r="H145" s="387"/>
      <c r="I145" s="387"/>
      <c r="J145" s="322"/>
      <c r="K145" s="327"/>
      <c r="L145" s="334"/>
      <c r="M145" s="334"/>
      <c r="N145" s="323"/>
      <c r="O145" s="326"/>
    </row>
    <row r="146" ht="15.0" customHeight="1">
      <c r="A146" s="322"/>
      <c r="B146" s="327" t="s">
        <v>946</v>
      </c>
      <c r="C146" s="335" t="str">
        <f>IF(C144="","",IF(ISBLANK(C142),"",C144/C142))</f>
        <v>#REF!</v>
      </c>
      <c r="D146" s="321"/>
      <c r="E146" s="323"/>
      <c r="F146" s="326"/>
      <c r="G146" s="326"/>
      <c r="H146" s="387"/>
      <c r="I146" s="387"/>
      <c r="J146" s="322"/>
      <c r="K146" s="327" t="s">
        <v>946</v>
      </c>
      <c r="L146" s="335" t="str">
        <f>IF(L144="","",IF(ISBLANK(L142),"",L144/L142))</f>
        <v>#REF!</v>
      </c>
      <c r="M146" s="321"/>
      <c r="N146" s="323"/>
      <c r="O146" s="326"/>
    </row>
    <row r="147" ht="15.0" customHeight="1">
      <c r="A147" s="322"/>
      <c r="B147" s="327"/>
      <c r="C147" s="334"/>
      <c r="D147" s="334"/>
      <c r="E147" s="323"/>
      <c r="F147" s="326"/>
      <c r="G147" s="326"/>
      <c r="H147" s="387"/>
      <c r="I147" s="387"/>
      <c r="J147" s="322"/>
      <c r="K147" s="327"/>
      <c r="L147" s="334"/>
      <c r="M147" s="334"/>
      <c r="N147" s="323"/>
      <c r="O147" s="326"/>
    </row>
    <row r="148" ht="15.0" customHeight="1">
      <c r="A148" s="322"/>
      <c r="B148" s="327" t="s">
        <v>950</v>
      </c>
      <c r="C148" s="333" t="str">
        <f>C142-C144</f>
        <v>#REF!</v>
      </c>
      <c r="D148" s="321"/>
      <c r="E148" s="323"/>
      <c r="F148" s="326"/>
      <c r="G148" s="326"/>
      <c r="H148" s="387"/>
      <c r="I148" s="387"/>
      <c r="J148" s="322"/>
      <c r="K148" s="327" t="s">
        <v>950</v>
      </c>
      <c r="L148" s="333" t="str">
        <f>L142-L144</f>
        <v>#REF!</v>
      </c>
      <c r="M148" s="321"/>
      <c r="N148" s="323"/>
      <c r="O148" s="326"/>
    </row>
    <row r="149" ht="14.25" customHeight="1">
      <c r="A149" s="322"/>
      <c r="B149" s="322"/>
      <c r="C149" s="322"/>
      <c r="D149" s="322"/>
      <c r="E149" s="323"/>
      <c r="F149" s="324"/>
      <c r="G149" s="324"/>
      <c r="H149" s="387"/>
      <c r="I149" s="387"/>
      <c r="J149" s="322"/>
      <c r="K149" s="322"/>
      <c r="L149" s="322"/>
      <c r="M149" s="322"/>
      <c r="N149" s="323"/>
      <c r="O149" s="324"/>
    </row>
    <row r="150" ht="14.25" customHeight="1">
      <c r="A150" s="322"/>
      <c r="B150" s="322"/>
      <c r="C150" s="322"/>
      <c r="D150" s="322"/>
      <c r="E150" s="337"/>
      <c r="F150" s="324"/>
      <c r="G150" s="324"/>
      <c r="H150" s="387"/>
      <c r="I150" s="387"/>
      <c r="J150" s="322"/>
      <c r="K150" s="322"/>
      <c r="L150" s="322"/>
      <c r="M150" s="322"/>
      <c r="N150" s="337"/>
      <c r="O150" s="324"/>
    </row>
    <row r="151" ht="12.75" customHeight="1">
      <c r="A151" s="322"/>
      <c r="B151" s="338" t="s">
        <v>951</v>
      </c>
      <c r="C151" s="339"/>
      <c r="D151" s="339"/>
      <c r="E151" s="339"/>
      <c r="F151" s="324"/>
      <c r="G151" s="324"/>
      <c r="H151" s="387"/>
      <c r="I151" s="387"/>
      <c r="J151" s="322"/>
      <c r="K151" s="338" t="s">
        <v>951</v>
      </c>
      <c r="L151" s="339"/>
      <c r="M151" s="339"/>
      <c r="N151" s="339"/>
      <c r="O151" s="324"/>
    </row>
    <row r="152" ht="27.75" customHeight="1">
      <c r="A152" s="322"/>
      <c r="B152" s="340" t="s">
        <v>953</v>
      </c>
      <c r="C152" s="341" t="s">
        <v>954</v>
      </c>
      <c r="D152" s="341" t="s">
        <v>955</v>
      </c>
      <c r="E152" s="341" t="s">
        <v>35</v>
      </c>
      <c r="F152" s="324"/>
      <c r="G152" s="324"/>
      <c r="H152" s="387"/>
      <c r="I152" s="387"/>
      <c r="J152" s="322"/>
      <c r="K152" s="340" t="s">
        <v>953</v>
      </c>
      <c r="L152" s="341" t="s">
        <v>954</v>
      </c>
      <c r="M152" s="341" t="s">
        <v>955</v>
      </c>
      <c r="N152" s="341" t="s">
        <v>35</v>
      </c>
      <c r="O152" s="324"/>
    </row>
    <row r="153" ht="12.75" customHeight="1">
      <c r="A153" s="322"/>
      <c r="B153" s="60" t="s">
        <v>1097</v>
      </c>
      <c r="C153" s="342">
        <v>0.16</v>
      </c>
      <c r="D153" s="343">
        <f>'F&amp;B'!$F$215</f>
        <v>198000</v>
      </c>
      <c r="E153" s="67">
        <f t="shared" ref="E153:E154" si="17">IF(OR(ISBLANK(C153),ISBLANK(D153)),"",D153*C153)</f>
        <v>31680</v>
      </c>
      <c r="F153" s="324"/>
      <c r="G153" s="324"/>
      <c r="H153" s="387"/>
      <c r="I153" s="387"/>
      <c r="J153" s="322"/>
      <c r="K153" s="60" t="s">
        <v>1099</v>
      </c>
      <c r="L153" s="342">
        <v>0.16</v>
      </c>
      <c r="M153" s="343">
        <f>'F&amp;B'!F274</f>
        <v>94500</v>
      </c>
      <c r="N153" s="67">
        <f>IF(OR(ISBLANK(L153),ISBLANK(M153)),"",M153*L153)</f>
        <v>15120</v>
      </c>
      <c r="O153" s="324"/>
    </row>
    <row r="154" ht="12.75" customHeight="1">
      <c r="A154" s="322"/>
      <c r="B154" s="75" t="s">
        <v>33</v>
      </c>
      <c r="C154" s="370">
        <v>0.16</v>
      </c>
      <c r="D154" s="371">
        <f>STARTERS!$D$19</f>
        <v>19665</v>
      </c>
      <c r="E154" s="67">
        <f t="shared" si="17"/>
        <v>3146.4</v>
      </c>
      <c r="F154" s="324"/>
      <c r="G154" s="324"/>
      <c r="H154" s="387"/>
      <c r="I154" s="387"/>
      <c r="J154" s="322"/>
      <c r="K154" s="75" t="s">
        <v>33</v>
      </c>
      <c r="L154" s="370"/>
      <c r="M154" s="371">
        <f>STARTERS!$D$19</f>
        <v>19665</v>
      </c>
      <c r="N154" s="67"/>
      <c r="O154" s="324"/>
    </row>
    <row r="155" ht="12.75" customHeight="1">
      <c r="A155" s="322"/>
      <c r="B155" s="87"/>
      <c r="C155" s="355"/>
      <c r="D155" s="356"/>
      <c r="E155" s="67"/>
      <c r="F155" s="324"/>
      <c r="G155" s="324"/>
      <c r="H155" s="387"/>
      <c r="I155" s="387"/>
      <c r="J155" s="322"/>
      <c r="K155" s="87"/>
      <c r="L155" s="355"/>
      <c r="M155" s="356"/>
      <c r="N155" s="67"/>
      <c r="O155" s="324"/>
    </row>
    <row r="156" ht="15.0" customHeight="1">
      <c r="A156" s="322"/>
      <c r="B156" s="338" t="s">
        <v>84</v>
      </c>
      <c r="C156" s="358"/>
      <c r="D156" s="358"/>
      <c r="E156" s="359">
        <f>IF(SUM(E153:E155)=0,"",SUM(E153:E155))</f>
        <v>34826.4</v>
      </c>
      <c r="F156" s="324"/>
      <c r="G156" s="324"/>
      <c r="H156" s="387"/>
      <c r="I156" s="387"/>
      <c r="J156" s="322"/>
      <c r="K156" s="338" t="s">
        <v>84</v>
      </c>
      <c r="L156" s="358"/>
      <c r="M156" s="358"/>
      <c r="N156" s="359">
        <f>IF(SUM(N153:N155)=0,"",SUM(N153:N155))</f>
        <v>15120</v>
      </c>
      <c r="O156" s="324"/>
    </row>
    <row r="157" ht="15.0" customHeight="1">
      <c r="A157" s="322"/>
      <c r="B157" s="360"/>
      <c r="C157" s="360"/>
      <c r="D157" s="360"/>
      <c r="E157" s="361"/>
      <c r="F157" s="324"/>
      <c r="G157" s="324"/>
      <c r="H157" s="387"/>
      <c r="I157" s="387"/>
      <c r="J157" s="322"/>
      <c r="K157" s="360"/>
      <c r="L157" s="360"/>
      <c r="M157" s="360"/>
      <c r="N157" s="361"/>
      <c r="O157" s="324"/>
    </row>
    <row r="158" ht="12.75" customHeight="1">
      <c r="A158" s="322"/>
      <c r="B158" s="362" t="s">
        <v>972</v>
      </c>
      <c r="C158" s="363"/>
      <c r="D158" s="363"/>
      <c r="E158" s="363"/>
      <c r="F158" s="324"/>
      <c r="G158" s="324"/>
      <c r="H158" s="387"/>
      <c r="I158" s="387"/>
      <c r="J158" s="322"/>
      <c r="K158" s="362" t="s">
        <v>972</v>
      </c>
      <c r="L158" s="363"/>
      <c r="M158" s="363"/>
      <c r="N158" s="363"/>
      <c r="O158" s="324"/>
    </row>
    <row r="159" ht="12.75" customHeight="1">
      <c r="A159" s="322"/>
      <c r="B159" s="365" t="s">
        <v>953</v>
      </c>
      <c r="C159" s="366" t="s">
        <v>3</v>
      </c>
      <c r="D159" s="366" t="s">
        <v>975</v>
      </c>
      <c r="E159" s="367" t="s">
        <v>35</v>
      </c>
      <c r="F159" s="324"/>
      <c r="G159" s="324"/>
      <c r="H159" s="387"/>
      <c r="I159" s="387"/>
      <c r="J159" s="322"/>
      <c r="K159" s="365" t="s">
        <v>953</v>
      </c>
      <c r="L159" s="366" t="s">
        <v>3</v>
      </c>
      <c r="M159" s="366" t="s">
        <v>975</v>
      </c>
      <c r="N159" s="367" t="s">
        <v>35</v>
      </c>
      <c r="O159" s="324"/>
    </row>
    <row r="160" ht="12.75" customHeight="1">
      <c r="A160" s="322"/>
      <c r="B160" s="368"/>
      <c r="C160" s="366"/>
      <c r="D160" s="366"/>
      <c r="E160" s="368"/>
      <c r="F160" s="324"/>
      <c r="G160" s="324"/>
      <c r="H160" s="387"/>
      <c r="I160" s="387"/>
      <c r="J160" s="322"/>
      <c r="K160" s="368"/>
      <c r="L160" s="366"/>
      <c r="M160" s="366"/>
      <c r="N160" s="368"/>
      <c r="O160" s="324"/>
    </row>
    <row r="161" ht="12.75" customHeight="1">
      <c r="A161" s="322"/>
      <c r="B161" s="60" t="s">
        <v>1078</v>
      </c>
      <c r="C161" s="342">
        <v>0.035</v>
      </c>
      <c r="D161" s="343">
        <f>'F&amp;B'!$F$296</f>
        <v>9000</v>
      </c>
      <c r="E161" s="67">
        <f t="shared" ref="E161:E170" si="18">D161*C161</f>
        <v>315</v>
      </c>
      <c r="F161" s="324"/>
      <c r="G161" s="324"/>
      <c r="H161" s="387"/>
      <c r="I161" s="387"/>
      <c r="J161" s="322"/>
      <c r="K161" s="60" t="s">
        <v>1078</v>
      </c>
      <c r="L161" s="342">
        <v>0.035</v>
      </c>
      <c r="M161" s="343">
        <f>'F&amp;B'!$F$296</f>
        <v>9000</v>
      </c>
      <c r="N161" s="67">
        <f t="shared" ref="N161:N170" si="19">M161*L161</f>
        <v>315</v>
      </c>
      <c r="O161" s="324"/>
    </row>
    <row r="162" ht="12.75" customHeight="1">
      <c r="A162" s="322"/>
      <c r="B162" s="75" t="s">
        <v>214</v>
      </c>
      <c r="C162" s="370">
        <v>0.035</v>
      </c>
      <c r="D162" s="343">
        <f>'F&amp;B'!$F$290</f>
        <v>6300</v>
      </c>
      <c r="E162" s="67">
        <f t="shared" si="18"/>
        <v>220.5</v>
      </c>
      <c r="F162" s="324"/>
      <c r="G162" s="324"/>
      <c r="H162" s="387"/>
      <c r="I162" s="387"/>
      <c r="J162" s="322"/>
      <c r="K162" s="75" t="s">
        <v>214</v>
      </c>
      <c r="L162" s="370">
        <v>0.035</v>
      </c>
      <c r="M162" s="343">
        <f>'F&amp;B'!$F$290</f>
        <v>6300</v>
      </c>
      <c r="N162" s="67">
        <f t="shared" si="19"/>
        <v>220.5</v>
      </c>
      <c r="O162" s="324"/>
    </row>
    <row r="163" ht="12.75" customHeight="1">
      <c r="A163" s="322"/>
      <c r="B163" s="75" t="s">
        <v>1033</v>
      </c>
      <c r="C163" s="370">
        <v>0.035</v>
      </c>
      <c r="D163" s="343">
        <f>'F&amp;B'!$F$278</f>
        <v>103500</v>
      </c>
      <c r="E163" s="67">
        <f t="shared" si="18"/>
        <v>3622.5</v>
      </c>
      <c r="F163" s="324"/>
      <c r="G163" s="324"/>
      <c r="H163" s="387"/>
      <c r="I163" s="387"/>
      <c r="J163" s="322"/>
      <c r="K163" s="75" t="s">
        <v>1033</v>
      </c>
      <c r="L163" s="370">
        <v>0.035</v>
      </c>
      <c r="M163" s="343">
        <f>'F&amp;B'!$F$278</f>
        <v>103500</v>
      </c>
      <c r="N163" s="67">
        <f t="shared" si="19"/>
        <v>3622.5</v>
      </c>
      <c r="O163" s="324"/>
    </row>
    <row r="164" ht="12.75" customHeight="1">
      <c r="A164" s="322"/>
      <c r="B164" s="75" t="s">
        <v>1082</v>
      </c>
      <c r="C164" s="370">
        <v>0.05</v>
      </c>
      <c r="D164" s="343">
        <f>'F&amp;B'!$F$29/12</f>
        <v>48750</v>
      </c>
      <c r="E164" s="67">
        <f t="shared" si="18"/>
        <v>2437.5</v>
      </c>
      <c r="F164" s="324"/>
      <c r="G164" s="324"/>
      <c r="H164" s="387"/>
      <c r="I164" s="387"/>
      <c r="J164" s="322"/>
      <c r="K164" s="75" t="s">
        <v>1082</v>
      </c>
      <c r="L164" s="370">
        <v>0.105</v>
      </c>
      <c r="M164" s="343">
        <f>'F&amp;B'!$F$29/12</f>
        <v>48750</v>
      </c>
      <c r="N164" s="67">
        <f t="shared" si="19"/>
        <v>5118.75</v>
      </c>
      <c r="O164" s="324"/>
    </row>
    <row r="165" ht="12.75" customHeight="1">
      <c r="A165" s="322"/>
      <c r="B165" s="75" t="s">
        <v>1083</v>
      </c>
      <c r="C165" s="370">
        <v>0.03</v>
      </c>
      <c r="D165" s="343">
        <f>'F&amp;B'!$F$80</f>
        <v>103500</v>
      </c>
      <c r="E165" s="67">
        <f t="shared" si="18"/>
        <v>3105</v>
      </c>
      <c r="F165" s="324"/>
      <c r="G165" s="324"/>
      <c r="H165" s="387"/>
      <c r="I165" s="387"/>
      <c r="J165" s="322"/>
      <c r="K165" s="75" t="s">
        <v>1083</v>
      </c>
      <c r="L165" s="370">
        <v>0.03</v>
      </c>
      <c r="M165" s="343">
        <f>'F&amp;B'!$F$80</f>
        <v>103500</v>
      </c>
      <c r="N165" s="67">
        <f t="shared" si="19"/>
        <v>3105</v>
      </c>
      <c r="O165" s="324"/>
    </row>
    <row r="166" ht="12.75" customHeight="1">
      <c r="A166" s="322"/>
      <c r="B166" s="75" t="s">
        <v>1047</v>
      </c>
      <c r="C166" s="346">
        <v>1.0</v>
      </c>
      <c r="D166" s="343">
        <f>SAUCES!$D$105</f>
        <v>2661.661085</v>
      </c>
      <c r="E166" s="67">
        <f t="shared" si="18"/>
        <v>2661.661085</v>
      </c>
      <c r="F166" s="324"/>
      <c r="G166" s="324"/>
      <c r="H166" s="387"/>
      <c r="I166" s="387"/>
      <c r="J166" s="322"/>
      <c r="K166" s="75" t="s">
        <v>1047</v>
      </c>
      <c r="L166" s="346">
        <v>1.0</v>
      </c>
      <c r="M166" s="343">
        <f>SAUCES!$D$105</f>
        <v>2661.661085</v>
      </c>
      <c r="N166" s="67">
        <f t="shared" si="19"/>
        <v>2661.661085</v>
      </c>
      <c r="O166" s="324"/>
    </row>
    <row r="167" ht="12.75" customHeight="1">
      <c r="A167" s="322"/>
      <c r="B167" s="348" t="s">
        <v>1049</v>
      </c>
      <c r="C167" s="346">
        <v>1.0</v>
      </c>
      <c r="D167" s="343">
        <f>SAUCES!$L$105</f>
        <v>1090.94156</v>
      </c>
      <c r="E167" s="67">
        <f t="shared" si="18"/>
        <v>1090.94156</v>
      </c>
      <c r="F167" s="324"/>
      <c r="G167" s="324"/>
      <c r="H167" s="387"/>
      <c r="I167" s="387"/>
      <c r="J167" s="322"/>
      <c r="K167" s="75" t="s">
        <v>1049</v>
      </c>
      <c r="L167" s="346">
        <v>1.0</v>
      </c>
      <c r="M167" s="343">
        <f>SAUCES!$L$105</f>
        <v>1090.94156</v>
      </c>
      <c r="N167" s="67">
        <f t="shared" si="19"/>
        <v>1090.94156</v>
      </c>
      <c r="O167" s="324"/>
    </row>
    <row r="168" ht="12.75" customHeight="1">
      <c r="A168" s="322"/>
      <c r="B168" s="348"/>
      <c r="C168" s="346"/>
      <c r="D168" s="343"/>
      <c r="E168" s="67">
        <f t="shared" si="18"/>
        <v>0</v>
      </c>
      <c r="F168" s="324"/>
      <c r="G168" s="324"/>
      <c r="H168" s="387"/>
      <c r="I168" s="387"/>
      <c r="J168" s="322"/>
      <c r="K168" s="348" t="s">
        <v>850</v>
      </c>
      <c r="L168" s="346">
        <v>0.02</v>
      </c>
      <c r="M168" s="343">
        <f>M123</f>
        <v>50250</v>
      </c>
      <c r="N168" s="67">
        <f t="shared" si="19"/>
        <v>1005</v>
      </c>
      <c r="O168" s="324"/>
    </row>
    <row r="169" ht="12.75" customHeight="1">
      <c r="A169" s="322"/>
      <c r="B169" s="348"/>
      <c r="C169" s="346"/>
      <c r="D169" s="343"/>
      <c r="E169" s="67">
        <f t="shared" si="18"/>
        <v>0</v>
      </c>
      <c r="F169" s="324"/>
      <c r="G169" s="324"/>
      <c r="H169" s="387"/>
      <c r="I169" s="387"/>
      <c r="J169" s="322"/>
      <c r="K169" s="348"/>
      <c r="L169" s="346"/>
      <c r="M169" s="343"/>
      <c r="N169" s="67">
        <f t="shared" si="19"/>
        <v>0</v>
      </c>
      <c r="O169" s="324"/>
    </row>
    <row r="170" ht="12.75" customHeight="1">
      <c r="A170" s="322"/>
      <c r="B170" s="354"/>
      <c r="C170" s="355"/>
      <c r="D170" s="343"/>
      <c r="E170" s="67">
        <f t="shared" si="18"/>
        <v>0</v>
      </c>
      <c r="F170" s="324"/>
      <c r="G170" s="324"/>
      <c r="H170" s="387"/>
      <c r="I170" s="387"/>
      <c r="J170" s="322"/>
      <c r="K170" s="354"/>
      <c r="L170" s="355"/>
      <c r="M170" s="343"/>
      <c r="N170" s="67">
        <f t="shared" si="19"/>
        <v>0</v>
      </c>
      <c r="O170" s="324"/>
    </row>
    <row r="171" ht="15.0" customHeight="1">
      <c r="A171" s="322"/>
      <c r="B171" s="362" t="s">
        <v>84</v>
      </c>
      <c r="C171" s="374"/>
      <c r="D171" s="374"/>
      <c r="E171" s="375">
        <f>IF(SUM(E161:E170)=0,"",SUM(E161:E170))</f>
        <v>13453.10265</v>
      </c>
      <c r="F171" s="324"/>
      <c r="G171" s="324"/>
      <c r="H171" s="387"/>
      <c r="I171" s="387"/>
      <c r="J171" s="322"/>
      <c r="K171" s="362" t="s">
        <v>84</v>
      </c>
      <c r="L171" s="374"/>
      <c r="M171" s="374"/>
      <c r="N171" s="375">
        <f>IF(SUM(N161:N170)=0,"",SUM(N161:N170))</f>
        <v>17139.35265</v>
      </c>
      <c r="O171" s="324"/>
    </row>
    <row r="172" ht="15.0" customHeight="1">
      <c r="A172" s="322"/>
      <c r="B172" s="360"/>
      <c r="C172" s="360"/>
      <c r="D172" s="360"/>
      <c r="E172" s="361"/>
      <c r="F172" s="324"/>
      <c r="G172" s="324"/>
      <c r="H172" s="387"/>
      <c r="I172" s="387"/>
      <c r="J172" s="322"/>
      <c r="K172" s="360"/>
      <c r="L172" s="360"/>
      <c r="M172" s="360"/>
      <c r="N172" s="361"/>
      <c r="O172" s="324"/>
    </row>
    <row r="173" ht="12.75" customHeight="1">
      <c r="A173" s="322"/>
      <c r="B173" s="34" t="s">
        <v>17</v>
      </c>
      <c r="C173" s="35"/>
      <c r="D173" s="35"/>
      <c r="E173" s="35"/>
      <c r="F173" s="324"/>
      <c r="G173" s="324"/>
      <c r="H173" s="387"/>
      <c r="I173" s="387"/>
      <c r="J173" s="322"/>
      <c r="K173" s="34" t="s">
        <v>17</v>
      </c>
      <c r="L173" s="35"/>
      <c r="M173" s="35"/>
      <c r="N173" s="35"/>
      <c r="O173" s="324"/>
    </row>
    <row r="174" ht="12.75" customHeight="1">
      <c r="A174" s="322"/>
      <c r="B174" s="52" t="s">
        <v>42</v>
      </c>
      <c r="C174" s="54"/>
      <c r="D174" s="54"/>
      <c r="E174" s="56" t="s">
        <v>35</v>
      </c>
      <c r="F174" s="324"/>
      <c r="G174" s="324"/>
      <c r="H174" s="387"/>
      <c r="I174" s="387"/>
      <c r="J174" s="322"/>
      <c r="K174" s="52" t="s">
        <v>42</v>
      </c>
      <c r="L174" s="54"/>
      <c r="M174" s="54"/>
      <c r="N174" s="56" t="s">
        <v>35</v>
      </c>
      <c r="O174" s="324"/>
    </row>
    <row r="175" ht="12.75" customHeight="1">
      <c r="A175" s="322"/>
      <c r="B175" s="60" t="s">
        <v>40</v>
      </c>
      <c r="C175" s="343">
        <f>'UTL COST'!$B$3</f>
        <v>369000</v>
      </c>
      <c r="D175" s="379">
        <f>'UTL COST'!$C$3</f>
        <v>0.0075</v>
      </c>
      <c r="E175" s="67">
        <f>E41</f>
        <v>2767.5</v>
      </c>
      <c r="F175" s="324"/>
      <c r="G175" s="324"/>
      <c r="H175" s="387"/>
      <c r="I175" s="387"/>
      <c r="J175" s="322"/>
      <c r="K175" s="60" t="s">
        <v>40</v>
      </c>
      <c r="L175" s="343">
        <f>'UTL COST'!$B$3</f>
        <v>369000</v>
      </c>
      <c r="M175" s="379">
        <f>'UTL COST'!$C$3</f>
        <v>0.0075</v>
      </c>
      <c r="N175" s="67">
        <f>E41</f>
        <v>2767.5</v>
      </c>
      <c r="O175" s="324"/>
    </row>
    <row r="176" ht="12.75" customHeight="1">
      <c r="A176" s="322"/>
      <c r="B176" s="75" t="s">
        <v>51</v>
      </c>
      <c r="C176" s="371" t="str">
        <f>'UTL COST'!$B$4</f>
        <v>#REF!</v>
      </c>
      <c r="D176" s="382">
        <f>'UTL COST'!$C$4</f>
        <v>7000</v>
      </c>
      <c r="E176" s="76" t="str">
        <f>'UTL COST'!$D$4</f>
        <v>#REF!</v>
      </c>
      <c r="F176" s="324"/>
      <c r="G176" s="324"/>
      <c r="H176" s="387"/>
      <c r="I176" s="387"/>
      <c r="J176" s="322"/>
      <c r="K176" s="75" t="s">
        <v>51</v>
      </c>
      <c r="L176" s="371" t="str">
        <f>'UTL COST'!$B$4</f>
        <v>#REF!</v>
      </c>
      <c r="M176" s="382">
        <f>'UTL COST'!$C$4</f>
        <v>7000</v>
      </c>
      <c r="N176" s="76" t="str">
        <f>'UTL COST'!$D$4</f>
        <v>#REF!</v>
      </c>
      <c r="O176" s="324"/>
    </row>
    <row r="177" ht="12.75" customHeight="1">
      <c r="A177" s="322"/>
      <c r="B177" s="75" t="s">
        <v>59</v>
      </c>
      <c r="C177" s="371" t="str">
        <f>'UTL COST'!$B$5</f>
        <v>#REF!</v>
      </c>
      <c r="D177" s="382">
        <f>'UTL COST'!$C$5</f>
        <v>45000</v>
      </c>
      <c r="E177" s="76" t="str">
        <f>'UTL COST'!$D$5</f>
        <v>#REF!</v>
      </c>
      <c r="F177" s="324"/>
      <c r="G177" s="324"/>
      <c r="H177" s="387"/>
      <c r="I177" s="387"/>
      <c r="J177" s="322"/>
      <c r="K177" s="75" t="s">
        <v>59</v>
      </c>
      <c r="L177" s="371" t="str">
        <f>'UTL COST'!$B$5</f>
        <v>#REF!</v>
      </c>
      <c r="M177" s="382">
        <f>'UTL COST'!$C$5</f>
        <v>45000</v>
      </c>
      <c r="N177" s="76" t="str">
        <f>'UTL COST'!$D$5</f>
        <v>#REF!</v>
      </c>
      <c r="O177" s="324"/>
    </row>
    <row r="178" ht="12.75" customHeight="1">
      <c r="A178" s="322"/>
      <c r="B178" s="87" t="s">
        <v>78</v>
      </c>
      <c r="C178" s="371" t="str">
        <f>'UTL COST'!$B$6</f>
        <v>#REF!</v>
      </c>
      <c r="D178" s="383">
        <f>'UTL COST'!$C$6</f>
        <v>525</v>
      </c>
      <c r="E178" s="89">
        <v>0.1</v>
      </c>
      <c r="F178" s="324"/>
      <c r="G178" s="324"/>
      <c r="H178" s="387"/>
      <c r="I178" s="387"/>
      <c r="J178" s="322"/>
      <c r="K178" s="87" t="s">
        <v>78</v>
      </c>
      <c r="L178" s="371" t="str">
        <f>'UTL COST'!$B$6</f>
        <v>#REF!</v>
      </c>
      <c r="M178" s="383">
        <f>'UTL COST'!$C$6</f>
        <v>525</v>
      </c>
      <c r="N178" s="89">
        <v>0.1</v>
      </c>
      <c r="O178" s="324"/>
    </row>
    <row r="179" ht="15.0" customHeight="1">
      <c r="A179" s="322"/>
      <c r="B179" s="34" t="s">
        <v>84</v>
      </c>
      <c r="C179" s="102"/>
      <c r="D179" s="102"/>
      <c r="E179" s="104" t="str">
        <f>IF(SUM(E175:E178)=0,"",SUM(E175:E178))</f>
        <v>#REF!</v>
      </c>
      <c r="F179" s="324"/>
      <c r="G179" s="324"/>
      <c r="H179" s="387"/>
      <c r="I179" s="387"/>
      <c r="J179" s="322"/>
      <c r="K179" s="34" t="s">
        <v>84</v>
      </c>
      <c r="L179" s="102"/>
      <c r="M179" s="102"/>
      <c r="N179" s="104" t="str">
        <f>IF(SUM(N175:N178)=0,"",SUM(N175:N178))</f>
        <v>#REF!</v>
      </c>
      <c r="O179" s="324"/>
    </row>
    <row r="180" ht="15.0" customHeight="1">
      <c r="A180" s="322"/>
      <c r="B180" s="360"/>
      <c r="C180" s="360"/>
      <c r="D180" s="360"/>
      <c r="E180" s="361"/>
      <c r="F180" s="324"/>
      <c r="G180" s="324"/>
      <c r="H180" s="387"/>
      <c r="I180" s="387"/>
      <c r="J180" s="322"/>
      <c r="K180" s="360"/>
      <c r="L180" s="360"/>
      <c r="M180" s="360"/>
      <c r="N180" s="361"/>
      <c r="O180" s="324"/>
    </row>
    <row r="181" ht="12.75" customHeight="1">
      <c r="A181" s="387"/>
      <c r="B181" s="387"/>
      <c r="C181" s="387"/>
      <c r="D181" s="387"/>
      <c r="E181" s="418"/>
      <c r="F181" s="387"/>
      <c r="G181" s="387"/>
      <c r="H181" s="387"/>
      <c r="I181" s="387"/>
      <c r="J181" s="387"/>
      <c r="K181" s="387"/>
      <c r="L181" s="387"/>
      <c r="M181" s="387"/>
      <c r="N181" s="387"/>
      <c r="O181" s="387"/>
    </row>
    <row r="182" ht="12.75" customHeight="1">
      <c r="A182" s="387"/>
      <c r="B182" s="387"/>
      <c r="C182" s="387"/>
      <c r="D182" s="387"/>
      <c r="E182" s="418"/>
      <c r="F182" s="387"/>
      <c r="G182" s="387"/>
      <c r="H182" s="387"/>
      <c r="I182" s="387"/>
      <c r="J182" s="387"/>
      <c r="K182" s="387"/>
      <c r="L182" s="387"/>
      <c r="M182" s="387"/>
      <c r="N182" s="387"/>
      <c r="O182" s="387"/>
    </row>
    <row r="183" ht="12.75" customHeight="1">
      <c r="A183" s="322"/>
      <c r="B183" s="322"/>
      <c r="C183" s="322"/>
      <c r="D183" s="322"/>
      <c r="E183" s="323"/>
      <c r="F183" s="324"/>
      <c r="G183" s="324"/>
      <c r="H183" s="387"/>
      <c r="I183" s="387"/>
      <c r="J183" s="322"/>
      <c r="K183" s="322"/>
      <c r="L183" s="322"/>
      <c r="M183" s="322"/>
      <c r="N183" s="323"/>
      <c r="O183" s="324"/>
    </row>
    <row r="184" ht="12.75" customHeight="1">
      <c r="A184" s="322"/>
      <c r="B184" s="325"/>
      <c r="C184" s="322"/>
      <c r="D184" s="322"/>
      <c r="E184" s="323"/>
      <c r="F184" s="326"/>
      <c r="G184" s="326"/>
      <c r="H184" s="387"/>
      <c r="I184" s="387"/>
      <c r="J184" s="322"/>
      <c r="K184" s="325"/>
      <c r="L184" s="322"/>
      <c r="M184" s="322"/>
      <c r="N184" s="323"/>
      <c r="O184" s="326"/>
    </row>
    <row r="185" ht="12.75" customHeight="1">
      <c r="A185" s="322"/>
      <c r="B185" s="327" t="s">
        <v>931</v>
      </c>
      <c r="C185" s="328" t="s">
        <v>564</v>
      </c>
      <c r="D185" s="329"/>
      <c r="E185" s="323"/>
      <c r="F185" s="326"/>
      <c r="G185" s="326"/>
      <c r="H185" s="387"/>
      <c r="I185" s="387"/>
      <c r="J185" s="322"/>
      <c r="K185" s="327" t="s">
        <v>931</v>
      </c>
      <c r="L185" s="328" t="s">
        <v>574</v>
      </c>
      <c r="M185" s="329"/>
      <c r="N185" s="323"/>
      <c r="O185" s="326"/>
    </row>
    <row r="186" ht="12.75" customHeight="1">
      <c r="A186" s="322"/>
      <c r="B186" s="325"/>
      <c r="C186" s="322"/>
      <c r="D186" s="322"/>
      <c r="E186" s="323"/>
      <c r="F186" s="326"/>
      <c r="G186" s="326"/>
      <c r="H186" s="387"/>
      <c r="I186" s="387"/>
      <c r="J186" s="322"/>
      <c r="K186" s="325"/>
      <c r="L186" s="322"/>
      <c r="M186" s="322"/>
      <c r="N186" s="323"/>
      <c r="O186" s="326"/>
    </row>
    <row r="187" ht="12.75" customHeight="1">
      <c r="A187" s="322"/>
      <c r="B187" s="327" t="s">
        <v>935</v>
      </c>
      <c r="C187" s="440">
        <v>1700000.0</v>
      </c>
      <c r="D187" s="329"/>
      <c r="E187" s="323"/>
      <c r="F187" s="326"/>
      <c r="G187" s="326"/>
      <c r="H187" s="387"/>
      <c r="I187" s="387"/>
      <c r="J187" s="322"/>
      <c r="K187" s="327" t="s">
        <v>935</v>
      </c>
      <c r="L187" s="440">
        <v>1700000.0</v>
      </c>
      <c r="M187" s="329"/>
      <c r="N187" s="323"/>
      <c r="O187" s="326"/>
    </row>
    <row r="188" ht="12.75" customHeight="1">
      <c r="A188" s="322"/>
      <c r="B188" s="327"/>
      <c r="C188" s="332"/>
      <c r="D188" s="332"/>
      <c r="E188" s="323"/>
      <c r="F188" s="326"/>
      <c r="G188" s="326"/>
      <c r="H188" s="387"/>
      <c r="I188" s="387"/>
      <c r="J188" s="322"/>
      <c r="K188" s="327"/>
      <c r="L188" s="332"/>
      <c r="M188" s="332"/>
      <c r="N188" s="323"/>
      <c r="O188" s="326"/>
    </row>
    <row r="189" ht="12.75" customHeight="1">
      <c r="A189" s="322"/>
      <c r="B189" s="327" t="s">
        <v>939</v>
      </c>
      <c r="C189" s="333" t="str">
        <f>IF(SUM(E201,E216,E224)=0,"",SUM(E201,E216,E224))</f>
        <v>#REF!</v>
      </c>
      <c r="D189" s="321"/>
      <c r="E189" s="323" t="str">
        <f>C189/90000</f>
        <v>#REF!</v>
      </c>
      <c r="F189" s="326"/>
      <c r="G189" s="326"/>
      <c r="H189" s="387"/>
      <c r="I189" s="387"/>
      <c r="J189" s="322"/>
      <c r="K189" s="327" t="s">
        <v>939</v>
      </c>
      <c r="L189" s="333" t="str">
        <f>IF(SUM(N201,N216,N224)=0,"",SUM(N201,N216,N224))</f>
        <v>#REF!</v>
      </c>
      <c r="M189" s="321"/>
      <c r="N189" s="323" t="str">
        <f>L189/90000</f>
        <v>#REF!</v>
      </c>
      <c r="O189" s="326"/>
    </row>
    <row r="190" ht="12.75" customHeight="1">
      <c r="A190" s="322"/>
      <c r="B190" s="327"/>
      <c r="C190" s="334"/>
      <c r="D190" s="334"/>
      <c r="E190" s="323"/>
      <c r="F190" s="326"/>
      <c r="G190" s="326"/>
      <c r="H190" s="387"/>
      <c r="I190" s="387"/>
      <c r="J190" s="322"/>
      <c r="K190" s="327"/>
      <c r="L190" s="334"/>
      <c r="M190" s="334"/>
      <c r="N190" s="323"/>
      <c r="O190" s="326"/>
    </row>
    <row r="191" ht="12.75" customHeight="1">
      <c r="A191" s="322"/>
      <c r="B191" s="327" t="s">
        <v>946</v>
      </c>
      <c r="C191" s="335" t="str">
        <f>IF(C189="","",IF(ISBLANK(C187),"",C189/C187))</f>
        <v>#REF!</v>
      </c>
      <c r="D191" s="321"/>
      <c r="E191" s="323"/>
      <c r="F191" s="326"/>
      <c r="G191" s="326"/>
      <c r="H191" s="387"/>
      <c r="I191" s="387"/>
      <c r="J191" s="322"/>
      <c r="K191" s="327" t="s">
        <v>946</v>
      </c>
      <c r="L191" s="335" t="str">
        <f>IF(L189="","",IF(ISBLANK(L187),"",L189/L187))</f>
        <v>#REF!</v>
      </c>
      <c r="M191" s="321"/>
      <c r="N191" s="323"/>
      <c r="O191" s="326"/>
    </row>
    <row r="192" ht="12.75" customHeight="1">
      <c r="A192" s="322"/>
      <c r="B192" s="327"/>
      <c r="C192" s="334"/>
      <c r="D192" s="334"/>
      <c r="E192" s="323"/>
      <c r="F192" s="326"/>
      <c r="G192" s="326"/>
      <c r="H192" s="387"/>
      <c r="I192" s="387"/>
      <c r="J192" s="322"/>
      <c r="K192" s="327"/>
      <c r="L192" s="334"/>
      <c r="M192" s="334"/>
      <c r="N192" s="323"/>
      <c r="O192" s="326"/>
    </row>
    <row r="193" ht="12.75" customHeight="1">
      <c r="A193" s="322"/>
      <c r="B193" s="327" t="s">
        <v>950</v>
      </c>
      <c r="C193" s="333" t="str">
        <f>C187-C189</f>
        <v>#REF!</v>
      </c>
      <c r="D193" s="321"/>
      <c r="E193" s="323"/>
      <c r="F193" s="326"/>
      <c r="G193" s="326"/>
      <c r="H193" s="387"/>
      <c r="I193" s="387"/>
      <c r="J193" s="322"/>
      <c r="K193" s="327" t="s">
        <v>950</v>
      </c>
      <c r="L193" s="333" t="str">
        <f>L187-L189</f>
        <v>#REF!</v>
      </c>
      <c r="M193" s="321"/>
      <c r="N193" s="323"/>
      <c r="O193" s="326"/>
    </row>
    <row r="194" ht="12.75" customHeight="1">
      <c r="A194" s="322"/>
      <c r="B194" s="322"/>
      <c r="C194" s="322"/>
      <c r="D194" s="322"/>
      <c r="E194" s="323"/>
      <c r="F194" s="324"/>
      <c r="G194" s="324"/>
      <c r="H194" s="387"/>
      <c r="I194" s="387"/>
      <c r="J194" s="322"/>
      <c r="K194" s="322"/>
      <c r="L194" s="322"/>
      <c r="M194" s="322"/>
      <c r="N194" s="323"/>
      <c r="O194" s="324"/>
    </row>
    <row r="195" ht="12.75" customHeight="1">
      <c r="A195" s="322"/>
      <c r="B195" s="322"/>
      <c r="C195" s="322"/>
      <c r="D195" s="322"/>
      <c r="E195" s="337"/>
      <c r="F195" s="324"/>
      <c r="G195" s="324"/>
      <c r="H195" s="387"/>
      <c r="I195" s="387"/>
      <c r="J195" s="322"/>
      <c r="K195" s="322"/>
      <c r="L195" s="322"/>
      <c r="M195" s="322"/>
      <c r="N195" s="337"/>
      <c r="O195" s="324"/>
    </row>
    <row r="196" ht="12.75" customHeight="1">
      <c r="A196" s="322"/>
      <c r="B196" s="338" t="s">
        <v>951</v>
      </c>
      <c r="C196" s="339"/>
      <c r="D196" s="339"/>
      <c r="E196" s="339"/>
      <c r="F196" s="324"/>
      <c r="G196" s="324"/>
      <c r="H196" s="387"/>
      <c r="I196" s="387"/>
      <c r="J196" s="322"/>
      <c r="K196" s="338" t="s">
        <v>951</v>
      </c>
      <c r="L196" s="339"/>
      <c r="M196" s="339"/>
      <c r="N196" s="339"/>
      <c r="O196" s="324"/>
    </row>
    <row r="197" ht="12.75" customHeight="1">
      <c r="A197" s="322"/>
      <c r="B197" s="340" t="s">
        <v>953</v>
      </c>
      <c r="C197" s="341" t="s">
        <v>954</v>
      </c>
      <c r="D197" s="341" t="s">
        <v>955</v>
      </c>
      <c r="E197" s="341" t="s">
        <v>35</v>
      </c>
      <c r="F197" s="324"/>
      <c r="G197" s="324"/>
      <c r="H197" s="387"/>
      <c r="I197" s="387"/>
      <c r="J197" s="322"/>
      <c r="K197" s="340" t="s">
        <v>953</v>
      </c>
      <c r="L197" s="341" t="s">
        <v>954</v>
      </c>
      <c r="M197" s="341" t="s">
        <v>955</v>
      </c>
      <c r="N197" s="341" t="s">
        <v>35</v>
      </c>
      <c r="O197" s="324"/>
    </row>
    <row r="198" ht="12.75" customHeight="1">
      <c r="A198" s="322"/>
      <c r="B198" s="60" t="s">
        <v>513</v>
      </c>
      <c r="C198" s="344">
        <v>0.2</v>
      </c>
      <c r="D198" s="343">
        <f>SANDWICHES!$D$19</f>
        <v>81000</v>
      </c>
      <c r="E198" s="67">
        <f t="shared" ref="E198:E200" si="20">IF(OR(ISBLANK(C198),ISBLANK(D198)),"",D198*C198)</f>
        <v>16200</v>
      </c>
      <c r="F198" s="324"/>
      <c r="G198" s="324"/>
      <c r="H198" s="387"/>
      <c r="I198" s="387"/>
      <c r="J198" s="322"/>
      <c r="K198" s="60" t="s">
        <v>513</v>
      </c>
      <c r="L198" s="342">
        <v>0.28</v>
      </c>
      <c r="M198" s="343">
        <f>$D$198</f>
        <v>81000</v>
      </c>
      <c r="N198" s="67">
        <f t="shared" ref="N198:N200" si="21">IF(OR(ISBLANK(L198),ISBLANK(M198)),"",M198*L198)</f>
        <v>22680</v>
      </c>
      <c r="O198" s="324"/>
    </row>
    <row r="199" ht="12.75" customHeight="1">
      <c r="A199" s="322"/>
      <c r="B199" s="228" t="s">
        <v>1042</v>
      </c>
      <c r="C199" s="398">
        <v>1.0</v>
      </c>
      <c r="D199" s="371">
        <f>SAUCES!$D$48</f>
        <v>563.76</v>
      </c>
      <c r="E199" s="67">
        <f t="shared" si="20"/>
        <v>563.76</v>
      </c>
      <c r="F199" s="324"/>
      <c r="G199" s="324"/>
      <c r="H199" s="387"/>
      <c r="I199" s="387"/>
      <c r="J199" s="322"/>
      <c r="K199" s="75" t="s">
        <v>33</v>
      </c>
      <c r="L199" s="370">
        <v>0.16</v>
      </c>
      <c r="M199" s="371">
        <f>STARTERS!$D$19</f>
        <v>19665</v>
      </c>
      <c r="N199" s="67">
        <f t="shared" si="21"/>
        <v>3146.4</v>
      </c>
      <c r="O199" s="324"/>
    </row>
    <row r="200" ht="12.75" customHeight="1">
      <c r="A200" s="322"/>
      <c r="B200" s="87" t="s">
        <v>850</v>
      </c>
      <c r="C200" s="355">
        <v>0.06</v>
      </c>
      <c r="D200" s="434">
        <f>'F&amp;B'!$F$99/12</f>
        <v>63000</v>
      </c>
      <c r="E200" s="67">
        <f t="shared" si="20"/>
        <v>3780</v>
      </c>
      <c r="F200" s="324"/>
      <c r="G200" s="324"/>
      <c r="H200" s="387"/>
      <c r="I200" s="387"/>
      <c r="J200" s="322"/>
      <c r="K200" s="87" t="s">
        <v>850</v>
      </c>
      <c r="L200" s="346">
        <v>0.06</v>
      </c>
      <c r="M200" s="371">
        <f>$D$200</f>
        <v>63000</v>
      </c>
      <c r="N200" s="67">
        <f t="shared" si="21"/>
        <v>3780</v>
      </c>
      <c r="O200" s="324"/>
    </row>
    <row r="201" ht="12.75" customHeight="1">
      <c r="A201" s="322"/>
      <c r="B201" s="338" t="s">
        <v>84</v>
      </c>
      <c r="C201" s="358"/>
      <c r="D201" s="358"/>
      <c r="E201" s="359">
        <f>IF(SUM(E198:E200)=0,"",SUM(E198:E200))</f>
        <v>20543.76</v>
      </c>
      <c r="F201" s="324"/>
      <c r="G201" s="324"/>
      <c r="H201" s="387"/>
      <c r="I201" s="387"/>
      <c r="J201" s="322"/>
      <c r="K201" s="338" t="s">
        <v>84</v>
      </c>
      <c r="L201" s="358"/>
      <c r="M201" s="358"/>
      <c r="N201" s="359">
        <f>IF(SUM(N198:N200)=0,"",SUM(N198:N200))</f>
        <v>29606.4</v>
      </c>
      <c r="O201" s="324"/>
    </row>
    <row r="202" ht="12.75" customHeight="1">
      <c r="A202" s="322"/>
      <c r="B202" s="360"/>
      <c r="C202" s="360"/>
      <c r="D202" s="360"/>
      <c r="E202" s="361"/>
      <c r="F202" s="324"/>
      <c r="G202" s="324"/>
      <c r="H202" s="387"/>
      <c r="I202" s="387"/>
      <c r="J202" s="322"/>
      <c r="K202" s="360"/>
      <c r="L202" s="360"/>
      <c r="M202" s="360"/>
      <c r="N202" s="361"/>
      <c r="O202" s="324"/>
    </row>
    <row r="203" ht="12.75" customHeight="1">
      <c r="A203" s="322"/>
      <c r="B203" s="362" t="s">
        <v>972</v>
      </c>
      <c r="C203" s="363"/>
      <c r="D203" s="363"/>
      <c r="E203" s="363"/>
      <c r="F203" s="324"/>
      <c r="G203" s="324"/>
      <c r="H203" s="387"/>
      <c r="I203" s="387"/>
      <c r="J203" s="322"/>
      <c r="K203" s="362" t="s">
        <v>972</v>
      </c>
      <c r="L203" s="363"/>
      <c r="M203" s="363"/>
      <c r="N203" s="363"/>
      <c r="O203" s="324"/>
    </row>
    <row r="204" ht="12.75" customHeight="1">
      <c r="A204" s="322"/>
      <c r="B204" s="365" t="s">
        <v>953</v>
      </c>
      <c r="C204" s="366" t="s">
        <v>3</v>
      </c>
      <c r="D204" s="366" t="s">
        <v>975</v>
      </c>
      <c r="E204" s="367" t="s">
        <v>35</v>
      </c>
      <c r="F204" s="324"/>
      <c r="G204" s="324"/>
      <c r="H204" s="387"/>
      <c r="I204" s="387"/>
      <c r="J204" s="322"/>
      <c r="K204" s="365" t="s">
        <v>953</v>
      </c>
      <c r="L204" s="366" t="s">
        <v>3</v>
      </c>
      <c r="M204" s="366" t="s">
        <v>975</v>
      </c>
      <c r="N204" s="367" t="s">
        <v>35</v>
      </c>
      <c r="O204" s="324"/>
    </row>
    <row r="205" ht="12.75" customHeight="1">
      <c r="A205" s="322"/>
      <c r="B205" s="368"/>
      <c r="C205" s="366"/>
      <c r="D205" s="366"/>
      <c r="E205" s="368"/>
      <c r="F205" s="324"/>
      <c r="G205" s="324"/>
      <c r="H205" s="387"/>
      <c r="I205" s="387"/>
      <c r="J205" s="322"/>
      <c r="K205" s="368"/>
      <c r="L205" s="366"/>
      <c r="M205" s="366"/>
      <c r="N205" s="368"/>
      <c r="O205" s="324"/>
    </row>
    <row r="206" ht="12.75" customHeight="1">
      <c r="A206" s="322"/>
      <c r="B206" s="60" t="s">
        <v>262</v>
      </c>
      <c r="C206" s="342">
        <v>0.05</v>
      </c>
      <c r="D206" s="343">
        <f>'F&amp;B'!$F$302</f>
        <v>10800</v>
      </c>
      <c r="E206" s="67">
        <f t="shared" ref="E206:E209" si="22">D206*C206</f>
        <v>540</v>
      </c>
      <c r="F206" s="324"/>
      <c r="G206" s="324"/>
      <c r="H206" s="387"/>
      <c r="I206" s="387"/>
      <c r="J206" s="322"/>
      <c r="K206" s="60" t="s">
        <v>1112</v>
      </c>
      <c r="L206" s="342">
        <v>0.03</v>
      </c>
      <c r="M206" s="343">
        <f>'F&amp;B'!$F$223</f>
        <v>142920</v>
      </c>
      <c r="N206" s="67">
        <f t="shared" ref="N206:N215" si="23">M206*L206</f>
        <v>4287.6</v>
      </c>
      <c r="O206" s="324"/>
    </row>
    <row r="207" ht="12.75" customHeight="1">
      <c r="A207" s="322"/>
      <c r="B207" s="75" t="s">
        <v>60</v>
      </c>
      <c r="C207" s="370">
        <v>0.015</v>
      </c>
      <c r="D207" s="371">
        <f>'F&amp;B'!$F$103</f>
        <v>148500</v>
      </c>
      <c r="E207" s="67">
        <f t="shared" si="22"/>
        <v>2227.5</v>
      </c>
      <c r="F207" s="324"/>
      <c r="G207" s="324"/>
      <c r="H207" s="387"/>
      <c r="I207" s="387"/>
      <c r="J207" s="322"/>
      <c r="K207" s="75" t="s">
        <v>843</v>
      </c>
      <c r="L207" s="370">
        <v>0.2</v>
      </c>
      <c r="M207" s="343" t="str">
        <f>SALADS!$C$54</f>
        <v>#REF!</v>
      </c>
      <c r="N207" s="67" t="str">
        <f t="shared" si="23"/>
        <v>#REF!</v>
      </c>
      <c r="O207" s="324"/>
    </row>
    <row r="208" ht="12.75" customHeight="1">
      <c r="A208" s="322"/>
      <c r="B208" s="75" t="s">
        <v>1016</v>
      </c>
      <c r="C208" s="370">
        <v>0.2</v>
      </c>
      <c r="D208" s="371">
        <f>PASTA!$D$20</f>
        <v>30572.18192</v>
      </c>
      <c r="E208" s="67">
        <f t="shared" si="22"/>
        <v>6114.436384</v>
      </c>
      <c r="F208" s="324"/>
      <c r="G208" s="324"/>
      <c r="H208" s="387"/>
      <c r="I208" s="387"/>
      <c r="J208" s="322"/>
      <c r="K208" s="75" t="s">
        <v>1116</v>
      </c>
      <c r="L208" s="370">
        <v>0.015</v>
      </c>
      <c r="M208" s="343">
        <f>'F&amp;B'!$F$103</f>
        <v>148500</v>
      </c>
      <c r="N208" s="67">
        <f t="shared" si="23"/>
        <v>2227.5</v>
      </c>
      <c r="O208" s="324"/>
    </row>
    <row r="209" ht="12.75" customHeight="1">
      <c r="A209" s="322"/>
      <c r="B209" s="228" t="s">
        <v>1117</v>
      </c>
      <c r="C209" s="405">
        <v>0.166</v>
      </c>
      <c r="D209" s="371">
        <f>0.322*90000</f>
        <v>28980</v>
      </c>
      <c r="E209" s="67">
        <f t="shared" si="22"/>
        <v>4810.68</v>
      </c>
      <c r="F209" s="324"/>
      <c r="G209" s="324"/>
      <c r="H209" s="387"/>
      <c r="I209" s="387"/>
      <c r="J209" s="322"/>
      <c r="K209" s="75" t="s">
        <v>262</v>
      </c>
      <c r="L209" s="370">
        <v>0.05</v>
      </c>
      <c r="M209" s="343">
        <f>D206</f>
        <v>10800</v>
      </c>
      <c r="N209" s="67">
        <f t="shared" si="23"/>
        <v>540</v>
      </c>
      <c r="O209" s="324"/>
    </row>
    <row r="210" ht="12.75" customHeight="1">
      <c r="A210" s="322"/>
      <c r="B210" s="75" t="s">
        <v>33</v>
      </c>
      <c r="C210" s="370">
        <v>0.16</v>
      </c>
      <c r="D210" s="371">
        <f>STARTERS!$D$19</f>
        <v>19665</v>
      </c>
      <c r="E210" s="67">
        <f>IF(OR(ISBLANK(C210),ISBLANK(D210)),"",D210*C210)</f>
        <v>3146.4</v>
      </c>
      <c r="F210" s="324"/>
      <c r="G210" s="324"/>
      <c r="H210" s="387"/>
      <c r="I210" s="387"/>
      <c r="J210" s="322"/>
      <c r="K210" s="75"/>
      <c r="L210" s="370"/>
      <c r="M210" s="343"/>
      <c r="N210" s="67">
        <f t="shared" si="23"/>
        <v>0</v>
      </c>
      <c r="O210" s="324"/>
    </row>
    <row r="211" ht="12.75" customHeight="1">
      <c r="A211" s="322"/>
      <c r="B211" s="429"/>
      <c r="C211" s="346"/>
      <c r="D211" s="343"/>
      <c r="E211" s="67">
        <f t="shared" ref="E211:E215" si="24">D211*C211</f>
        <v>0</v>
      </c>
      <c r="F211" s="324"/>
      <c r="G211" s="324"/>
      <c r="H211" s="387"/>
      <c r="I211" s="387"/>
      <c r="J211" s="322"/>
      <c r="K211" s="429"/>
      <c r="L211" s="346"/>
      <c r="M211" s="343"/>
      <c r="N211" s="67">
        <f t="shared" si="23"/>
        <v>0</v>
      </c>
      <c r="O211" s="324"/>
    </row>
    <row r="212" ht="12.75" customHeight="1">
      <c r="A212" s="322"/>
      <c r="B212" s="348"/>
      <c r="C212" s="346"/>
      <c r="D212" s="343"/>
      <c r="E212" s="67">
        <f t="shared" si="24"/>
        <v>0</v>
      </c>
      <c r="F212" s="324"/>
      <c r="G212" s="324"/>
      <c r="H212" s="387"/>
      <c r="I212" s="387"/>
      <c r="J212" s="322"/>
      <c r="K212" s="348"/>
      <c r="L212" s="346"/>
      <c r="M212" s="343"/>
      <c r="N212" s="67">
        <f t="shared" si="23"/>
        <v>0</v>
      </c>
      <c r="O212" s="324"/>
    </row>
    <row r="213" ht="12.75" customHeight="1">
      <c r="A213" s="322"/>
      <c r="B213" s="348"/>
      <c r="C213" s="346"/>
      <c r="D213" s="343"/>
      <c r="E213" s="67">
        <f t="shared" si="24"/>
        <v>0</v>
      </c>
      <c r="F213" s="324"/>
      <c r="G213" s="324"/>
      <c r="H213" s="387"/>
      <c r="I213" s="387"/>
      <c r="J213" s="322"/>
      <c r="K213" s="348"/>
      <c r="L213" s="346"/>
      <c r="M213" s="343"/>
      <c r="N213" s="67">
        <f t="shared" si="23"/>
        <v>0</v>
      </c>
      <c r="O213" s="324"/>
    </row>
    <row r="214" ht="12.75" customHeight="1">
      <c r="A214" s="322"/>
      <c r="B214" s="348"/>
      <c r="C214" s="346"/>
      <c r="D214" s="343"/>
      <c r="E214" s="67">
        <f t="shared" si="24"/>
        <v>0</v>
      </c>
      <c r="F214" s="324"/>
      <c r="G214" s="324"/>
      <c r="H214" s="387"/>
      <c r="I214" s="387"/>
      <c r="J214" s="322"/>
      <c r="K214" s="348"/>
      <c r="L214" s="346"/>
      <c r="M214" s="343"/>
      <c r="N214" s="67">
        <f t="shared" si="23"/>
        <v>0</v>
      </c>
      <c r="O214" s="324"/>
    </row>
    <row r="215" ht="12.75" customHeight="1">
      <c r="A215" s="322"/>
      <c r="B215" s="354"/>
      <c r="C215" s="355"/>
      <c r="D215" s="343"/>
      <c r="E215" s="67">
        <f t="shared" si="24"/>
        <v>0</v>
      </c>
      <c r="F215" s="324"/>
      <c r="G215" s="324"/>
      <c r="H215" s="387"/>
      <c r="I215" s="387"/>
      <c r="J215" s="322"/>
      <c r="K215" s="354"/>
      <c r="L215" s="355"/>
      <c r="M215" s="343"/>
      <c r="N215" s="67">
        <f t="shared" si="23"/>
        <v>0</v>
      </c>
      <c r="O215" s="324"/>
    </row>
    <row r="216" ht="12.75" customHeight="1">
      <c r="A216" s="322"/>
      <c r="B216" s="362" t="s">
        <v>84</v>
      </c>
      <c r="C216" s="374"/>
      <c r="D216" s="374"/>
      <c r="E216" s="375">
        <f>IF(SUM(E206:E215)=0,"",SUM(E206:E215))</f>
        <v>16839.01638</v>
      </c>
      <c r="F216" s="324"/>
      <c r="G216" s="324"/>
      <c r="H216" s="387"/>
      <c r="I216" s="387"/>
      <c r="J216" s="322"/>
      <c r="K216" s="362" t="s">
        <v>84</v>
      </c>
      <c r="L216" s="374"/>
      <c r="M216" s="374"/>
      <c r="N216" s="375" t="str">
        <f>IF(SUM(N206:N215)=0,"",SUM(N206:N215))</f>
        <v>#REF!</v>
      </c>
      <c r="O216" s="324"/>
    </row>
    <row r="217" ht="12.75" customHeight="1">
      <c r="A217" s="322"/>
      <c r="B217" s="360"/>
      <c r="C217" s="360"/>
      <c r="D217" s="360"/>
      <c r="E217" s="361"/>
      <c r="F217" s="324"/>
      <c r="G217" s="324"/>
      <c r="H217" s="387"/>
      <c r="I217" s="387"/>
      <c r="J217" s="322"/>
      <c r="K217" s="360"/>
      <c r="L217" s="360"/>
      <c r="M217" s="360"/>
      <c r="N217" s="361"/>
      <c r="O217" s="324"/>
    </row>
    <row r="218" ht="12.75" customHeight="1">
      <c r="A218" s="322"/>
      <c r="B218" s="34" t="s">
        <v>17</v>
      </c>
      <c r="C218" s="35"/>
      <c r="D218" s="35"/>
      <c r="E218" s="35"/>
      <c r="F218" s="324"/>
      <c r="G218" s="324"/>
      <c r="H218" s="387"/>
      <c r="I218" s="387"/>
      <c r="J218" s="322"/>
      <c r="K218" s="34" t="s">
        <v>17</v>
      </c>
      <c r="L218" s="35"/>
      <c r="M218" s="35"/>
      <c r="N218" s="35"/>
      <c r="O218" s="324"/>
    </row>
    <row r="219" ht="12.75" customHeight="1">
      <c r="A219" s="322"/>
      <c r="B219" s="52" t="s">
        <v>42</v>
      </c>
      <c r="C219" s="54"/>
      <c r="D219" s="54"/>
      <c r="E219" s="56" t="s">
        <v>35</v>
      </c>
      <c r="F219" s="324"/>
      <c r="G219" s="324"/>
      <c r="H219" s="387"/>
      <c r="I219" s="387"/>
      <c r="J219" s="322"/>
      <c r="K219" s="52" t="s">
        <v>42</v>
      </c>
      <c r="L219" s="54"/>
      <c r="M219" s="54"/>
      <c r="N219" s="56" t="s">
        <v>35</v>
      </c>
      <c r="O219" s="324"/>
    </row>
    <row r="220" ht="12.75" customHeight="1">
      <c r="A220" s="322"/>
      <c r="B220" s="60" t="s">
        <v>40</v>
      </c>
      <c r="C220" s="343">
        <f>'UTL COST'!$B$3</f>
        <v>369000</v>
      </c>
      <c r="D220" s="379">
        <f>'UTL COST'!$C$3</f>
        <v>0.0075</v>
      </c>
      <c r="E220" s="67">
        <f>E175</f>
        <v>2767.5</v>
      </c>
      <c r="F220" s="324"/>
      <c r="G220" s="324"/>
      <c r="H220" s="387"/>
      <c r="I220" s="387"/>
      <c r="J220" s="322"/>
      <c r="K220" s="60" t="s">
        <v>40</v>
      </c>
      <c r="L220" s="343">
        <f>'UTL COST'!$B$3</f>
        <v>369000</v>
      </c>
      <c r="M220" s="379">
        <f>'UTL COST'!$C$3</f>
        <v>0.0075</v>
      </c>
      <c r="N220" s="67">
        <f>N175</f>
        <v>2767.5</v>
      </c>
      <c r="O220" s="324"/>
    </row>
    <row r="221" ht="12.75" customHeight="1">
      <c r="A221" s="322"/>
      <c r="B221" s="75" t="s">
        <v>51</v>
      </c>
      <c r="C221" s="371" t="str">
        <f>'UTL COST'!$B$4</f>
        <v>#REF!</v>
      </c>
      <c r="D221" s="382">
        <f>'UTL COST'!$C$4</f>
        <v>7000</v>
      </c>
      <c r="E221" s="76" t="str">
        <f>'UTL COST'!$D$4</f>
        <v>#REF!</v>
      </c>
      <c r="F221" s="324"/>
      <c r="G221" s="324"/>
      <c r="H221" s="387"/>
      <c r="I221" s="387"/>
      <c r="J221" s="322"/>
      <c r="K221" s="75" t="s">
        <v>51</v>
      </c>
      <c r="L221" s="371" t="str">
        <f>'UTL COST'!$B$4</f>
        <v>#REF!</v>
      </c>
      <c r="M221" s="382">
        <f>'UTL COST'!$C$4</f>
        <v>7000</v>
      </c>
      <c r="N221" s="76" t="str">
        <f>'UTL COST'!$D$4</f>
        <v>#REF!</v>
      </c>
      <c r="O221" s="324"/>
    </row>
    <row r="222" ht="12.75" customHeight="1">
      <c r="A222" s="322"/>
      <c r="B222" s="75" t="s">
        <v>59</v>
      </c>
      <c r="C222" s="371" t="str">
        <f>'UTL COST'!$B$5</f>
        <v>#REF!</v>
      </c>
      <c r="D222" s="382">
        <f>'UTL COST'!$C$5</f>
        <v>45000</v>
      </c>
      <c r="E222" s="76" t="str">
        <f>'UTL COST'!$D$5</f>
        <v>#REF!</v>
      </c>
      <c r="F222" s="324"/>
      <c r="G222" s="324"/>
      <c r="H222" s="387"/>
      <c r="I222" s="387"/>
      <c r="J222" s="322"/>
      <c r="K222" s="75" t="s">
        <v>59</v>
      </c>
      <c r="L222" s="371" t="str">
        <f>'UTL COST'!$B$5</f>
        <v>#REF!</v>
      </c>
      <c r="M222" s="382">
        <f>'UTL COST'!$C$5</f>
        <v>45000</v>
      </c>
      <c r="N222" s="76" t="str">
        <f>'UTL COST'!$D$5</f>
        <v>#REF!</v>
      </c>
      <c r="O222" s="324"/>
    </row>
    <row r="223" ht="12.75" customHeight="1">
      <c r="A223" s="322"/>
      <c r="B223" s="87" t="s">
        <v>78</v>
      </c>
      <c r="C223" s="371" t="str">
        <f>'UTL COST'!$B$6</f>
        <v>#REF!</v>
      </c>
      <c r="D223" s="383">
        <f>'UTL COST'!$C$6</f>
        <v>525</v>
      </c>
      <c r="E223" s="89">
        <v>0.1</v>
      </c>
      <c r="F223" s="324"/>
      <c r="G223" s="324"/>
      <c r="H223" s="387"/>
      <c r="I223" s="387"/>
      <c r="J223" s="322"/>
      <c r="K223" s="87" t="s">
        <v>78</v>
      </c>
      <c r="L223" s="371" t="str">
        <f>'UTL COST'!$B$6</f>
        <v>#REF!</v>
      </c>
      <c r="M223" s="383">
        <f>'UTL COST'!$C$6</f>
        <v>525</v>
      </c>
      <c r="N223" s="89">
        <v>0.1</v>
      </c>
      <c r="O223" s="324"/>
    </row>
    <row r="224" ht="12.75" customHeight="1">
      <c r="A224" s="322"/>
      <c r="B224" s="34" t="s">
        <v>84</v>
      </c>
      <c r="C224" s="102"/>
      <c r="D224" s="102"/>
      <c r="E224" s="104" t="str">
        <f>IF(SUM(E220:E223)=0,"",SUM(E220:E223))</f>
        <v>#REF!</v>
      </c>
      <c r="F224" s="324"/>
      <c r="G224" s="324"/>
      <c r="H224" s="387"/>
      <c r="I224" s="387"/>
      <c r="J224" s="322"/>
      <c r="K224" s="34" t="s">
        <v>84</v>
      </c>
      <c r="L224" s="102"/>
      <c r="M224" s="102"/>
      <c r="N224" s="104" t="str">
        <f>IF(SUM(N220:N223)=0,"",SUM(N220:N223))</f>
        <v>#REF!</v>
      </c>
      <c r="O224" s="324"/>
    </row>
    <row r="225" ht="12.75" customHeight="1">
      <c r="A225" s="322"/>
      <c r="B225" s="360"/>
      <c r="C225" s="360"/>
      <c r="D225" s="360"/>
      <c r="E225" s="361"/>
      <c r="F225" s="324"/>
      <c r="G225" s="324"/>
      <c r="H225" s="387"/>
      <c r="I225" s="387"/>
      <c r="J225" s="322"/>
      <c r="K225" s="360"/>
      <c r="L225" s="360"/>
      <c r="M225" s="360"/>
      <c r="N225" s="361"/>
      <c r="O225" s="324"/>
    </row>
    <row r="226" ht="15.75" customHeight="1"/>
    <row r="227" ht="15.75" customHeight="1"/>
    <row r="228" ht="15.75" customHeight="1">
      <c r="A228" s="447"/>
      <c r="B228" s="447"/>
      <c r="C228" s="447"/>
      <c r="D228" s="447"/>
      <c r="E228" s="448"/>
      <c r="F228" s="449"/>
      <c r="G228" s="449"/>
      <c r="J228" s="322"/>
      <c r="K228" s="322"/>
      <c r="L228" s="322"/>
      <c r="M228" s="322"/>
      <c r="N228" s="323"/>
      <c r="O228" s="324"/>
    </row>
    <row r="229" ht="15.75" customHeight="1">
      <c r="A229" s="322"/>
      <c r="B229" s="325"/>
      <c r="C229" s="322"/>
      <c r="D229" s="322"/>
      <c r="E229" s="323"/>
      <c r="F229" s="326"/>
      <c r="G229" s="326"/>
      <c r="J229" s="322"/>
      <c r="K229" s="325"/>
      <c r="L229" s="322"/>
      <c r="M229" s="322"/>
      <c r="N229" s="323"/>
      <c r="O229" s="326"/>
    </row>
    <row r="230" ht="15.75" customHeight="1">
      <c r="A230" s="322"/>
      <c r="B230" s="327" t="s">
        <v>931</v>
      </c>
      <c r="C230" s="330" t="s">
        <v>1123</v>
      </c>
      <c r="D230" s="329"/>
      <c r="E230" s="323"/>
      <c r="F230" s="326"/>
      <c r="G230" s="326"/>
      <c r="J230" s="322"/>
      <c r="K230" s="327" t="s">
        <v>931</v>
      </c>
      <c r="L230" s="330" t="s">
        <v>1124</v>
      </c>
      <c r="M230" s="329"/>
      <c r="N230" s="323"/>
      <c r="O230" s="326"/>
    </row>
    <row r="231" ht="15.75" customHeight="1">
      <c r="A231" s="322"/>
      <c r="B231" s="325"/>
      <c r="C231" s="322"/>
      <c r="D231" s="322"/>
      <c r="E231" s="323"/>
      <c r="F231" s="326"/>
      <c r="G231" s="326"/>
      <c r="J231" s="322"/>
      <c r="K231" s="325"/>
      <c r="L231" s="322"/>
      <c r="M231" s="322"/>
      <c r="N231" s="323"/>
      <c r="O231" s="326"/>
    </row>
    <row r="232" ht="15.75" customHeight="1">
      <c r="A232" s="322"/>
      <c r="B232" s="327" t="s">
        <v>935</v>
      </c>
      <c r="C232" s="331">
        <f>22*90000</f>
        <v>1980000</v>
      </c>
      <c r="D232" s="329"/>
      <c r="E232" s="323">
        <f>C232/90000</f>
        <v>22</v>
      </c>
      <c r="F232" s="326"/>
      <c r="G232" s="326"/>
      <c r="H232" s="165">
        <v>25.0</v>
      </c>
      <c r="J232" s="322"/>
      <c r="K232" s="327" t="s">
        <v>935</v>
      </c>
      <c r="L232" s="440">
        <v>2200000.0</v>
      </c>
      <c r="M232" s="329"/>
      <c r="N232" s="323">
        <f>L232/90000</f>
        <v>24.44444444</v>
      </c>
      <c r="O232" s="326"/>
    </row>
    <row r="233" ht="15.75" customHeight="1">
      <c r="A233" s="322"/>
      <c r="B233" s="327"/>
      <c r="C233" s="332"/>
      <c r="D233" s="332"/>
      <c r="E233" s="323"/>
      <c r="F233" s="326"/>
      <c r="G233" s="326"/>
      <c r="J233" s="322"/>
      <c r="K233" s="327"/>
      <c r="L233" s="332"/>
      <c r="M233" s="332"/>
      <c r="N233" s="323"/>
      <c r="O233" s="326"/>
    </row>
    <row r="234" ht="15.75" customHeight="1">
      <c r="A234" s="322"/>
      <c r="B234" s="327" t="s">
        <v>939</v>
      </c>
      <c r="C234" s="333" t="str">
        <f>IF(SUM(E246,E261,E269)=0,"",SUM(E246,E261,E269))</f>
        <v>#REF!</v>
      </c>
      <c r="D234" s="321"/>
      <c r="E234" s="323" t="str">
        <f>C234/90000</f>
        <v>#REF!</v>
      </c>
      <c r="F234" s="326"/>
      <c r="G234" s="326"/>
      <c r="J234" s="322"/>
      <c r="K234" s="327" t="s">
        <v>939</v>
      </c>
      <c r="L234" s="333" t="str">
        <f>IF(SUM(N246,N261,N269)=0,"",SUM(N246,N261,N269))</f>
        <v>#REF!</v>
      </c>
      <c r="M234" s="321"/>
      <c r="N234" s="323" t="str">
        <f>L234/90000</f>
        <v>#REF!</v>
      </c>
      <c r="O234" s="326"/>
    </row>
    <row r="235" ht="15.75" customHeight="1">
      <c r="A235" s="322"/>
      <c r="B235" s="327"/>
      <c r="C235" s="334"/>
      <c r="D235" s="334"/>
      <c r="E235" s="323"/>
      <c r="F235" s="326"/>
      <c r="G235" s="326"/>
      <c r="J235" s="322"/>
      <c r="K235" s="327"/>
      <c r="L235" s="334"/>
      <c r="M235" s="334"/>
      <c r="N235" s="323"/>
      <c r="O235" s="326"/>
    </row>
    <row r="236" ht="15.75" customHeight="1">
      <c r="A236" s="322"/>
      <c r="B236" s="327" t="s">
        <v>946</v>
      </c>
      <c r="C236" s="335" t="str">
        <f>IF(C234="","",IF(ISBLANK(C232),"",C234/C232))</f>
        <v>#REF!</v>
      </c>
      <c r="D236" s="321"/>
      <c r="E236" s="323"/>
      <c r="F236" s="326"/>
      <c r="G236" s="326"/>
      <c r="J236" s="322"/>
      <c r="K236" s="327" t="s">
        <v>946</v>
      </c>
      <c r="L236" s="335" t="str">
        <f>IF(L234="","",IF(ISBLANK(L232),"",L234/L232))</f>
        <v>#REF!</v>
      </c>
      <c r="M236" s="321"/>
      <c r="N236" s="323"/>
      <c r="O236" s="326"/>
    </row>
    <row r="237" ht="15.75" customHeight="1">
      <c r="A237" s="322"/>
      <c r="B237" s="327"/>
      <c r="C237" s="334"/>
      <c r="D237" s="334"/>
      <c r="E237" s="323"/>
      <c r="F237" s="326"/>
      <c r="G237" s="326"/>
      <c r="J237" s="322"/>
      <c r="K237" s="327"/>
      <c r="L237" s="334"/>
      <c r="M237" s="334"/>
      <c r="N237" s="323"/>
      <c r="O237" s="326"/>
    </row>
    <row r="238" ht="15.75" customHeight="1">
      <c r="A238" s="322"/>
      <c r="B238" s="327" t="s">
        <v>950</v>
      </c>
      <c r="C238" s="333" t="str">
        <f>C232-C234</f>
        <v>#REF!</v>
      </c>
      <c r="D238" s="321"/>
      <c r="E238" s="323"/>
      <c r="F238" s="326"/>
      <c r="G238" s="326"/>
      <c r="J238" s="322"/>
      <c r="K238" s="327" t="s">
        <v>950</v>
      </c>
      <c r="L238" s="333" t="str">
        <f>L232-L234</f>
        <v>#REF!</v>
      </c>
      <c r="M238" s="321"/>
      <c r="N238" s="323"/>
      <c r="O238" s="326"/>
    </row>
    <row r="239" ht="15.75" customHeight="1">
      <c r="A239" s="322"/>
      <c r="B239" s="322"/>
      <c r="C239" s="322"/>
      <c r="D239" s="322"/>
      <c r="E239" s="323"/>
      <c r="F239" s="324"/>
      <c r="G239" s="324"/>
      <c r="J239" s="322"/>
      <c r="K239" s="322"/>
      <c r="L239" s="322"/>
      <c r="M239" s="322"/>
      <c r="N239" s="323"/>
      <c r="O239" s="324"/>
    </row>
    <row r="240" ht="15.75" customHeight="1">
      <c r="A240" s="322"/>
      <c r="B240" s="322"/>
      <c r="C240" s="322"/>
      <c r="D240" s="322"/>
      <c r="E240" s="337"/>
      <c r="F240" s="324"/>
      <c r="G240" s="324"/>
      <c r="J240" s="322"/>
      <c r="K240" s="322"/>
      <c r="L240" s="322"/>
      <c r="M240" s="322"/>
      <c r="N240" s="337"/>
      <c r="O240" s="324"/>
    </row>
    <row r="241" ht="15.75" customHeight="1">
      <c r="A241" s="322"/>
      <c r="B241" s="338" t="s">
        <v>951</v>
      </c>
      <c r="C241" s="339"/>
      <c r="D241" s="339"/>
      <c r="E241" s="339"/>
      <c r="F241" s="324"/>
      <c r="G241" s="324"/>
      <c r="J241" s="322"/>
      <c r="K241" s="338" t="s">
        <v>951</v>
      </c>
      <c r="L241" s="339"/>
      <c r="M241" s="339"/>
      <c r="N241" s="339"/>
      <c r="O241" s="324"/>
    </row>
    <row r="242" ht="15.75" customHeight="1">
      <c r="A242" s="322"/>
      <c r="B242" s="340" t="s">
        <v>953</v>
      </c>
      <c r="C242" s="341" t="s">
        <v>954</v>
      </c>
      <c r="D242" s="341" t="s">
        <v>955</v>
      </c>
      <c r="E242" s="341" t="s">
        <v>35</v>
      </c>
      <c r="F242" s="324"/>
      <c r="G242" s="324"/>
      <c r="J242" s="322"/>
      <c r="K242" s="340" t="s">
        <v>953</v>
      </c>
      <c r="L242" s="341" t="s">
        <v>954</v>
      </c>
      <c r="M242" s="341" t="s">
        <v>955</v>
      </c>
      <c r="N242" s="341" t="s">
        <v>35</v>
      </c>
      <c r="O242" s="324"/>
    </row>
    <row r="243" ht="15.75" customHeight="1">
      <c r="A243" s="322"/>
      <c r="B243" s="139" t="s">
        <v>1128</v>
      </c>
      <c r="C243" s="344">
        <v>0.2</v>
      </c>
      <c r="D243" s="343">
        <f>'F&amp;B'!F268</f>
        <v>234000</v>
      </c>
      <c r="E243" s="67">
        <f t="shared" ref="E243:E245" si="25">IF(OR(ISBLANK(C243),ISBLANK(D243)),"",D243*C243)</f>
        <v>46800</v>
      </c>
      <c r="F243" s="324"/>
      <c r="G243" s="324"/>
      <c r="J243" s="322"/>
      <c r="K243" s="139" t="s">
        <v>1129</v>
      </c>
      <c r="L243" s="344">
        <v>0.25</v>
      </c>
      <c r="M243" s="343">
        <f>'F&amp;B'!F215</f>
        <v>198000</v>
      </c>
      <c r="N243" s="67">
        <f t="shared" ref="N243:N245" si="26">IF(OR(ISBLANK(L243),ISBLANK(M243)),"",M243*L243)</f>
        <v>49500</v>
      </c>
      <c r="O243" s="324"/>
    </row>
    <row r="244" ht="15.75" customHeight="1">
      <c r="A244" s="322"/>
      <c r="B244" s="228" t="s">
        <v>840</v>
      </c>
      <c r="C244" s="344">
        <v>0.3</v>
      </c>
      <c r="D244" s="423">
        <f>SAUCES!L230</f>
        <v>8860</v>
      </c>
      <c r="E244" s="67">
        <f t="shared" si="25"/>
        <v>2658</v>
      </c>
      <c r="F244" s="324"/>
      <c r="G244" s="324"/>
      <c r="J244" s="322"/>
      <c r="K244" s="228" t="s">
        <v>840</v>
      </c>
      <c r="L244" s="344">
        <v>0.3</v>
      </c>
      <c r="M244" s="423">
        <f>D244</f>
        <v>8860</v>
      </c>
      <c r="N244" s="67">
        <f t="shared" si="26"/>
        <v>2658</v>
      </c>
      <c r="O244" s="324"/>
    </row>
    <row r="245" ht="15.75" customHeight="1">
      <c r="A245" s="322"/>
      <c r="B245" s="406" t="s">
        <v>749</v>
      </c>
      <c r="C245" s="344">
        <v>0.22</v>
      </c>
      <c r="D245" s="434">
        <f>'F&amp;B'!F306</f>
        <v>7200</v>
      </c>
      <c r="E245" s="67">
        <f t="shared" si="25"/>
        <v>1584</v>
      </c>
      <c r="F245" s="324"/>
      <c r="G245" s="324"/>
      <c r="J245" s="322"/>
      <c r="K245" s="406" t="s">
        <v>817</v>
      </c>
      <c r="L245" s="344">
        <v>0.06</v>
      </c>
      <c r="M245" s="434">
        <f>D256</f>
        <v>6750</v>
      </c>
      <c r="N245" s="67">
        <f t="shared" si="26"/>
        <v>405</v>
      </c>
      <c r="O245" s="324"/>
    </row>
    <row r="246" ht="15.75" customHeight="1">
      <c r="A246" s="322"/>
      <c r="B246" s="338" t="s">
        <v>84</v>
      </c>
      <c r="C246" s="358"/>
      <c r="D246" s="358"/>
      <c r="E246" s="359">
        <f>IF(SUM(E243:E245)=0,"",SUM(E243:E245))</f>
        <v>51042</v>
      </c>
      <c r="F246" s="324"/>
      <c r="G246" s="324"/>
      <c r="J246" s="322"/>
      <c r="K246" s="338" t="s">
        <v>84</v>
      </c>
      <c r="L246" s="358"/>
      <c r="M246" s="358"/>
      <c r="N246" s="359">
        <f>IF(SUM(N243:N245)=0,"",SUM(N243:N245))</f>
        <v>52563</v>
      </c>
      <c r="O246" s="324"/>
    </row>
    <row r="247" ht="15.75" customHeight="1">
      <c r="A247" s="322"/>
      <c r="B247" s="360"/>
      <c r="C247" s="360"/>
      <c r="D247" s="360"/>
      <c r="E247" s="361"/>
      <c r="F247" s="324"/>
      <c r="G247" s="324"/>
      <c r="J247" s="322"/>
      <c r="K247" s="360"/>
      <c r="L247" s="360"/>
      <c r="M247" s="360"/>
      <c r="N247" s="361"/>
      <c r="O247" s="324"/>
    </row>
    <row r="248" ht="15.75" customHeight="1">
      <c r="A248" s="322"/>
      <c r="B248" s="362" t="s">
        <v>972</v>
      </c>
      <c r="C248" s="363"/>
      <c r="D248" s="363"/>
      <c r="E248" s="363"/>
      <c r="F248" s="324"/>
      <c r="G248" s="324"/>
      <c r="J248" s="322"/>
      <c r="K248" s="362" t="s">
        <v>972</v>
      </c>
      <c r="L248" s="363"/>
      <c r="M248" s="363"/>
      <c r="N248" s="363"/>
      <c r="O248" s="324"/>
    </row>
    <row r="249" ht="15.75" customHeight="1">
      <c r="A249" s="322"/>
      <c r="B249" s="365" t="s">
        <v>953</v>
      </c>
      <c r="C249" s="366" t="s">
        <v>3</v>
      </c>
      <c r="D249" s="366" t="s">
        <v>975</v>
      </c>
      <c r="E249" s="367" t="s">
        <v>35</v>
      </c>
      <c r="F249" s="324"/>
      <c r="G249" s="324"/>
      <c r="J249" s="322"/>
      <c r="K249" s="365" t="s">
        <v>953</v>
      </c>
      <c r="L249" s="366" t="s">
        <v>3</v>
      </c>
      <c r="M249" s="366" t="s">
        <v>975</v>
      </c>
      <c r="N249" s="367" t="s">
        <v>35</v>
      </c>
      <c r="O249" s="324"/>
    </row>
    <row r="250" ht="15.75" customHeight="1">
      <c r="A250" s="322"/>
      <c r="B250" s="368"/>
      <c r="C250" s="366"/>
      <c r="D250" s="366"/>
      <c r="E250" s="368"/>
      <c r="F250" s="324"/>
      <c r="G250" s="324"/>
      <c r="J250" s="322"/>
      <c r="K250" s="368"/>
      <c r="L250" s="366"/>
      <c r="M250" s="366"/>
      <c r="N250" s="368"/>
      <c r="O250" s="324"/>
    </row>
    <row r="251" ht="15.75" customHeight="1">
      <c r="A251" s="322"/>
      <c r="B251" s="139" t="s">
        <v>1135</v>
      </c>
      <c r="C251" s="344">
        <v>0.06</v>
      </c>
      <c r="D251" s="343">
        <f>'F&amp;B'!F291</f>
        <v>9000</v>
      </c>
      <c r="E251" s="67">
        <f t="shared" ref="E251:E260" si="27">D251*C251</f>
        <v>540</v>
      </c>
      <c r="F251" s="324"/>
      <c r="G251" s="324"/>
      <c r="J251" s="322"/>
      <c r="K251" s="139" t="s">
        <v>1136</v>
      </c>
      <c r="L251" s="344">
        <v>0.6</v>
      </c>
      <c r="M251" s="343">
        <f>D252</f>
        <v>8100</v>
      </c>
      <c r="N251" s="67">
        <f t="shared" ref="N251:N260" si="28">M251*L251</f>
        <v>4860</v>
      </c>
      <c r="O251" s="324"/>
    </row>
    <row r="252" ht="15.75" customHeight="1">
      <c r="A252" s="322"/>
      <c r="B252" s="228" t="s">
        <v>1136</v>
      </c>
      <c r="C252" s="405">
        <v>0.06</v>
      </c>
      <c r="D252" s="371">
        <f>'F&amp;B'!F307</f>
        <v>8100</v>
      </c>
      <c r="E252" s="67">
        <f t="shared" si="27"/>
        <v>486</v>
      </c>
      <c r="F252" s="324"/>
      <c r="G252" s="324"/>
      <c r="J252" s="322"/>
      <c r="K252" s="228" t="s">
        <v>1135</v>
      </c>
      <c r="L252" s="405">
        <v>0.06</v>
      </c>
      <c r="M252" s="371">
        <f>'F&amp;B'!F291</f>
        <v>9000</v>
      </c>
      <c r="N252" s="67">
        <f t="shared" si="28"/>
        <v>540</v>
      </c>
      <c r="O252" s="324"/>
    </row>
    <row r="253" ht="15.75" customHeight="1">
      <c r="A253" s="322"/>
      <c r="B253" s="228" t="s">
        <v>1138</v>
      </c>
      <c r="C253" s="405">
        <v>0.01</v>
      </c>
      <c r="D253" s="371">
        <f>'F&amp;B'!F304</f>
        <v>7200</v>
      </c>
      <c r="E253" s="67">
        <f t="shared" si="27"/>
        <v>72</v>
      </c>
      <c r="F253" s="324"/>
      <c r="G253" s="324"/>
      <c r="J253" s="322"/>
      <c r="K253" s="228" t="s">
        <v>1033</v>
      </c>
      <c r="L253" s="405">
        <v>0.04</v>
      </c>
      <c r="M253" s="371">
        <f>'F&amp;B'!F278</f>
        <v>103500</v>
      </c>
      <c r="N253" s="67">
        <f t="shared" si="28"/>
        <v>4140</v>
      </c>
      <c r="O253" s="324"/>
    </row>
    <row r="254" ht="15.75" customHeight="1">
      <c r="A254" s="322"/>
      <c r="B254" s="228" t="s">
        <v>801</v>
      </c>
      <c r="C254" s="405">
        <v>0.1</v>
      </c>
      <c r="D254" s="371">
        <f>SAUCES!D211</f>
        <v>64646.54878</v>
      </c>
      <c r="E254" s="67">
        <f t="shared" si="27"/>
        <v>6464.654878</v>
      </c>
      <c r="F254" s="324"/>
      <c r="G254" s="324"/>
      <c r="J254" s="322"/>
      <c r="K254" s="228" t="s">
        <v>1140</v>
      </c>
      <c r="L254" s="405">
        <v>0.1</v>
      </c>
      <c r="M254" s="371">
        <f>SAUCES!D230</f>
        <v>19681.11067</v>
      </c>
      <c r="N254" s="67">
        <f t="shared" si="28"/>
        <v>1968.111067</v>
      </c>
      <c r="O254" s="324"/>
    </row>
    <row r="255" ht="15.75" customHeight="1">
      <c r="A255" s="322"/>
      <c r="B255" s="228" t="s">
        <v>1141</v>
      </c>
      <c r="C255" s="405"/>
      <c r="D255" s="343">
        <f>SAUCES!L212</f>
        <v>40325.92308</v>
      </c>
      <c r="E255" s="67">
        <f t="shared" si="27"/>
        <v>0</v>
      </c>
      <c r="F255" s="324"/>
      <c r="G255" s="324"/>
      <c r="J255" s="322"/>
      <c r="K255" s="228"/>
      <c r="L255" s="405"/>
      <c r="M255" s="343" t="str">
        <f>SAUCES!U212</f>
        <v/>
      </c>
      <c r="N255" s="67">
        <f t="shared" si="28"/>
        <v>0</v>
      </c>
      <c r="O255" s="324"/>
    </row>
    <row r="256" ht="15.75" customHeight="1">
      <c r="A256" s="322"/>
      <c r="B256" s="228" t="s">
        <v>817</v>
      </c>
      <c r="C256" s="398">
        <v>0.055</v>
      </c>
      <c r="D256" s="343">
        <f>'F&amp;B'!F293</f>
        <v>6750</v>
      </c>
      <c r="E256" s="67">
        <f t="shared" si="27"/>
        <v>371.25</v>
      </c>
      <c r="F256" s="324"/>
      <c r="G256" s="324"/>
      <c r="J256" s="322"/>
      <c r="K256" s="228"/>
      <c r="L256" s="398"/>
      <c r="M256" s="343" t="str">
        <f>'F&amp;B'!M293</f>
        <v/>
      </c>
      <c r="N256" s="67">
        <f t="shared" si="28"/>
        <v>0</v>
      </c>
      <c r="O256" s="324"/>
    </row>
    <row r="257" ht="15.75" customHeight="1">
      <c r="A257" s="322"/>
      <c r="B257" s="345"/>
      <c r="C257" s="398"/>
      <c r="D257" s="343"/>
      <c r="E257" s="67">
        <f t="shared" si="27"/>
        <v>0</v>
      </c>
      <c r="F257" s="324"/>
      <c r="G257" s="324"/>
      <c r="J257" s="322"/>
      <c r="K257" s="345"/>
      <c r="L257" s="398"/>
      <c r="M257" s="343"/>
      <c r="N257" s="67">
        <f t="shared" si="28"/>
        <v>0</v>
      </c>
      <c r="O257" s="324"/>
    </row>
    <row r="258" ht="15.75" customHeight="1">
      <c r="A258" s="322"/>
      <c r="B258" s="348"/>
      <c r="C258" s="346"/>
      <c r="D258" s="343"/>
      <c r="E258" s="67">
        <f t="shared" si="27"/>
        <v>0</v>
      </c>
      <c r="F258" s="324"/>
      <c r="G258" s="324"/>
      <c r="J258" s="322"/>
      <c r="K258" s="348"/>
      <c r="L258" s="346"/>
      <c r="M258" s="343"/>
      <c r="N258" s="67">
        <f t="shared" si="28"/>
        <v>0</v>
      </c>
      <c r="O258" s="324"/>
    </row>
    <row r="259" ht="15.75" customHeight="1">
      <c r="A259" s="322"/>
      <c r="B259" s="348"/>
      <c r="C259" s="346"/>
      <c r="D259" s="343"/>
      <c r="E259" s="67">
        <f t="shared" si="27"/>
        <v>0</v>
      </c>
      <c r="F259" s="324"/>
      <c r="G259" s="324"/>
      <c r="J259" s="322"/>
      <c r="K259" s="348"/>
      <c r="L259" s="346"/>
      <c r="M259" s="343"/>
      <c r="N259" s="67">
        <f t="shared" si="28"/>
        <v>0</v>
      </c>
      <c r="O259" s="324"/>
    </row>
    <row r="260" ht="15.75" customHeight="1">
      <c r="A260" s="322"/>
      <c r="B260" s="354"/>
      <c r="C260" s="355"/>
      <c r="D260" s="343"/>
      <c r="E260" s="67">
        <f t="shared" si="27"/>
        <v>0</v>
      </c>
      <c r="F260" s="324"/>
      <c r="G260" s="324"/>
      <c r="J260" s="322"/>
      <c r="K260" s="354"/>
      <c r="L260" s="355"/>
      <c r="M260" s="343"/>
      <c r="N260" s="67">
        <f t="shared" si="28"/>
        <v>0</v>
      </c>
      <c r="O260" s="324"/>
    </row>
    <row r="261" ht="15.75" customHeight="1">
      <c r="A261" s="322"/>
      <c r="B261" s="362" t="s">
        <v>84</v>
      </c>
      <c r="C261" s="374"/>
      <c r="D261" s="374"/>
      <c r="E261" s="375">
        <f>IF(SUM(E251:E260)=0,"",SUM(E251:E260))</f>
        <v>7933.904878</v>
      </c>
      <c r="F261" s="324"/>
      <c r="G261" s="324"/>
      <c r="J261" s="322"/>
      <c r="K261" s="362" t="s">
        <v>84</v>
      </c>
      <c r="L261" s="374"/>
      <c r="M261" s="374"/>
      <c r="N261" s="375">
        <f>IF(SUM(N251:N260)=0,"",SUM(N251:N260))</f>
        <v>11508.11107</v>
      </c>
      <c r="O261" s="324"/>
    </row>
    <row r="262" ht="15.75" customHeight="1">
      <c r="A262" s="322"/>
      <c r="B262" s="360"/>
      <c r="C262" s="360"/>
      <c r="D262" s="360"/>
      <c r="E262" s="361"/>
      <c r="F262" s="324"/>
      <c r="G262" s="324"/>
      <c r="J262" s="322"/>
      <c r="K262" s="360"/>
      <c r="L262" s="360"/>
      <c r="M262" s="360"/>
      <c r="N262" s="361"/>
      <c r="O262" s="324"/>
    </row>
    <row r="263" ht="15.75" customHeight="1">
      <c r="A263" s="322"/>
      <c r="B263" s="34" t="s">
        <v>17</v>
      </c>
      <c r="C263" s="35"/>
      <c r="D263" s="35"/>
      <c r="E263" s="35"/>
      <c r="F263" s="324"/>
      <c r="G263" s="324"/>
      <c r="J263" s="322"/>
      <c r="K263" s="34" t="s">
        <v>17</v>
      </c>
      <c r="L263" s="35"/>
      <c r="M263" s="35"/>
      <c r="N263" s="35"/>
      <c r="O263" s="324"/>
    </row>
    <row r="264" ht="15.75" customHeight="1">
      <c r="A264" s="322"/>
      <c r="B264" s="52" t="s">
        <v>42</v>
      </c>
      <c r="C264" s="54"/>
      <c r="D264" s="54"/>
      <c r="E264" s="56" t="s">
        <v>35</v>
      </c>
      <c r="F264" s="324"/>
      <c r="G264" s="324"/>
      <c r="J264" s="322"/>
      <c r="K264" s="52" t="s">
        <v>42</v>
      </c>
      <c r="L264" s="54"/>
      <c r="M264" s="54"/>
      <c r="N264" s="56" t="s">
        <v>35</v>
      </c>
      <c r="O264" s="324"/>
    </row>
    <row r="265" ht="15.75" customHeight="1">
      <c r="A265" s="322"/>
      <c r="B265" s="60" t="s">
        <v>40</v>
      </c>
      <c r="C265" s="343">
        <f>'UTL COST'!$B$3</f>
        <v>369000</v>
      </c>
      <c r="D265" s="379">
        <f>'UTL COST'!$C$3</f>
        <v>0.0075</v>
      </c>
      <c r="E265" s="270">
        <v>0.0</v>
      </c>
      <c r="F265" s="324"/>
      <c r="G265" s="324"/>
      <c r="J265" s="322"/>
      <c r="K265" s="60" t="s">
        <v>40</v>
      </c>
      <c r="L265" s="343">
        <f>'UTL COST'!$B$3</f>
        <v>369000</v>
      </c>
      <c r="M265" s="379">
        <f>'UTL COST'!$C$3</f>
        <v>0.0075</v>
      </c>
      <c r="N265" s="270">
        <v>0.0</v>
      </c>
      <c r="O265" s="324"/>
    </row>
    <row r="266" ht="15.75" customHeight="1">
      <c r="A266" s="322"/>
      <c r="B266" s="75" t="s">
        <v>51</v>
      </c>
      <c r="C266" s="371" t="str">
        <f>'UTL COST'!$B$4</f>
        <v>#REF!</v>
      </c>
      <c r="D266" s="382">
        <f>'UTL COST'!$C$4</f>
        <v>7000</v>
      </c>
      <c r="E266" s="76" t="str">
        <f>'UTL COST'!$D$4</f>
        <v>#REF!</v>
      </c>
      <c r="F266" s="324"/>
      <c r="G266" s="324"/>
      <c r="J266" s="322"/>
      <c r="K266" s="75" t="s">
        <v>51</v>
      </c>
      <c r="L266" s="371" t="str">
        <f>'UTL COST'!$B$4</f>
        <v>#REF!</v>
      </c>
      <c r="M266" s="382">
        <f>'UTL COST'!$C$4</f>
        <v>7000</v>
      </c>
      <c r="N266" s="76" t="str">
        <f>'UTL COST'!$D$4</f>
        <v>#REF!</v>
      </c>
      <c r="O266" s="324"/>
    </row>
    <row r="267" ht="15.75" customHeight="1">
      <c r="A267" s="322"/>
      <c r="B267" s="75" t="s">
        <v>59</v>
      </c>
      <c r="C267" s="371" t="str">
        <f>'UTL COST'!$B$5</f>
        <v>#REF!</v>
      </c>
      <c r="D267" s="382">
        <f>'UTL COST'!$C$5</f>
        <v>45000</v>
      </c>
      <c r="E267" s="76" t="str">
        <f>'UTL COST'!$D$5</f>
        <v>#REF!</v>
      </c>
      <c r="F267" s="324"/>
      <c r="G267" s="324"/>
      <c r="J267" s="322"/>
      <c r="K267" s="75" t="s">
        <v>59</v>
      </c>
      <c r="L267" s="371" t="str">
        <f>'UTL COST'!$B$5</f>
        <v>#REF!</v>
      </c>
      <c r="M267" s="382">
        <f>'UTL COST'!$C$5</f>
        <v>45000</v>
      </c>
      <c r="N267" s="76" t="str">
        <f>'UTL COST'!$D$5</f>
        <v>#REF!</v>
      </c>
      <c r="O267" s="324"/>
    </row>
    <row r="268" ht="15.75" customHeight="1">
      <c r="A268" s="322"/>
      <c r="B268" s="87" t="s">
        <v>78</v>
      </c>
      <c r="C268" s="371" t="str">
        <f>'UTL COST'!$B$6</f>
        <v>#REF!</v>
      </c>
      <c r="D268" s="383">
        <f>'UTL COST'!$C$6</f>
        <v>525</v>
      </c>
      <c r="E268" s="89">
        <v>0.1</v>
      </c>
      <c r="F268" s="324"/>
      <c r="G268" s="324"/>
      <c r="J268" s="322"/>
      <c r="K268" s="87" t="s">
        <v>78</v>
      </c>
      <c r="L268" s="371" t="str">
        <f>'UTL COST'!$B$6</f>
        <v>#REF!</v>
      </c>
      <c r="M268" s="383">
        <f>'UTL COST'!$C$6</f>
        <v>525</v>
      </c>
      <c r="N268" s="89">
        <v>0.1</v>
      </c>
      <c r="O268" s="324"/>
    </row>
    <row r="269" ht="15.75" customHeight="1">
      <c r="A269" s="322"/>
      <c r="B269" s="34" t="s">
        <v>84</v>
      </c>
      <c r="C269" s="102"/>
      <c r="D269" s="102"/>
      <c r="E269" s="104" t="str">
        <f>IF(SUM(E265:E268)=0,"",SUM(E265:E268))</f>
        <v>#REF!</v>
      </c>
      <c r="F269" s="324"/>
      <c r="G269" s="324"/>
      <c r="J269" s="322"/>
      <c r="K269" s="34" t="s">
        <v>84</v>
      </c>
      <c r="L269" s="102"/>
      <c r="M269" s="102"/>
      <c r="N269" s="104" t="str">
        <f>IF(SUM(N265:N268)=0,"",SUM(N265:N268))</f>
        <v>#REF!</v>
      </c>
      <c r="O269" s="324"/>
    </row>
    <row r="270" ht="15.75" customHeight="1">
      <c r="A270" s="322"/>
      <c r="B270" s="360"/>
      <c r="C270" s="360"/>
      <c r="D270" s="360"/>
      <c r="E270" s="361"/>
      <c r="F270" s="324"/>
      <c r="G270" s="324"/>
      <c r="J270" s="322"/>
      <c r="K270" s="360"/>
      <c r="L270" s="360"/>
      <c r="M270" s="360"/>
      <c r="N270" s="361"/>
      <c r="O270" s="324"/>
    </row>
    <row r="271" ht="15.75" customHeight="1"/>
    <row r="272" ht="15.75" customHeight="1"/>
    <row r="273" ht="15.75" customHeight="1">
      <c r="A273" s="322"/>
      <c r="B273" s="322"/>
      <c r="C273" s="322"/>
      <c r="D273" s="322"/>
      <c r="E273" s="323"/>
      <c r="F273" s="324"/>
      <c r="J273" s="447"/>
      <c r="K273" s="447"/>
      <c r="L273" s="447"/>
      <c r="M273" s="447"/>
      <c r="N273" s="448"/>
      <c r="O273" s="449"/>
    </row>
    <row r="274" ht="15.75" customHeight="1">
      <c r="A274" s="322"/>
      <c r="B274" s="325"/>
      <c r="C274" s="322"/>
      <c r="D274" s="322"/>
      <c r="E274" s="323"/>
      <c r="F274" s="326"/>
      <c r="J274" s="322"/>
      <c r="K274" s="325"/>
      <c r="L274" s="322"/>
      <c r="M274" s="322"/>
      <c r="N274" s="323"/>
      <c r="O274" s="326"/>
    </row>
    <row r="275" ht="15.75" customHeight="1">
      <c r="A275" s="322"/>
      <c r="B275" s="327" t="s">
        <v>931</v>
      </c>
      <c r="C275" s="330" t="s">
        <v>1124</v>
      </c>
      <c r="D275" s="329"/>
      <c r="E275" s="323"/>
      <c r="F275" s="326"/>
      <c r="J275" s="322"/>
      <c r="K275" s="327" t="s">
        <v>931</v>
      </c>
      <c r="L275" s="330" t="s">
        <v>1150</v>
      </c>
      <c r="M275" s="329"/>
      <c r="N275" s="323"/>
      <c r="O275" s="326"/>
    </row>
    <row r="276" ht="15.75" customHeight="1">
      <c r="A276" s="322"/>
      <c r="B276" s="325"/>
      <c r="C276" s="322"/>
      <c r="D276" s="322"/>
      <c r="E276" s="323"/>
      <c r="F276" s="326"/>
      <c r="J276" s="322"/>
      <c r="K276" s="325"/>
      <c r="L276" s="322"/>
      <c r="M276" s="322"/>
      <c r="N276" s="323"/>
      <c r="O276" s="326"/>
    </row>
    <row r="277" ht="15.75" customHeight="1">
      <c r="A277" s="322"/>
      <c r="B277" s="327" t="s">
        <v>935</v>
      </c>
      <c r="C277" s="440">
        <f>19*90000</f>
        <v>1710000</v>
      </c>
      <c r="D277" s="329"/>
      <c r="E277" s="323">
        <f>C277/90000</f>
        <v>19</v>
      </c>
      <c r="F277" s="326"/>
      <c r="J277" s="322"/>
      <c r="K277" s="327" t="s">
        <v>935</v>
      </c>
      <c r="L277" s="440">
        <v>1500000.0</v>
      </c>
      <c r="M277" s="329"/>
      <c r="N277" s="323">
        <f>L277/90000</f>
        <v>16.66666667</v>
      </c>
      <c r="O277" s="326"/>
    </row>
    <row r="278" ht="15.75" customHeight="1">
      <c r="A278" s="322"/>
      <c r="B278" s="327"/>
      <c r="C278" s="332"/>
      <c r="D278" s="332"/>
      <c r="E278" s="323"/>
      <c r="F278" s="326"/>
      <c r="J278" s="322"/>
      <c r="K278" s="327"/>
      <c r="L278" s="332"/>
      <c r="M278" s="332"/>
      <c r="N278" s="323"/>
      <c r="O278" s="326"/>
    </row>
    <row r="279" ht="15.75" customHeight="1">
      <c r="A279" s="322"/>
      <c r="B279" s="327" t="s">
        <v>939</v>
      </c>
      <c r="C279" s="333" t="str">
        <f>IF(SUM(E291,E306,E314)=0,"",SUM(E291,E306,E314))</f>
        <v>#REF!</v>
      </c>
      <c r="D279" s="321"/>
      <c r="E279" s="323" t="str">
        <f>C279/90000</f>
        <v>#REF!</v>
      </c>
      <c r="F279" s="326"/>
      <c r="J279" s="322"/>
      <c r="K279" s="327" t="s">
        <v>939</v>
      </c>
      <c r="L279" s="333" t="str">
        <f>IF(SUM(N291,N306,N314)=0,"",SUM(N291,N306,N314))</f>
        <v>#REF!</v>
      </c>
      <c r="M279" s="321"/>
      <c r="N279" s="323" t="str">
        <f>L279/90000</f>
        <v>#REF!</v>
      </c>
      <c r="O279" s="326"/>
    </row>
    <row r="280" ht="15.75" customHeight="1">
      <c r="A280" s="322"/>
      <c r="B280" s="327"/>
      <c r="C280" s="334"/>
      <c r="D280" s="334"/>
      <c r="E280" s="323"/>
      <c r="F280" s="326"/>
      <c r="J280" s="322"/>
      <c r="K280" s="327"/>
      <c r="L280" s="334"/>
      <c r="M280" s="334"/>
      <c r="N280" s="323"/>
      <c r="O280" s="326"/>
    </row>
    <row r="281" ht="15.75" customHeight="1">
      <c r="A281" s="322"/>
      <c r="B281" s="327" t="s">
        <v>946</v>
      </c>
      <c r="C281" s="335" t="str">
        <f>IF(C279="","",IF(ISBLANK(C277),"",C279/C277))</f>
        <v>#REF!</v>
      </c>
      <c r="D281" s="321"/>
      <c r="E281" s="323"/>
      <c r="F281" s="326"/>
      <c r="J281" s="322"/>
      <c r="K281" s="327" t="s">
        <v>946</v>
      </c>
      <c r="L281" s="335" t="str">
        <f>IF(L279="","",IF(ISBLANK(L277),"",L279/L277))</f>
        <v>#REF!</v>
      </c>
      <c r="M281" s="321"/>
      <c r="N281" s="323"/>
      <c r="O281" s="326"/>
    </row>
    <row r="282" ht="15.75" customHeight="1">
      <c r="A282" s="322"/>
      <c r="B282" s="327"/>
      <c r="C282" s="334"/>
      <c r="D282" s="334"/>
      <c r="E282" s="323"/>
      <c r="F282" s="326"/>
      <c r="J282" s="322"/>
      <c r="K282" s="327"/>
      <c r="L282" s="334"/>
      <c r="M282" s="334"/>
      <c r="N282" s="323"/>
      <c r="O282" s="326"/>
    </row>
    <row r="283" ht="15.75" customHeight="1">
      <c r="A283" s="322"/>
      <c r="B283" s="327" t="s">
        <v>950</v>
      </c>
      <c r="C283" s="333" t="str">
        <f>C277-C279</f>
        <v>#REF!</v>
      </c>
      <c r="D283" s="321"/>
      <c r="E283" s="323"/>
      <c r="F283" s="326"/>
      <c r="J283" s="322"/>
      <c r="K283" s="327" t="s">
        <v>950</v>
      </c>
      <c r="L283" s="333" t="str">
        <f>L277-L279</f>
        <v>#REF!</v>
      </c>
      <c r="M283" s="321"/>
      <c r="N283" s="323"/>
      <c r="O283" s="326"/>
    </row>
    <row r="284" ht="15.75" customHeight="1">
      <c r="A284" s="322"/>
      <c r="B284" s="322"/>
      <c r="C284" s="322"/>
      <c r="D284" s="322"/>
      <c r="E284" s="323"/>
      <c r="F284" s="324"/>
      <c r="J284" s="322"/>
      <c r="K284" s="322"/>
      <c r="L284" s="322"/>
      <c r="M284" s="322"/>
      <c r="N284" s="323"/>
      <c r="O284" s="324"/>
    </row>
    <row r="285" ht="15.75" customHeight="1">
      <c r="A285" s="322"/>
      <c r="B285" s="322"/>
      <c r="C285" s="322"/>
      <c r="D285" s="322"/>
      <c r="E285" s="337"/>
      <c r="F285" s="324"/>
      <c r="J285" s="322"/>
      <c r="K285" s="322"/>
      <c r="L285" s="322"/>
      <c r="M285" s="322"/>
      <c r="N285" s="337"/>
      <c r="O285" s="324"/>
    </row>
    <row r="286" ht="15.75" customHeight="1">
      <c r="A286" s="322"/>
      <c r="B286" s="338" t="s">
        <v>951</v>
      </c>
      <c r="C286" s="339"/>
      <c r="D286" s="339"/>
      <c r="E286" s="339"/>
      <c r="F286" s="324"/>
      <c r="J286" s="322"/>
      <c r="K286" s="338" t="s">
        <v>951</v>
      </c>
      <c r="L286" s="339"/>
      <c r="M286" s="339"/>
      <c r="N286" s="339"/>
      <c r="O286" s="324"/>
    </row>
    <row r="287" ht="15.75" customHeight="1">
      <c r="A287" s="322"/>
      <c r="B287" s="340" t="s">
        <v>953</v>
      </c>
      <c r="C287" s="341" t="s">
        <v>954</v>
      </c>
      <c r="D287" s="341" t="s">
        <v>955</v>
      </c>
      <c r="E287" s="341" t="s">
        <v>35</v>
      </c>
      <c r="F287" s="324"/>
      <c r="J287" s="322"/>
      <c r="K287" s="340" t="s">
        <v>953</v>
      </c>
      <c r="L287" s="341" t="s">
        <v>954</v>
      </c>
      <c r="M287" s="341" t="s">
        <v>955</v>
      </c>
      <c r="N287" s="341" t="s">
        <v>35</v>
      </c>
      <c r="O287" s="324"/>
    </row>
    <row r="288" ht="15.75" customHeight="1">
      <c r="A288" s="322"/>
      <c r="B288" s="139" t="s">
        <v>1129</v>
      </c>
      <c r="C288" s="344">
        <v>0.25</v>
      </c>
      <c r="D288" s="343">
        <f>M63</f>
        <v>81000</v>
      </c>
      <c r="E288" s="67">
        <f t="shared" ref="E288:E290" si="29">IF(OR(ISBLANK(C288),ISBLANK(D288)),"",D288*C288)</f>
        <v>20250</v>
      </c>
      <c r="F288" s="324"/>
      <c r="J288" s="322"/>
      <c r="K288" s="139" t="s">
        <v>703</v>
      </c>
      <c r="L288" s="344">
        <v>0.2</v>
      </c>
      <c r="M288" s="343">
        <f>D198</f>
        <v>81000</v>
      </c>
      <c r="N288" s="67">
        <f t="shared" ref="N288:N290" si="30">IF(OR(ISBLANK(L288),ISBLANK(M288)),"",M288*L288)</f>
        <v>16200</v>
      </c>
      <c r="O288" s="324"/>
    </row>
    <row r="289" ht="15.75" customHeight="1">
      <c r="A289" s="322"/>
      <c r="B289" s="228" t="s">
        <v>840</v>
      </c>
      <c r="C289" s="344">
        <v>0.3</v>
      </c>
      <c r="D289" s="423">
        <f t="shared" ref="D289:D290" si="31">M244</f>
        <v>8860</v>
      </c>
      <c r="E289" s="67">
        <f t="shared" si="29"/>
        <v>2658</v>
      </c>
      <c r="F289" s="324"/>
      <c r="J289" s="322"/>
      <c r="K289" s="228" t="s">
        <v>33</v>
      </c>
      <c r="L289" s="344">
        <v>0.2</v>
      </c>
      <c r="M289" s="423">
        <f>D154</f>
        <v>19665</v>
      </c>
      <c r="N289" s="67">
        <f t="shared" si="30"/>
        <v>3933</v>
      </c>
      <c r="O289" s="324"/>
    </row>
    <row r="290" ht="15.75" customHeight="1">
      <c r="A290" s="322"/>
      <c r="B290" s="406" t="s">
        <v>817</v>
      </c>
      <c r="C290" s="344">
        <v>0.06</v>
      </c>
      <c r="D290" s="423">
        <f t="shared" si="31"/>
        <v>6750</v>
      </c>
      <c r="E290" s="67">
        <f t="shared" si="29"/>
        <v>405</v>
      </c>
      <c r="F290" s="324"/>
      <c r="J290" s="322"/>
      <c r="K290" s="406" t="s">
        <v>1156</v>
      </c>
      <c r="L290" s="344">
        <v>0.2</v>
      </c>
      <c r="M290" s="423" t="str">
        <f>M207</f>
        <v>#REF!</v>
      </c>
      <c r="N290" s="67" t="str">
        <f t="shared" si="30"/>
        <v>#REF!</v>
      </c>
      <c r="O290" s="324"/>
    </row>
    <row r="291" ht="15.75" customHeight="1">
      <c r="A291" s="322"/>
      <c r="B291" s="338" t="s">
        <v>84</v>
      </c>
      <c r="C291" s="358"/>
      <c r="D291" s="358"/>
      <c r="E291" s="359">
        <f>IF(SUM(E288:E290)=0,"",SUM(E288:E290))</f>
        <v>23313</v>
      </c>
      <c r="F291" s="324"/>
      <c r="J291" s="322"/>
      <c r="K291" s="338" t="s">
        <v>84</v>
      </c>
      <c r="L291" s="358"/>
      <c r="M291" s="358"/>
      <c r="N291" s="359" t="str">
        <f>IF(SUM(N288:N290)=0,"",SUM(N288:N290))</f>
        <v>#REF!</v>
      </c>
      <c r="O291" s="324"/>
    </row>
    <row r="292" ht="15.75" customHeight="1">
      <c r="A292" s="322"/>
      <c r="B292" s="360"/>
      <c r="C292" s="360"/>
      <c r="D292" s="360"/>
      <c r="E292" s="361"/>
      <c r="F292" s="324"/>
      <c r="J292" s="322"/>
      <c r="K292" s="360"/>
      <c r="L292" s="360"/>
      <c r="M292" s="360"/>
      <c r="N292" s="361"/>
      <c r="O292" s="324"/>
    </row>
    <row r="293" ht="15.75" customHeight="1">
      <c r="A293" s="322"/>
      <c r="B293" s="362" t="s">
        <v>972</v>
      </c>
      <c r="C293" s="363"/>
      <c r="D293" s="363"/>
      <c r="E293" s="363"/>
      <c r="F293" s="324"/>
      <c r="J293" s="322"/>
      <c r="K293" s="362" t="s">
        <v>972</v>
      </c>
      <c r="L293" s="363"/>
      <c r="M293" s="363"/>
      <c r="N293" s="363"/>
      <c r="O293" s="324"/>
    </row>
    <row r="294" ht="15.75" customHeight="1">
      <c r="A294" s="322"/>
      <c r="B294" s="365" t="s">
        <v>953</v>
      </c>
      <c r="C294" s="366" t="s">
        <v>3</v>
      </c>
      <c r="D294" s="366" t="s">
        <v>975</v>
      </c>
      <c r="E294" s="367" t="s">
        <v>35</v>
      </c>
      <c r="F294" s="324"/>
      <c r="J294" s="322"/>
      <c r="K294" s="365" t="s">
        <v>953</v>
      </c>
      <c r="L294" s="366" t="s">
        <v>3</v>
      </c>
      <c r="M294" s="366" t="s">
        <v>975</v>
      </c>
      <c r="N294" s="367" t="s">
        <v>35</v>
      </c>
      <c r="O294" s="324"/>
    </row>
    <row r="295" ht="15.75" customHeight="1">
      <c r="A295" s="322"/>
      <c r="B295" s="368"/>
      <c r="C295" s="366"/>
      <c r="D295" s="366"/>
      <c r="E295" s="368"/>
      <c r="F295" s="324"/>
      <c r="J295" s="322"/>
      <c r="K295" s="368"/>
      <c r="L295" s="366"/>
      <c r="M295" s="366"/>
      <c r="N295" s="368"/>
      <c r="O295" s="324"/>
    </row>
    <row r="296" ht="15.75" customHeight="1">
      <c r="A296" s="322"/>
      <c r="B296" s="139" t="s">
        <v>1136</v>
      </c>
      <c r="C296" s="344">
        <v>0.6</v>
      </c>
      <c r="D296" s="343">
        <f t="shared" ref="D296:D299" si="32">M251</f>
        <v>8100</v>
      </c>
      <c r="E296" s="67">
        <f t="shared" ref="E296:E305" si="33">D296*C296</f>
        <v>4860</v>
      </c>
      <c r="F296" s="324"/>
      <c r="J296" s="322"/>
      <c r="K296" s="139" t="s">
        <v>1041</v>
      </c>
      <c r="L296" s="344">
        <v>0.06</v>
      </c>
      <c r="M296" s="343">
        <f>D166</f>
        <v>2661.661085</v>
      </c>
      <c r="N296" s="67">
        <f t="shared" ref="N296:N305" si="34">M296*L296</f>
        <v>159.6996651</v>
      </c>
      <c r="O296" s="324"/>
    </row>
    <row r="297" ht="15.75" customHeight="1">
      <c r="A297" s="322"/>
      <c r="B297" s="228" t="s">
        <v>1135</v>
      </c>
      <c r="C297" s="405">
        <v>0.06</v>
      </c>
      <c r="D297" s="343">
        <f t="shared" si="32"/>
        <v>9000</v>
      </c>
      <c r="E297" s="67">
        <f t="shared" si="33"/>
        <v>540</v>
      </c>
      <c r="F297" s="324"/>
      <c r="J297" s="322"/>
      <c r="K297" s="228" t="s">
        <v>1042</v>
      </c>
      <c r="L297" s="405">
        <v>1.0</v>
      </c>
      <c r="M297" s="343">
        <f>D29</f>
        <v>563.76</v>
      </c>
      <c r="N297" s="67">
        <f t="shared" si="34"/>
        <v>563.76</v>
      </c>
      <c r="O297" s="324"/>
    </row>
    <row r="298" ht="15.75" customHeight="1">
      <c r="A298" s="322"/>
      <c r="B298" s="228" t="s">
        <v>1033</v>
      </c>
      <c r="C298" s="405">
        <v>0.04</v>
      </c>
      <c r="D298" s="343">
        <f t="shared" si="32"/>
        <v>103500</v>
      </c>
      <c r="E298" s="67">
        <f t="shared" si="33"/>
        <v>4140</v>
      </c>
      <c r="F298" s="324"/>
      <c r="J298" s="322"/>
      <c r="K298" s="228"/>
      <c r="L298" s="405"/>
      <c r="M298" s="343" t="str">
        <f t="shared" ref="M298:M299" si="35">V253</f>
        <v/>
      </c>
      <c r="N298" s="67">
        <f t="shared" si="34"/>
        <v>0</v>
      </c>
      <c r="O298" s="324"/>
    </row>
    <row r="299" ht="15.75" customHeight="1">
      <c r="A299" s="322"/>
      <c r="B299" s="228" t="s">
        <v>1140</v>
      </c>
      <c r="C299" s="405">
        <v>0.1</v>
      </c>
      <c r="D299" s="343">
        <f t="shared" si="32"/>
        <v>19681.11067</v>
      </c>
      <c r="E299" s="67">
        <f t="shared" si="33"/>
        <v>1968.111067</v>
      </c>
      <c r="F299" s="324"/>
      <c r="J299" s="322"/>
      <c r="K299" s="228"/>
      <c r="L299" s="405"/>
      <c r="M299" s="343" t="str">
        <f t="shared" si="35"/>
        <v/>
      </c>
      <c r="N299" s="67">
        <f t="shared" si="34"/>
        <v>0</v>
      </c>
      <c r="O299" s="324"/>
    </row>
    <row r="300" ht="15.75" customHeight="1">
      <c r="A300" s="322"/>
      <c r="B300" s="228"/>
      <c r="C300" s="405"/>
      <c r="D300" s="343" t="str">
        <f>SAUCES!L256</f>
        <v/>
      </c>
      <c r="E300" s="67">
        <f t="shared" si="33"/>
        <v>0</v>
      </c>
      <c r="F300" s="324"/>
      <c r="J300" s="322"/>
      <c r="K300" s="228"/>
      <c r="L300" s="405"/>
      <c r="M300" s="343" t="str">
        <f>SAUCES!U256</f>
        <v/>
      </c>
      <c r="N300" s="67">
        <f t="shared" si="34"/>
        <v>0</v>
      </c>
      <c r="O300" s="324"/>
    </row>
    <row r="301" ht="15.75" customHeight="1">
      <c r="A301" s="322"/>
      <c r="B301" s="228"/>
      <c r="C301" s="398"/>
      <c r="D301" s="343" t="str">
        <f>'F&amp;B'!F338</f>
        <v/>
      </c>
      <c r="E301" s="67">
        <f t="shared" si="33"/>
        <v>0</v>
      </c>
      <c r="F301" s="324"/>
      <c r="J301" s="322"/>
      <c r="K301" s="228"/>
      <c r="L301" s="398"/>
      <c r="M301" s="343" t="str">
        <f>'F&amp;B'!M338</f>
        <v/>
      </c>
      <c r="N301" s="67">
        <f t="shared" si="34"/>
        <v>0</v>
      </c>
      <c r="O301" s="324"/>
    </row>
    <row r="302" ht="15.75" customHeight="1">
      <c r="A302" s="322"/>
      <c r="B302" s="345"/>
      <c r="C302" s="398"/>
      <c r="D302" s="343"/>
      <c r="E302" s="67">
        <f t="shared" si="33"/>
        <v>0</v>
      </c>
      <c r="F302" s="324"/>
      <c r="J302" s="322"/>
      <c r="K302" s="345"/>
      <c r="L302" s="398"/>
      <c r="M302" s="343"/>
      <c r="N302" s="67">
        <f t="shared" si="34"/>
        <v>0</v>
      </c>
      <c r="O302" s="324"/>
    </row>
    <row r="303" ht="15.75" customHeight="1">
      <c r="A303" s="322"/>
      <c r="B303" s="348"/>
      <c r="C303" s="346"/>
      <c r="D303" s="343"/>
      <c r="E303" s="67">
        <f t="shared" si="33"/>
        <v>0</v>
      </c>
      <c r="F303" s="324"/>
      <c r="J303" s="322"/>
      <c r="K303" s="348"/>
      <c r="L303" s="346"/>
      <c r="M303" s="343"/>
      <c r="N303" s="67">
        <f t="shared" si="34"/>
        <v>0</v>
      </c>
      <c r="O303" s="324"/>
    </row>
    <row r="304" ht="15.75" customHeight="1">
      <c r="A304" s="322"/>
      <c r="B304" s="348"/>
      <c r="C304" s="346"/>
      <c r="D304" s="343"/>
      <c r="E304" s="67">
        <f t="shared" si="33"/>
        <v>0</v>
      </c>
      <c r="F304" s="324"/>
      <c r="J304" s="322"/>
      <c r="K304" s="348"/>
      <c r="L304" s="346"/>
      <c r="M304" s="343"/>
      <c r="N304" s="67">
        <f t="shared" si="34"/>
        <v>0</v>
      </c>
      <c r="O304" s="324"/>
    </row>
    <row r="305" ht="15.75" customHeight="1">
      <c r="A305" s="322"/>
      <c r="B305" s="354"/>
      <c r="C305" s="355"/>
      <c r="D305" s="343"/>
      <c r="E305" s="67">
        <f t="shared" si="33"/>
        <v>0</v>
      </c>
      <c r="F305" s="324"/>
      <c r="J305" s="322"/>
      <c r="K305" s="354"/>
      <c r="L305" s="355"/>
      <c r="M305" s="343"/>
      <c r="N305" s="67">
        <f t="shared" si="34"/>
        <v>0</v>
      </c>
      <c r="O305" s="324"/>
    </row>
    <row r="306" ht="15.75" customHeight="1">
      <c r="A306" s="322"/>
      <c r="B306" s="362" t="s">
        <v>84</v>
      </c>
      <c r="C306" s="374"/>
      <c r="D306" s="374"/>
      <c r="E306" s="375">
        <f>IF(SUM(E296:E305)=0,"",SUM(E296:E305))</f>
        <v>11508.11107</v>
      </c>
      <c r="F306" s="324"/>
      <c r="J306" s="322"/>
      <c r="K306" s="362" t="s">
        <v>84</v>
      </c>
      <c r="L306" s="374"/>
      <c r="M306" s="374"/>
      <c r="N306" s="375">
        <f>IF(SUM(N296:N305)=0,"",SUM(N296:N305))</f>
        <v>723.4596651</v>
      </c>
      <c r="O306" s="324"/>
    </row>
    <row r="307" ht="15.75" customHeight="1">
      <c r="A307" s="322"/>
      <c r="B307" s="360"/>
      <c r="C307" s="360"/>
      <c r="D307" s="360"/>
      <c r="E307" s="361"/>
      <c r="F307" s="324"/>
      <c r="J307" s="322"/>
      <c r="K307" s="360"/>
      <c r="L307" s="360"/>
      <c r="M307" s="360"/>
      <c r="N307" s="361"/>
      <c r="O307" s="324"/>
    </row>
    <row r="308" ht="15.75" customHeight="1">
      <c r="A308" s="322"/>
      <c r="B308" s="34" t="s">
        <v>17</v>
      </c>
      <c r="C308" s="35"/>
      <c r="D308" s="35"/>
      <c r="E308" s="35"/>
      <c r="F308" s="324"/>
      <c r="J308" s="322"/>
      <c r="K308" s="34" t="s">
        <v>17</v>
      </c>
      <c r="L308" s="35"/>
      <c r="M308" s="35"/>
      <c r="N308" s="35"/>
      <c r="O308" s="324"/>
    </row>
    <row r="309" ht="15.75" customHeight="1">
      <c r="A309" s="322"/>
      <c r="B309" s="52" t="s">
        <v>42</v>
      </c>
      <c r="C309" s="54"/>
      <c r="D309" s="54"/>
      <c r="E309" s="56" t="s">
        <v>35</v>
      </c>
      <c r="F309" s="324"/>
      <c r="J309" s="322"/>
      <c r="K309" s="52" t="s">
        <v>42</v>
      </c>
      <c r="L309" s="54"/>
      <c r="M309" s="54"/>
      <c r="N309" s="56" t="s">
        <v>35</v>
      </c>
      <c r="O309" s="324"/>
    </row>
    <row r="310" ht="15.75" customHeight="1">
      <c r="A310" s="322"/>
      <c r="B310" s="60" t="s">
        <v>40</v>
      </c>
      <c r="C310" s="343">
        <f>'UTL COST'!$B$3</f>
        <v>369000</v>
      </c>
      <c r="D310" s="379">
        <f>'UTL COST'!$C$3</f>
        <v>0.0075</v>
      </c>
      <c r="E310" s="270">
        <v>0.0</v>
      </c>
      <c r="F310" s="324"/>
      <c r="J310" s="322"/>
      <c r="K310" s="60" t="s">
        <v>40</v>
      </c>
      <c r="L310" s="343">
        <f>'UTL COST'!$B$3</f>
        <v>369000</v>
      </c>
      <c r="M310" s="379">
        <f>'UTL COST'!$C$3</f>
        <v>0.0075</v>
      </c>
      <c r="N310" s="76" t="str">
        <f>'UTL COST'!$D$4</f>
        <v>#REF!</v>
      </c>
      <c r="O310" s="324"/>
    </row>
    <row r="311" ht="15.75" customHeight="1">
      <c r="A311" s="322"/>
      <c r="B311" s="75" t="s">
        <v>51</v>
      </c>
      <c r="C311" s="371" t="str">
        <f>'UTL COST'!$B$4</f>
        <v>#REF!</v>
      </c>
      <c r="D311" s="382">
        <f>'UTL COST'!$C$4</f>
        <v>7000</v>
      </c>
      <c r="E311" s="76" t="str">
        <f>'UTL COST'!$D$4</f>
        <v>#REF!</v>
      </c>
      <c r="F311" s="324"/>
      <c r="J311" s="322"/>
      <c r="K311" s="75" t="s">
        <v>51</v>
      </c>
      <c r="L311" s="371" t="str">
        <f>'UTL COST'!$B$4</f>
        <v>#REF!</v>
      </c>
      <c r="M311" s="382">
        <f>'UTL COST'!$C$4</f>
        <v>7000</v>
      </c>
      <c r="N311" s="76" t="str">
        <f>'UTL COST'!$D$4</f>
        <v>#REF!</v>
      </c>
      <c r="O311" s="324"/>
    </row>
    <row r="312" ht="15.75" customHeight="1">
      <c r="A312" s="322"/>
      <c r="B312" s="75" t="s">
        <v>59</v>
      </c>
      <c r="C312" s="371" t="str">
        <f>'UTL COST'!$B$5</f>
        <v>#REF!</v>
      </c>
      <c r="D312" s="382">
        <f>'UTL COST'!$C$5</f>
        <v>45000</v>
      </c>
      <c r="E312" s="76" t="str">
        <f>'UTL COST'!$D$5</f>
        <v>#REF!</v>
      </c>
      <c r="F312" s="324"/>
      <c r="J312" s="322"/>
      <c r="K312" s="75" t="s">
        <v>59</v>
      </c>
      <c r="L312" s="371" t="str">
        <f>'UTL COST'!$B$5</f>
        <v>#REF!</v>
      </c>
      <c r="M312" s="382">
        <f>'UTL COST'!$C$5</f>
        <v>45000</v>
      </c>
      <c r="N312" s="76" t="str">
        <f>'UTL COST'!$D$5</f>
        <v>#REF!</v>
      </c>
      <c r="O312" s="324"/>
    </row>
    <row r="313" ht="15.75" customHeight="1">
      <c r="A313" s="322"/>
      <c r="B313" s="87" t="s">
        <v>78</v>
      </c>
      <c r="C313" s="371" t="str">
        <f>'UTL COST'!$B$6</f>
        <v>#REF!</v>
      </c>
      <c r="D313" s="383">
        <f>'UTL COST'!$C$6</f>
        <v>525</v>
      </c>
      <c r="E313" s="89">
        <v>0.1</v>
      </c>
      <c r="F313" s="324"/>
      <c r="J313" s="322"/>
      <c r="K313" s="87" t="s">
        <v>78</v>
      </c>
      <c r="L313" s="371" t="str">
        <f>'UTL COST'!$B$6</f>
        <v>#REF!</v>
      </c>
      <c r="M313" s="383">
        <f>'UTL COST'!$C$6</f>
        <v>525</v>
      </c>
      <c r="N313" s="89">
        <v>0.1</v>
      </c>
      <c r="O313" s="324"/>
    </row>
    <row r="314" ht="15.75" customHeight="1">
      <c r="A314" s="322"/>
      <c r="B314" s="34" t="s">
        <v>84</v>
      </c>
      <c r="C314" s="102"/>
      <c r="D314" s="102"/>
      <c r="E314" s="104" t="str">
        <f>IF(SUM(E310:E313)=0,"",SUM(E310:E313))</f>
        <v>#REF!</v>
      </c>
      <c r="F314" s="324"/>
      <c r="J314" s="322"/>
      <c r="K314" s="34" t="s">
        <v>84</v>
      </c>
      <c r="L314" s="102"/>
      <c r="M314" s="102"/>
      <c r="N314" s="104" t="str">
        <f>IF(SUM(N310:N313)=0,"",SUM(N310:N313))</f>
        <v>#REF!</v>
      </c>
      <c r="O314" s="324"/>
    </row>
    <row r="315" ht="15.75" customHeight="1">
      <c r="A315" s="322"/>
      <c r="B315" s="360"/>
      <c r="C315" s="360"/>
      <c r="D315" s="360"/>
      <c r="E315" s="361"/>
      <c r="F315" s="324"/>
      <c r="J315" s="322"/>
      <c r="K315" s="360"/>
      <c r="L315" s="360"/>
      <c r="M315" s="360"/>
      <c r="N315" s="361"/>
      <c r="O315" s="324"/>
    </row>
    <row r="316" ht="15.75" customHeight="1"/>
    <row r="317" ht="15.75" customHeight="1"/>
    <row r="318" ht="15.75" customHeight="1"/>
    <row r="319" ht="15.75" customHeight="1">
      <c r="A319" s="447"/>
      <c r="B319" s="447"/>
      <c r="C319" s="447"/>
      <c r="D319" s="447"/>
      <c r="E319" s="448"/>
      <c r="F319" s="449"/>
      <c r="J319" s="447"/>
      <c r="K319" s="447"/>
      <c r="L319" s="447"/>
      <c r="M319" s="447"/>
      <c r="N319" s="448"/>
      <c r="O319" s="449"/>
    </row>
    <row r="320" ht="15.75" customHeight="1">
      <c r="A320" s="322"/>
      <c r="B320" s="325"/>
      <c r="C320" s="322"/>
      <c r="D320" s="322"/>
      <c r="E320" s="323"/>
      <c r="F320" s="326"/>
      <c r="J320" s="322"/>
      <c r="K320" s="325"/>
      <c r="L320" s="322"/>
      <c r="M320" s="322"/>
      <c r="N320" s="323"/>
      <c r="O320" s="326"/>
    </row>
    <row r="321" ht="15.75" customHeight="1">
      <c r="A321" s="322"/>
      <c r="B321" s="327" t="s">
        <v>931</v>
      </c>
      <c r="C321" s="330" t="s">
        <v>584</v>
      </c>
      <c r="D321" s="329"/>
      <c r="E321" s="323"/>
      <c r="F321" s="326"/>
      <c r="J321" s="322"/>
      <c r="K321" s="327" t="s">
        <v>931</v>
      </c>
      <c r="L321" s="330" t="s">
        <v>582</v>
      </c>
      <c r="M321" s="329"/>
      <c r="N321" s="323"/>
      <c r="O321" s="326"/>
    </row>
    <row r="322" ht="15.75" customHeight="1">
      <c r="A322" s="322"/>
      <c r="B322" s="325"/>
      <c r="C322" s="322"/>
      <c r="D322" s="322"/>
      <c r="E322" s="323"/>
      <c r="F322" s="326"/>
      <c r="J322" s="322"/>
      <c r="K322" s="325"/>
      <c r="L322" s="322"/>
      <c r="M322" s="322"/>
      <c r="N322" s="323"/>
      <c r="O322" s="326"/>
    </row>
    <row r="323" ht="15.75" customHeight="1">
      <c r="A323" s="322"/>
      <c r="B323" s="327" t="s">
        <v>935</v>
      </c>
      <c r="C323" s="440"/>
      <c r="D323" s="329"/>
      <c r="E323" s="323">
        <f>C323/90000</f>
        <v>0</v>
      </c>
      <c r="F323" s="326"/>
      <c r="J323" s="322"/>
      <c r="K323" s="327" t="s">
        <v>935</v>
      </c>
      <c r="L323" s="440">
        <v>2100000.0</v>
      </c>
      <c r="M323" s="329"/>
      <c r="N323" s="323">
        <f>L323/90000</f>
        <v>23.33333333</v>
      </c>
      <c r="O323" s="326"/>
    </row>
    <row r="324" ht="15.75" customHeight="1">
      <c r="A324" s="322"/>
      <c r="B324" s="327"/>
      <c r="C324" s="332"/>
      <c r="D324" s="332"/>
      <c r="E324" s="323"/>
      <c r="F324" s="326"/>
      <c r="J324" s="322"/>
      <c r="K324" s="327"/>
      <c r="L324" s="332"/>
      <c r="M324" s="332"/>
      <c r="N324" s="323"/>
      <c r="O324" s="326"/>
    </row>
    <row r="325" ht="15.75" customHeight="1">
      <c r="A325" s="322"/>
      <c r="B325" s="327" t="s">
        <v>939</v>
      </c>
      <c r="C325" s="333" t="str">
        <f>IF(SUM(E337,E352,E360)=0,"",SUM(E337,E352,E360))</f>
        <v>#REF!</v>
      </c>
      <c r="D325" s="321"/>
      <c r="E325" s="323" t="str">
        <f>C325/90000</f>
        <v>#REF!</v>
      </c>
      <c r="F325" s="326"/>
      <c r="J325" s="322"/>
      <c r="K325" s="327" t="s">
        <v>939</v>
      </c>
      <c r="L325" s="333" t="str">
        <f>IF(SUM(N337,N352,N360)=0,"",SUM(N337,N352,N360))</f>
        <v>#REF!</v>
      </c>
      <c r="M325" s="321"/>
      <c r="N325" s="323" t="str">
        <f>L325/90000</f>
        <v>#REF!</v>
      </c>
      <c r="O325" s="326"/>
    </row>
    <row r="326" ht="15.75" customHeight="1">
      <c r="A326" s="322"/>
      <c r="B326" s="327"/>
      <c r="C326" s="334"/>
      <c r="D326" s="334"/>
      <c r="E326" s="323"/>
      <c r="F326" s="326"/>
      <c r="J326" s="322"/>
      <c r="K326" s="327"/>
      <c r="L326" s="334"/>
      <c r="M326" s="334"/>
      <c r="N326" s="323"/>
      <c r="O326" s="326"/>
    </row>
    <row r="327" ht="15.75" customHeight="1">
      <c r="A327" s="322"/>
      <c r="B327" s="327" t="s">
        <v>946</v>
      </c>
      <c r="C327" s="335" t="str">
        <f>IF(C325="","",IF(ISBLANK(C323),"",C325/C323))</f>
        <v>#REF!</v>
      </c>
      <c r="D327" s="321"/>
      <c r="E327" s="323"/>
      <c r="F327" s="326"/>
      <c r="J327" s="322"/>
      <c r="K327" s="327" t="s">
        <v>946</v>
      </c>
      <c r="L327" s="335" t="str">
        <f>IF(L325="","",IF(ISBLANK(L323),"",L325/L323))</f>
        <v>#REF!</v>
      </c>
      <c r="M327" s="321"/>
      <c r="N327" s="323"/>
      <c r="O327" s="326"/>
    </row>
    <row r="328" ht="15.75" customHeight="1">
      <c r="A328" s="322"/>
      <c r="B328" s="327"/>
      <c r="C328" s="334"/>
      <c r="D328" s="334"/>
      <c r="E328" s="323"/>
      <c r="F328" s="326"/>
      <c r="J328" s="322"/>
      <c r="K328" s="327"/>
      <c r="L328" s="334"/>
      <c r="M328" s="334"/>
      <c r="N328" s="323"/>
      <c r="O328" s="326"/>
    </row>
    <row r="329" ht="15.75" customHeight="1">
      <c r="A329" s="322"/>
      <c r="B329" s="327" t="s">
        <v>950</v>
      </c>
      <c r="C329" s="333" t="str">
        <f>C323-C325</f>
        <v>#REF!</v>
      </c>
      <c r="D329" s="321"/>
      <c r="E329" s="323"/>
      <c r="F329" s="326"/>
      <c r="J329" s="322"/>
      <c r="K329" s="327" t="s">
        <v>950</v>
      </c>
      <c r="L329" s="333" t="str">
        <f>L323-L325</f>
        <v>#REF!</v>
      </c>
      <c r="M329" s="321"/>
      <c r="N329" s="323"/>
      <c r="O329" s="326"/>
    </row>
    <row r="330" ht="15.75" customHeight="1">
      <c r="A330" s="322"/>
      <c r="B330" s="322"/>
      <c r="C330" s="322"/>
      <c r="D330" s="322"/>
      <c r="E330" s="323"/>
      <c r="F330" s="324"/>
      <c r="J330" s="322"/>
      <c r="K330" s="322"/>
      <c r="L330" s="322"/>
      <c r="M330" s="322"/>
      <c r="N330" s="323"/>
      <c r="O330" s="324"/>
    </row>
    <row r="331" ht="15.75" customHeight="1">
      <c r="A331" s="322"/>
      <c r="B331" s="322"/>
      <c r="C331" s="322"/>
      <c r="D331" s="322"/>
      <c r="E331" s="337"/>
      <c r="F331" s="324"/>
      <c r="J331" s="322"/>
      <c r="K331" s="322"/>
      <c r="L331" s="322"/>
      <c r="M331" s="322"/>
      <c r="N331" s="337"/>
      <c r="O331" s="324"/>
    </row>
    <row r="332" ht="15.75" customHeight="1">
      <c r="A332" s="322"/>
      <c r="B332" s="338" t="s">
        <v>951</v>
      </c>
      <c r="C332" s="339"/>
      <c r="D332" s="339"/>
      <c r="E332" s="339"/>
      <c r="F332" s="324"/>
      <c r="J332" s="322"/>
      <c r="K332" s="338" t="s">
        <v>951</v>
      </c>
      <c r="L332" s="339"/>
      <c r="M332" s="339"/>
      <c r="N332" s="339"/>
      <c r="O332" s="324"/>
    </row>
    <row r="333" ht="15.75" customHeight="1">
      <c r="A333" s="322"/>
      <c r="B333" s="340" t="s">
        <v>953</v>
      </c>
      <c r="C333" s="341" t="s">
        <v>954</v>
      </c>
      <c r="D333" s="341" t="s">
        <v>955</v>
      </c>
      <c r="E333" s="341" t="s">
        <v>35</v>
      </c>
      <c r="F333" s="324"/>
      <c r="J333" s="322"/>
      <c r="K333" s="340" t="s">
        <v>953</v>
      </c>
      <c r="L333" s="341" t="s">
        <v>954</v>
      </c>
      <c r="M333" s="341" t="s">
        <v>955</v>
      </c>
      <c r="N333" s="341" t="s">
        <v>35</v>
      </c>
      <c r="O333" s="324"/>
    </row>
    <row r="334" ht="15.75" customHeight="1">
      <c r="A334" s="322"/>
      <c r="B334" s="139" t="s">
        <v>1166</v>
      </c>
      <c r="C334" s="344">
        <v>0.4</v>
      </c>
      <c r="D334" s="343">
        <f>'F&amp;B'!F272</f>
        <v>162000</v>
      </c>
      <c r="E334" s="67">
        <f t="shared" ref="E334:E336" si="36">IF(OR(ISBLANK(C334),ISBLANK(D334)),"",D334*C334)</f>
        <v>64800</v>
      </c>
      <c r="F334" s="324"/>
      <c r="J334" s="322"/>
      <c r="K334" s="139" t="s">
        <v>582</v>
      </c>
      <c r="L334" s="344">
        <v>0.25</v>
      </c>
      <c r="M334" s="343">
        <f>'F&amp;B'!F268</f>
        <v>234000</v>
      </c>
      <c r="N334" s="67">
        <f t="shared" ref="N334:N336" si="37">IF(OR(ISBLANK(L334),ISBLANK(M334)),"",M334*L334)</f>
        <v>58500</v>
      </c>
      <c r="O334" s="324"/>
    </row>
    <row r="335" ht="15.75" customHeight="1">
      <c r="A335" s="322"/>
      <c r="B335" s="228" t="s">
        <v>33</v>
      </c>
      <c r="C335" s="344">
        <v>0.2</v>
      </c>
      <c r="D335" s="423" t="str">
        <f>M290</f>
        <v>#REF!</v>
      </c>
      <c r="E335" s="67" t="str">
        <f t="shared" si="36"/>
        <v>#REF!</v>
      </c>
      <c r="F335" s="324"/>
      <c r="J335" s="322"/>
      <c r="K335" s="228" t="s">
        <v>1167</v>
      </c>
      <c r="L335" s="344">
        <v>0.2</v>
      </c>
      <c r="M335" s="423">
        <f>D244</f>
        <v>8860</v>
      </c>
      <c r="N335" s="67">
        <f t="shared" si="37"/>
        <v>1772</v>
      </c>
      <c r="O335" s="324"/>
    </row>
    <row r="336" ht="15.75" customHeight="1">
      <c r="A336" s="322"/>
      <c r="B336" s="406" t="s">
        <v>105</v>
      </c>
      <c r="C336" s="344">
        <v>0.06</v>
      </c>
      <c r="D336" s="423">
        <f>M296</f>
        <v>2661.661085</v>
      </c>
      <c r="E336" s="67">
        <f t="shared" si="36"/>
        <v>159.6996651</v>
      </c>
      <c r="F336" s="324"/>
      <c r="J336" s="322"/>
      <c r="K336" s="406" t="s">
        <v>374</v>
      </c>
      <c r="L336" s="344">
        <v>0.004</v>
      </c>
      <c r="M336" s="423">
        <f>'F&amp;B'!F79/25</f>
        <v>14040</v>
      </c>
      <c r="N336" s="67">
        <f t="shared" si="37"/>
        <v>56.16</v>
      </c>
      <c r="O336" s="324"/>
    </row>
    <row r="337" ht="15.75" customHeight="1">
      <c r="A337" s="322"/>
      <c r="B337" s="338" t="s">
        <v>84</v>
      </c>
      <c r="C337" s="358"/>
      <c r="D337" s="358"/>
      <c r="E337" s="359" t="str">
        <f>IF(SUM(E334:E336)=0,"",SUM(E334:E336))</f>
        <v>#REF!</v>
      </c>
      <c r="F337" s="324"/>
      <c r="J337" s="322"/>
      <c r="K337" s="338"/>
      <c r="L337" s="358"/>
      <c r="M337" s="358"/>
      <c r="N337" s="359">
        <f>IF(SUM(N334:N336)=0,"",SUM(N334:N336))</f>
        <v>60328.16</v>
      </c>
      <c r="O337" s="324"/>
    </row>
    <row r="338" ht="15.75" customHeight="1">
      <c r="A338" s="322"/>
      <c r="B338" s="360"/>
      <c r="C338" s="360"/>
      <c r="D338" s="360"/>
      <c r="E338" s="361"/>
      <c r="F338" s="324"/>
      <c r="J338" s="322"/>
      <c r="K338" s="360"/>
      <c r="L338" s="360"/>
      <c r="M338" s="360"/>
      <c r="N338" s="361"/>
      <c r="O338" s="324"/>
    </row>
    <row r="339" ht="15.75" customHeight="1">
      <c r="A339" s="322"/>
      <c r="B339" s="362" t="s">
        <v>972</v>
      </c>
      <c r="C339" s="363"/>
      <c r="D339" s="363"/>
      <c r="E339" s="363"/>
      <c r="F339" s="324"/>
      <c r="J339" s="322"/>
      <c r="K339" s="362" t="s">
        <v>972</v>
      </c>
      <c r="L339" s="363"/>
      <c r="M339" s="363"/>
      <c r="N339" s="363"/>
      <c r="O339" s="324"/>
    </row>
    <row r="340" ht="15.75" customHeight="1">
      <c r="A340" s="322"/>
      <c r="B340" s="365" t="s">
        <v>953</v>
      </c>
      <c r="C340" s="366" t="s">
        <v>3</v>
      </c>
      <c r="D340" s="366" t="s">
        <v>975</v>
      </c>
      <c r="E340" s="367" t="s">
        <v>35</v>
      </c>
      <c r="F340" s="324"/>
      <c r="J340" s="322"/>
      <c r="K340" s="365" t="s">
        <v>953</v>
      </c>
      <c r="L340" s="366" t="s">
        <v>3</v>
      </c>
      <c r="M340" s="366" t="s">
        <v>975</v>
      </c>
      <c r="N340" s="367" t="s">
        <v>35</v>
      </c>
      <c r="O340" s="324"/>
    </row>
    <row r="341" ht="15.75" customHeight="1">
      <c r="A341" s="322"/>
      <c r="B341" s="368"/>
      <c r="C341" s="366"/>
      <c r="D341" s="366"/>
      <c r="E341" s="368"/>
      <c r="F341" s="324"/>
      <c r="J341" s="322"/>
      <c r="K341" s="368"/>
      <c r="L341" s="366"/>
      <c r="M341" s="366"/>
      <c r="N341" s="368"/>
      <c r="O341" s="324"/>
    </row>
    <row r="342" ht="15.75" customHeight="1">
      <c r="A342" s="322"/>
      <c r="B342" s="139" t="s">
        <v>1041</v>
      </c>
      <c r="C342" s="344">
        <v>1.0</v>
      </c>
      <c r="D342" s="343">
        <f>M297</f>
        <v>563.76</v>
      </c>
      <c r="E342" s="67">
        <f t="shared" ref="E342:E351" si="38">D342*C342</f>
        <v>563.76</v>
      </c>
      <c r="F342" s="324"/>
      <c r="J342" s="322"/>
      <c r="K342" s="139" t="s">
        <v>1169</v>
      </c>
      <c r="L342" s="344">
        <v>1.0</v>
      </c>
      <c r="M342" s="343">
        <f>D343</f>
        <v>3768.104768</v>
      </c>
      <c r="N342" s="67">
        <f t="shared" ref="N342:N351" si="39">M342*L342</f>
        <v>3768.104768</v>
      </c>
      <c r="O342" s="324"/>
    </row>
    <row r="343" ht="15.75" customHeight="1">
      <c r="A343" s="322"/>
      <c r="B343" s="228" t="s">
        <v>1169</v>
      </c>
      <c r="C343" s="405">
        <v>1.0</v>
      </c>
      <c r="D343" s="343">
        <f>M71</f>
        <v>3768.104768</v>
      </c>
      <c r="E343" s="67">
        <f t="shared" si="38"/>
        <v>3768.104768</v>
      </c>
      <c r="F343" s="324"/>
      <c r="J343" s="322"/>
      <c r="K343" s="228"/>
      <c r="L343" s="405"/>
      <c r="M343" s="343" t="str">
        <f t="shared" ref="M343:M345" si="40">V298</f>
        <v/>
      </c>
      <c r="N343" s="67">
        <f t="shared" si="39"/>
        <v>0</v>
      </c>
      <c r="O343" s="324"/>
    </row>
    <row r="344" ht="15.75" customHeight="1">
      <c r="A344" s="322"/>
      <c r="B344" s="228"/>
      <c r="C344" s="405"/>
      <c r="D344" s="343" t="str">
        <f t="shared" ref="D344:D345" si="41">M299</f>
        <v/>
      </c>
      <c r="E344" s="67">
        <f t="shared" si="38"/>
        <v>0</v>
      </c>
      <c r="F344" s="324"/>
      <c r="J344" s="322"/>
      <c r="K344" s="228"/>
      <c r="L344" s="405"/>
      <c r="M344" s="343" t="str">
        <f t="shared" si="40"/>
        <v/>
      </c>
      <c r="N344" s="67">
        <f t="shared" si="39"/>
        <v>0</v>
      </c>
      <c r="O344" s="324"/>
    </row>
    <row r="345" ht="15.75" customHeight="1">
      <c r="A345" s="322"/>
      <c r="B345" s="228"/>
      <c r="C345" s="405"/>
      <c r="D345" s="343" t="str">
        <f t="shared" si="41"/>
        <v/>
      </c>
      <c r="E345" s="67">
        <f t="shared" si="38"/>
        <v>0</v>
      </c>
      <c r="F345" s="324"/>
      <c r="J345" s="322"/>
      <c r="K345" s="228"/>
      <c r="L345" s="405"/>
      <c r="M345" s="343" t="str">
        <f t="shared" si="40"/>
        <v/>
      </c>
      <c r="N345" s="67">
        <f t="shared" si="39"/>
        <v>0</v>
      </c>
      <c r="O345" s="324"/>
    </row>
    <row r="346" ht="15.75" customHeight="1">
      <c r="A346" s="322"/>
      <c r="B346" s="228"/>
      <c r="C346" s="405"/>
      <c r="D346" s="343" t="str">
        <f>SAUCES!L302</f>
        <v/>
      </c>
      <c r="E346" s="67">
        <f t="shared" si="38"/>
        <v>0</v>
      </c>
      <c r="F346" s="324"/>
      <c r="J346" s="322"/>
      <c r="K346" s="228"/>
      <c r="L346" s="405"/>
      <c r="M346" s="343" t="str">
        <f>SAUCES!U302</f>
        <v/>
      </c>
      <c r="N346" s="67">
        <f t="shared" si="39"/>
        <v>0</v>
      </c>
      <c r="O346" s="324"/>
    </row>
    <row r="347" ht="15.75" customHeight="1">
      <c r="A347" s="322"/>
      <c r="B347" s="228"/>
      <c r="C347" s="398"/>
      <c r="D347" s="343" t="str">
        <f>'F&amp;B'!F384</f>
        <v/>
      </c>
      <c r="E347" s="67">
        <f t="shared" si="38"/>
        <v>0</v>
      </c>
      <c r="F347" s="324"/>
      <c r="J347" s="322"/>
      <c r="K347" s="228"/>
      <c r="L347" s="398"/>
      <c r="M347" s="343" t="str">
        <f>'F&amp;B'!M384</f>
        <v/>
      </c>
      <c r="N347" s="67">
        <f t="shared" si="39"/>
        <v>0</v>
      </c>
      <c r="O347" s="324"/>
    </row>
    <row r="348" ht="15.75" customHeight="1">
      <c r="A348" s="322"/>
      <c r="B348" s="345"/>
      <c r="C348" s="398"/>
      <c r="D348" s="343"/>
      <c r="E348" s="67">
        <f t="shared" si="38"/>
        <v>0</v>
      </c>
      <c r="F348" s="324"/>
      <c r="J348" s="322"/>
      <c r="K348" s="345"/>
      <c r="L348" s="398"/>
      <c r="M348" s="343"/>
      <c r="N348" s="67">
        <f t="shared" si="39"/>
        <v>0</v>
      </c>
      <c r="O348" s="324"/>
    </row>
    <row r="349" ht="15.75" customHeight="1">
      <c r="A349" s="322"/>
      <c r="B349" s="348"/>
      <c r="C349" s="346"/>
      <c r="D349" s="343"/>
      <c r="E349" s="67">
        <f t="shared" si="38"/>
        <v>0</v>
      </c>
      <c r="F349" s="324"/>
      <c r="J349" s="322"/>
      <c r="K349" s="348"/>
      <c r="L349" s="346"/>
      <c r="M349" s="343"/>
      <c r="N349" s="67">
        <f t="shared" si="39"/>
        <v>0</v>
      </c>
      <c r="O349" s="324"/>
    </row>
    <row r="350" ht="15.75" customHeight="1">
      <c r="A350" s="322"/>
      <c r="B350" s="348"/>
      <c r="C350" s="346"/>
      <c r="D350" s="343"/>
      <c r="E350" s="67">
        <f t="shared" si="38"/>
        <v>0</v>
      </c>
      <c r="F350" s="324"/>
      <c r="J350" s="322"/>
      <c r="K350" s="348"/>
      <c r="L350" s="346"/>
      <c r="M350" s="343"/>
      <c r="N350" s="67">
        <f t="shared" si="39"/>
        <v>0</v>
      </c>
      <c r="O350" s="324"/>
    </row>
    <row r="351" ht="15.75" customHeight="1">
      <c r="A351" s="322"/>
      <c r="B351" s="354"/>
      <c r="C351" s="355"/>
      <c r="D351" s="343"/>
      <c r="E351" s="67">
        <f t="shared" si="38"/>
        <v>0</v>
      </c>
      <c r="F351" s="324"/>
      <c r="J351" s="322"/>
      <c r="K351" s="354"/>
      <c r="L351" s="355"/>
      <c r="M351" s="343"/>
      <c r="N351" s="67">
        <f t="shared" si="39"/>
        <v>0</v>
      </c>
      <c r="O351" s="324"/>
    </row>
    <row r="352" ht="15.75" customHeight="1">
      <c r="A352" s="322"/>
      <c r="B352" s="362" t="s">
        <v>84</v>
      </c>
      <c r="C352" s="374"/>
      <c r="D352" s="374"/>
      <c r="E352" s="375">
        <f>IF(SUM(E342:E351)=0,"",SUM(E342:E351))</f>
        <v>4331.864768</v>
      </c>
      <c r="F352" s="324"/>
      <c r="J352" s="322"/>
      <c r="K352" s="362" t="s">
        <v>84</v>
      </c>
      <c r="L352" s="374"/>
      <c r="M352" s="374"/>
      <c r="N352" s="375">
        <f>IF(SUM(N342:N351)=0,"",SUM(N342:N351))</f>
        <v>3768.104768</v>
      </c>
      <c r="O352" s="324"/>
    </row>
    <row r="353" ht="15.75" customHeight="1">
      <c r="A353" s="322"/>
      <c r="B353" s="360"/>
      <c r="C353" s="360"/>
      <c r="D353" s="360"/>
      <c r="E353" s="361"/>
      <c r="F353" s="324"/>
      <c r="J353" s="322"/>
      <c r="K353" s="360"/>
      <c r="L353" s="360"/>
      <c r="M353" s="360"/>
      <c r="N353" s="361"/>
      <c r="O353" s="324"/>
    </row>
    <row r="354" ht="15.75" customHeight="1">
      <c r="A354" s="322"/>
      <c r="B354" s="34" t="s">
        <v>17</v>
      </c>
      <c r="C354" s="35"/>
      <c r="D354" s="35"/>
      <c r="E354" s="35"/>
      <c r="F354" s="324"/>
      <c r="J354" s="322"/>
      <c r="K354" s="34" t="s">
        <v>17</v>
      </c>
      <c r="L354" s="35"/>
      <c r="M354" s="35"/>
      <c r="N354" s="35"/>
      <c r="O354" s="324"/>
    </row>
    <row r="355" ht="15.75" customHeight="1">
      <c r="A355" s="322"/>
      <c r="B355" s="52" t="s">
        <v>42</v>
      </c>
      <c r="C355" s="54"/>
      <c r="D355" s="54"/>
      <c r="E355" s="56" t="s">
        <v>35</v>
      </c>
      <c r="F355" s="324"/>
      <c r="J355" s="322"/>
      <c r="K355" s="52" t="s">
        <v>42</v>
      </c>
      <c r="L355" s="54"/>
      <c r="M355" s="54"/>
      <c r="N355" s="56" t="s">
        <v>35</v>
      </c>
      <c r="O355" s="324"/>
    </row>
    <row r="356" ht="15.75" customHeight="1">
      <c r="A356" s="322"/>
      <c r="B356" s="60" t="s">
        <v>40</v>
      </c>
      <c r="C356" s="343">
        <f>'UTL COST'!$B$3</f>
        <v>369000</v>
      </c>
      <c r="D356" s="379">
        <f>'UTL COST'!$C$3</f>
        <v>0.0075</v>
      </c>
      <c r="E356" s="270">
        <v>0.0</v>
      </c>
      <c r="F356" s="324"/>
      <c r="J356" s="322"/>
      <c r="K356" s="60" t="s">
        <v>40</v>
      </c>
      <c r="L356" s="343">
        <f>'UTL COST'!$B$3</f>
        <v>369000</v>
      </c>
      <c r="M356" s="379">
        <f>'UTL COST'!$C$3</f>
        <v>0.0075</v>
      </c>
      <c r="N356" s="270">
        <v>0.0</v>
      </c>
      <c r="O356" s="324"/>
    </row>
    <row r="357" ht="15.75" customHeight="1">
      <c r="A357" s="322"/>
      <c r="B357" s="75" t="s">
        <v>51</v>
      </c>
      <c r="C357" s="371" t="str">
        <f>'UTL COST'!$B$4</f>
        <v>#REF!</v>
      </c>
      <c r="D357" s="382">
        <f>'UTL COST'!$C$4</f>
        <v>7000</v>
      </c>
      <c r="E357" s="76" t="str">
        <f>'UTL COST'!$D$4</f>
        <v>#REF!</v>
      </c>
      <c r="F357" s="324"/>
      <c r="J357" s="322"/>
      <c r="K357" s="75" t="s">
        <v>51</v>
      </c>
      <c r="L357" s="371" t="str">
        <f>'UTL COST'!$B$4</f>
        <v>#REF!</v>
      </c>
      <c r="M357" s="382">
        <f>'UTL COST'!$C$4</f>
        <v>7000</v>
      </c>
      <c r="N357" s="76" t="str">
        <f>'UTL COST'!$D$4</f>
        <v>#REF!</v>
      </c>
      <c r="O357" s="324"/>
    </row>
    <row r="358" ht="15.75" customHeight="1">
      <c r="A358" s="322"/>
      <c r="B358" s="75" t="s">
        <v>59</v>
      </c>
      <c r="C358" s="371" t="str">
        <f>'UTL COST'!$B$5</f>
        <v>#REF!</v>
      </c>
      <c r="D358" s="382">
        <f>'UTL COST'!$C$5</f>
        <v>45000</v>
      </c>
      <c r="E358" s="76" t="str">
        <f>'UTL COST'!$D$5</f>
        <v>#REF!</v>
      </c>
      <c r="F358" s="324"/>
      <c r="J358" s="322"/>
      <c r="K358" s="75" t="s">
        <v>59</v>
      </c>
      <c r="L358" s="371" t="str">
        <f>'UTL COST'!$B$5</f>
        <v>#REF!</v>
      </c>
      <c r="M358" s="382">
        <f>'UTL COST'!$C$5</f>
        <v>45000</v>
      </c>
      <c r="N358" s="76" t="str">
        <f>'UTL COST'!$D$5</f>
        <v>#REF!</v>
      </c>
      <c r="O358" s="324"/>
    </row>
    <row r="359" ht="15.75" customHeight="1">
      <c r="A359" s="322"/>
      <c r="B359" s="87" t="s">
        <v>78</v>
      </c>
      <c r="C359" s="371" t="str">
        <f>'UTL COST'!$B$6</f>
        <v>#REF!</v>
      </c>
      <c r="D359" s="383">
        <f>'UTL COST'!$C$6</f>
        <v>525</v>
      </c>
      <c r="E359" s="89">
        <v>0.1</v>
      </c>
      <c r="F359" s="324"/>
      <c r="J359" s="322"/>
      <c r="K359" s="87" t="s">
        <v>78</v>
      </c>
      <c r="L359" s="371" t="str">
        <f>'UTL COST'!$B$6</f>
        <v>#REF!</v>
      </c>
      <c r="M359" s="383">
        <f>'UTL COST'!$C$6</f>
        <v>525</v>
      </c>
      <c r="N359" s="89">
        <v>0.1</v>
      </c>
      <c r="O359" s="324"/>
    </row>
    <row r="360" ht="15.75" customHeight="1">
      <c r="A360" s="322"/>
      <c r="B360" s="34" t="s">
        <v>84</v>
      </c>
      <c r="C360" s="102"/>
      <c r="D360" s="102"/>
      <c r="E360" s="104" t="str">
        <f>IF(SUM(E356:E359)=0,"",SUM(E356:E359))</f>
        <v>#REF!</v>
      </c>
      <c r="F360" s="324"/>
      <c r="J360" s="322"/>
      <c r="K360" s="34" t="s">
        <v>84</v>
      </c>
      <c r="L360" s="102"/>
      <c r="M360" s="102"/>
      <c r="N360" s="104" t="str">
        <f>IF(SUM(N356:N359)=0,"",SUM(N356:N359))</f>
        <v>#REF!</v>
      </c>
      <c r="O360" s="324"/>
    </row>
    <row r="361" ht="15.75" customHeight="1">
      <c r="A361" s="322"/>
      <c r="B361" s="360"/>
      <c r="C361" s="360"/>
      <c r="D361" s="360"/>
      <c r="E361" s="361"/>
      <c r="F361" s="324"/>
      <c r="J361" s="322"/>
      <c r="K361" s="360"/>
      <c r="L361" s="360"/>
      <c r="M361" s="360"/>
      <c r="N361" s="361"/>
      <c r="O361" s="324"/>
    </row>
    <row r="362" ht="15.75" customHeight="1"/>
    <row r="363" ht="15.75" customHeight="1"/>
    <row r="364" ht="15.75" customHeight="1">
      <c r="A364" s="447"/>
      <c r="B364" s="447"/>
      <c r="C364" s="447"/>
      <c r="D364" s="447"/>
      <c r="E364" s="448"/>
      <c r="F364" s="449"/>
      <c r="G364" s="449"/>
      <c r="J364" s="447"/>
      <c r="K364" s="447"/>
      <c r="L364" s="447"/>
      <c r="M364" s="447"/>
      <c r="N364" s="448"/>
      <c r="O364" s="449"/>
    </row>
    <row r="365" ht="15.75" customHeight="1">
      <c r="A365" s="322"/>
      <c r="B365" s="325"/>
      <c r="C365" s="322"/>
      <c r="D365" s="322"/>
      <c r="E365" s="323"/>
      <c r="F365" s="326"/>
      <c r="G365" s="326"/>
      <c r="J365" s="322"/>
      <c r="K365" s="325"/>
      <c r="L365" s="322"/>
      <c r="M365" s="322"/>
      <c r="N365" s="323"/>
      <c r="O365" s="326"/>
    </row>
    <row r="366" ht="15.75" customHeight="1">
      <c r="A366" s="322"/>
      <c r="B366" s="327" t="s">
        <v>931</v>
      </c>
      <c r="C366" s="330" t="s">
        <v>589</v>
      </c>
      <c r="D366" s="329"/>
      <c r="E366" s="323"/>
      <c r="F366" s="326"/>
      <c r="G366" s="326"/>
      <c r="J366" s="322"/>
      <c r="K366" s="327" t="s">
        <v>931</v>
      </c>
      <c r="L366" s="330" t="s">
        <v>1177</v>
      </c>
      <c r="M366" s="329"/>
      <c r="N366" s="323"/>
      <c r="O366" s="326"/>
    </row>
    <row r="367" ht="15.75" customHeight="1">
      <c r="A367" s="322"/>
      <c r="B367" s="325"/>
      <c r="C367" s="322"/>
      <c r="D367" s="322"/>
      <c r="E367" s="323"/>
      <c r="F367" s="326"/>
      <c r="G367" s="326"/>
      <c r="J367" s="322"/>
      <c r="K367" s="325"/>
      <c r="L367" s="322"/>
      <c r="M367" s="322"/>
      <c r="N367" s="323"/>
      <c r="O367" s="326"/>
    </row>
    <row r="368" ht="15.75" customHeight="1">
      <c r="A368" s="322"/>
      <c r="B368" s="327" t="s">
        <v>935</v>
      </c>
      <c r="C368" s="440">
        <v>2100000.0</v>
      </c>
      <c r="D368" s="329"/>
      <c r="E368" s="323"/>
      <c r="F368" s="326"/>
      <c r="G368" s="326"/>
      <c r="J368" s="322"/>
      <c r="K368" s="327" t="s">
        <v>935</v>
      </c>
      <c r="L368" s="440">
        <v>1550000.0</v>
      </c>
      <c r="M368" s="329"/>
      <c r="N368" s="323"/>
      <c r="O368" s="326"/>
    </row>
    <row r="369" ht="15.75" customHeight="1">
      <c r="A369" s="322"/>
      <c r="B369" s="327"/>
      <c r="C369" s="332"/>
      <c r="D369" s="332"/>
      <c r="E369" s="323"/>
      <c r="F369" s="326"/>
      <c r="G369" s="326"/>
      <c r="J369" s="322"/>
      <c r="K369" s="327"/>
      <c r="L369" s="332"/>
      <c r="M369" s="332"/>
      <c r="N369" s="323"/>
      <c r="O369" s="326"/>
    </row>
    <row r="370" ht="15.75" customHeight="1">
      <c r="A370" s="322"/>
      <c r="B370" s="327" t="s">
        <v>939</v>
      </c>
      <c r="C370" s="333" t="str">
        <f>IF(SUM(E382,E397,E405)=0,"",SUM(E382,E397,E405))</f>
        <v>#REF!</v>
      </c>
      <c r="D370" s="321"/>
      <c r="E370" s="323"/>
      <c r="F370" s="326"/>
      <c r="G370" s="326"/>
      <c r="J370" s="322"/>
      <c r="K370" s="327" t="s">
        <v>939</v>
      </c>
      <c r="L370" s="333" t="str">
        <f>IF(SUM(N382,N397,N405)=0,"",SUM(N382,N397,N405))</f>
        <v>#REF!</v>
      </c>
      <c r="M370" s="321"/>
      <c r="N370" s="323"/>
      <c r="O370" s="326"/>
    </row>
    <row r="371" ht="15.75" customHeight="1">
      <c r="A371" s="322"/>
      <c r="B371" s="327"/>
      <c r="C371" s="334"/>
      <c r="D371" s="334"/>
      <c r="E371" s="323"/>
      <c r="F371" s="326" t="str">
        <f>C370/90000</f>
        <v>#REF!</v>
      </c>
      <c r="G371" s="326"/>
      <c r="J371" s="322"/>
      <c r="K371" s="327"/>
      <c r="L371" s="334"/>
      <c r="M371" s="334"/>
      <c r="N371" s="323"/>
      <c r="O371" s="415" t="str">
        <f>L370/90000</f>
        <v>#REF!</v>
      </c>
    </row>
    <row r="372" ht="15.75" customHeight="1">
      <c r="A372" s="322"/>
      <c r="B372" s="327" t="s">
        <v>946</v>
      </c>
      <c r="C372" s="335" t="str">
        <f>IF(C370="","",IF(ISBLANK(C368),"",C370/C368))</f>
        <v>#REF!</v>
      </c>
      <c r="D372" s="321"/>
      <c r="E372" s="323"/>
      <c r="F372" s="326"/>
      <c r="G372" s="326"/>
      <c r="J372" s="322"/>
      <c r="K372" s="327" t="s">
        <v>946</v>
      </c>
      <c r="L372" s="335" t="str">
        <f>IF(L370="","",IF(ISBLANK(L368),"",L370/L368))</f>
        <v>#REF!</v>
      </c>
      <c r="M372" s="321"/>
      <c r="N372" s="323"/>
      <c r="O372" s="326"/>
    </row>
    <row r="373" ht="15.75" customHeight="1">
      <c r="A373" s="322"/>
      <c r="B373" s="327"/>
      <c r="C373" s="334"/>
      <c r="D373" s="334"/>
      <c r="E373" s="323"/>
      <c r="F373" s="326"/>
      <c r="G373" s="326"/>
      <c r="J373" s="322"/>
      <c r="K373" s="327"/>
      <c r="L373" s="334"/>
      <c r="M373" s="334"/>
      <c r="N373" s="323"/>
      <c r="O373" s="326"/>
    </row>
    <row r="374" ht="15.75" customHeight="1">
      <c r="A374" s="322"/>
      <c r="B374" s="327" t="s">
        <v>950</v>
      </c>
      <c r="C374" s="333" t="str">
        <f>C368-C370</f>
        <v>#REF!</v>
      </c>
      <c r="D374" s="321"/>
      <c r="E374" s="323"/>
      <c r="F374" s="326"/>
      <c r="G374" s="326"/>
      <c r="J374" s="322"/>
      <c r="K374" s="327" t="s">
        <v>950</v>
      </c>
      <c r="L374" s="333" t="str">
        <f>L368-L370</f>
        <v>#REF!</v>
      </c>
      <c r="M374" s="321"/>
      <c r="N374" s="323"/>
      <c r="O374" s="326"/>
    </row>
    <row r="375" ht="15.75" customHeight="1">
      <c r="A375" s="322"/>
      <c r="B375" s="322"/>
      <c r="C375" s="322"/>
      <c r="D375" s="322"/>
      <c r="E375" s="323"/>
      <c r="F375" s="324"/>
      <c r="G375" s="324"/>
      <c r="J375" s="322"/>
      <c r="K375" s="322"/>
      <c r="L375" s="322"/>
      <c r="M375" s="322"/>
      <c r="N375" s="323"/>
      <c r="O375" s="324"/>
    </row>
    <row r="376" ht="15.75" customHeight="1">
      <c r="A376" s="322"/>
      <c r="B376" s="322"/>
      <c r="C376" s="322"/>
      <c r="D376" s="322"/>
      <c r="E376" s="337"/>
      <c r="F376" s="324"/>
      <c r="G376" s="324"/>
      <c r="J376" s="322"/>
      <c r="K376" s="322"/>
      <c r="L376" s="322"/>
      <c r="M376" s="322"/>
      <c r="N376" s="337"/>
      <c r="O376" s="324"/>
    </row>
    <row r="377" ht="15.75" customHeight="1">
      <c r="A377" s="322"/>
      <c r="B377" s="338" t="s">
        <v>951</v>
      </c>
      <c r="C377" s="339"/>
      <c r="D377" s="339"/>
      <c r="E377" s="339"/>
      <c r="F377" s="324"/>
      <c r="G377" s="324"/>
      <c r="J377" s="322"/>
      <c r="K377" s="338" t="s">
        <v>951</v>
      </c>
      <c r="L377" s="339"/>
      <c r="M377" s="339"/>
      <c r="N377" s="339"/>
      <c r="O377" s="324"/>
    </row>
    <row r="378" ht="15.75" customHeight="1">
      <c r="A378" s="322"/>
      <c r="B378" s="340" t="s">
        <v>953</v>
      </c>
      <c r="C378" s="341" t="s">
        <v>954</v>
      </c>
      <c r="D378" s="341" t="s">
        <v>955</v>
      </c>
      <c r="E378" s="341" t="s">
        <v>35</v>
      </c>
      <c r="F378" s="324"/>
      <c r="G378" s="324"/>
      <c r="J378" s="322"/>
      <c r="K378" s="340" t="s">
        <v>953</v>
      </c>
      <c r="L378" s="341" t="s">
        <v>954</v>
      </c>
      <c r="M378" s="341" t="s">
        <v>955</v>
      </c>
      <c r="N378" s="341" t="s">
        <v>35</v>
      </c>
      <c r="O378" s="324"/>
    </row>
    <row r="379" ht="15.75" customHeight="1">
      <c r="A379" s="322"/>
      <c r="B379" s="139" t="s">
        <v>1183</v>
      </c>
      <c r="C379" s="344">
        <v>0.22</v>
      </c>
      <c r="D379" s="343">
        <f>D153</f>
        <v>198000</v>
      </c>
      <c r="E379" s="67">
        <f t="shared" ref="E379:E381" si="42">IF(OR(ISBLANK(C379),ISBLANK(D379)),"",D379*C379)</f>
        <v>43560</v>
      </c>
      <c r="F379" s="324"/>
      <c r="G379" s="324"/>
      <c r="J379" s="322"/>
      <c r="K379" s="139" t="s">
        <v>1184</v>
      </c>
      <c r="L379" s="344">
        <v>0.24</v>
      </c>
      <c r="M379" s="343">
        <f>'F&amp;B'!F212</f>
        <v>117000</v>
      </c>
      <c r="N379" s="67">
        <f t="shared" ref="N379:N381" si="43">IF(OR(ISBLANK(L379),ISBLANK(M379)),"",M379*L379)</f>
        <v>28080</v>
      </c>
      <c r="O379" s="324"/>
    </row>
    <row r="380" ht="15.75" customHeight="1">
      <c r="A380" s="322"/>
      <c r="B380" s="75" t="s">
        <v>33</v>
      </c>
      <c r="C380" s="398">
        <v>0.2</v>
      </c>
      <c r="D380" s="371" t="str">
        <f>D335</f>
        <v>#REF!</v>
      </c>
      <c r="E380" s="67" t="str">
        <f t="shared" si="42"/>
        <v>#REF!</v>
      </c>
      <c r="F380" s="324"/>
      <c r="G380" s="324"/>
      <c r="J380" s="322"/>
      <c r="K380" s="75" t="s">
        <v>33</v>
      </c>
      <c r="L380" s="398">
        <v>0.2</v>
      </c>
      <c r="M380" s="371" t="str">
        <f>D380</f>
        <v>#REF!</v>
      </c>
      <c r="N380" s="67" t="str">
        <f t="shared" si="43"/>
        <v>#REF!</v>
      </c>
      <c r="O380" s="324"/>
    </row>
    <row r="381" ht="15.75" customHeight="1">
      <c r="A381" s="322"/>
      <c r="B381" s="406" t="s">
        <v>1169</v>
      </c>
      <c r="C381" s="351">
        <v>1.0</v>
      </c>
      <c r="D381" s="371">
        <f>M342</f>
        <v>3768.104768</v>
      </c>
      <c r="E381" s="67">
        <f t="shared" si="42"/>
        <v>3768.104768</v>
      </c>
      <c r="F381" s="324"/>
      <c r="G381" s="324"/>
      <c r="J381" s="322"/>
      <c r="K381" s="406" t="s">
        <v>838</v>
      </c>
      <c r="L381" s="351">
        <v>1.0</v>
      </c>
      <c r="M381" s="371">
        <f>D388</f>
        <v>19681.11067</v>
      </c>
      <c r="N381" s="67">
        <f t="shared" si="43"/>
        <v>19681.11067</v>
      </c>
      <c r="O381" s="324"/>
    </row>
    <row r="382" ht="15.75" customHeight="1">
      <c r="A382" s="322"/>
      <c r="B382" s="338" t="s">
        <v>84</v>
      </c>
      <c r="C382" s="358"/>
      <c r="D382" s="358"/>
      <c r="E382" s="359" t="str">
        <f>IF(SUM(E379:E381)=0,"",SUM(E379:E381))</f>
        <v>#REF!</v>
      </c>
      <c r="F382" s="324"/>
      <c r="G382" s="324"/>
      <c r="J382" s="322"/>
      <c r="K382" s="338" t="s">
        <v>84</v>
      </c>
      <c r="L382" s="358"/>
      <c r="M382" s="358"/>
      <c r="N382" s="359" t="str">
        <f>IF(SUM(N379:N381)=0,"",SUM(N379:N381))</f>
        <v>#REF!</v>
      </c>
      <c r="O382" s="324"/>
    </row>
    <row r="383" ht="15.75" customHeight="1">
      <c r="A383" s="322"/>
      <c r="B383" s="360"/>
      <c r="C383" s="360"/>
      <c r="D383" s="360"/>
      <c r="E383" s="361"/>
      <c r="F383" s="324"/>
      <c r="G383" s="324"/>
      <c r="J383" s="322"/>
      <c r="K383" s="360"/>
      <c r="L383" s="360"/>
      <c r="M383" s="360"/>
      <c r="N383" s="361"/>
      <c r="O383" s="324"/>
    </row>
    <row r="384" ht="15.75" customHeight="1">
      <c r="A384" s="322"/>
      <c r="B384" s="362" t="s">
        <v>972</v>
      </c>
      <c r="C384" s="363"/>
      <c r="D384" s="363"/>
      <c r="E384" s="363"/>
      <c r="F384" s="324"/>
      <c r="G384" s="324"/>
      <c r="J384" s="322"/>
      <c r="K384" s="362" t="s">
        <v>972</v>
      </c>
      <c r="L384" s="363"/>
      <c r="M384" s="363"/>
      <c r="N384" s="363"/>
      <c r="O384" s="324"/>
    </row>
    <row r="385" ht="15.75" customHeight="1">
      <c r="A385" s="322"/>
      <c r="B385" s="365" t="s">
        <v>953</v>
      </c>
      <c r="C385" s="366" t="s">
        <v>3</v>
      </c>
      <c r="D385" s="366" t="s">
        <v>975</v>
      </c>
      <c r="E385" s="367" t="s">
        <v>35</v>
      </c>
      <c r="F385" s="324"/>
      <c r="G385" s="324"/>
      <c r="J385" s="322"/>
      <c r="K385" s="365" t="s">
        <v>953</v>
      </c>
      <c r="L385" s="366" t="s">
        <v>3</v>
      </c>
      <c r="M385" s="366" t="s">
        <v>975</v>
      </c>
      <c r="N385" s="367" t="s">
        <v>35</v>
      </c>
      <c r="O385" s="324"/>
    </row>
    <row r="386" ht="15.75" customHeight="1">
      <c r="A386" s="322"/>
      <c r="B386" s="368"/>
      <c r="C386" s="366"/>
      <c r="D386" s="366"/>
      <c r="E386" s="368"/>
      <c r="F386" s="324"/>
      <c r="G386" s="324"/>
      <c r="J386" s="322"/>
      <c r="K386" s="368"/>
      <c r="L386" s="366"/>
      <c r="M386" s="366"/>
      <c r="N386" s="368"/>
      <c r="O386" s="324"/>
    </row>
    <row r="387" ht="15.75" customHeight="1">
      <c r="A387" s="322"/>
      <c r="B387" s="228" t="s">
        <v>1185</v>
      </c>
      <c r="C387" s="405">
        <v>0.025</v>
      </c>
      <c r="D387" s="343">
        <f>'F&amp;B'!F85</f>
        <v>129150</v>
      </c>
      <c r="E387" s="67">
        <f t="shared" ref="E387:E390" si="44">D387*C387</f>
        <v>3228.75</v>
      </c>
      <c r="F387" s="324"/>
      <c r="G387" s="324"/>
      <c r="J387" s="322"/>
      <c r="K387" s="165" t="s">
        <v>1169</v>
      </c>
      <c r="L387" s="405">
        <v>1.0</v>
      </c>
      <c r="M387" s="343">
        <f>D381</f>
        <v>3768.104768</v>
      </c>
      <c r="N387" s="67">
        <f t="shared" ref="N387:N396" si="45">M387*L387</f>
        <v>3768.104768</v>
      </c>
      <c r="O387" s="324"/>
    </row>
    <row r="388" ht="15.75" customHeight="1">
      <c r="A388" s="322"/>
      <c r="B388" s="228" t="s">
        <v>838</v>
      </c>
      <c r="C388" s="405">
        <v>1.0</v>
      </c>
      <c r="D388" s="371">
        <f>M254</f>
        <v>19681.11067</v>
      </c>
      <c r="E388" s="67">
        <f t="shared" si="44"/>
        <v>19681.11067</v>
      </c>
      <c r="F388" s="324"/>
      <c r="G388" s="324"/>
      <c r="J388" s="322"/>
      <c r="K388" s="228"/>
      <c r="L388" s="405"/>
      <c r="M388" s="371"/>
      <c r="N388" s="67">
        <f t="shared" si="45"/>
        <v>0</v>
      </c>
      <c r="O388" s="324"/>
    </row>
    <row r="389" ht="15.75" customHeight="1">
      <c r="A389" s="322"/>
      <c r="B389" s="228" t="s">
        <v>1033</v>
      </c>
      <c r="C389" s="405">
        <v>0.004</v>
      </c>
      <c r="D389" s="371">
        <f>'F&amp;B'!F278</f>
        <v>103500</v>
      </c>
      <c r="E389" s="67">
        <f t="shared" si="44"/>
        <v>414</v>
      </c>
      <c r="F389" s="324"/>
      <c r="G389" s="324"/>
      <c r="J389" s="322"/>
      <c r="K389" s="228"/>
      <c r="L389" s="405"/>
      <c r="M389" s="371"/>
      <c r="N389" s="67">
        <f t="shared" si="45"/>
        <v>0</v>
      </c>
      <c r="O389" s="324"/>
    </row>
    <row r="390" ht="15.75" customHeight="1">
      <c r="A390" s="322"/>
      <c r="B390" s="75"/>
      <c r="C390" s="370"/>
      <c r="D390" s="371"/>
      <c r="E390" s="67">
        <f t="shared" si="44"/>
        <v>0</v>
      </c>
      <c r="F390" s="324"/>
      <c r="G390" s="324"/>
      <c r="J390" s="322"/>
      <c r="K390" s="75"/>
      <c r="L390" s="370"/>
      <c r="M390" s="371"/>
      <c r="N390" s="67">
        <f t="shared" si="45"/>
        <v>0</v>
      </c>
      <c r="O390" s="324"/>
    </row>
    <row r="391" ht="15.75" customHeight="1">
      <c r="A391" s="322"/>
      <c r="F391" s="324"/>
      <c r="G391" s="324"/>
      <c r="J391" s="322"/>
      <c r="N391" s="67">
        <f t="shared" si="45"/>
        <v>0</v>
      </c>
      <c r="O391" s="324"/>
    </row>
    <row r="392" ht="15.75" customHeight="1">
      <c r="A392" s="322"/>
      <c r="B392" s="429"/>
      <c r="C392" s="370"/>
      <c r="D392" s="371"/>
      <c r="E392" s="67">
        <f t="shared" ref="E392:E396" si="46">D392*C392</f>
        <v>0</v>
      </c>
      <c r="F392" s="324"/>
      <c r="G392" s="324"/>
      <c r="J392" s="322"/>
      <c r="K392" s="429"/>
      <c r="L392" s="228"/>
      <c r="M392" s="371"/>
      <c r="N392" s="67">
        <f t="shared" si="45"/>
        <v>0</v>
      </c>
      <c r="O392" s="324"/>
    </row>
    <row r="393" ht="15.75" customHeight="1">
      <c r="A393" s="322"/>
      <c r="B393" s="348"/>
      <c r="C393" s="346"/>
      <c r="D393" s="373"/>
      <c r="E393" s="67">
        <f t="shared" si="46"/>
        <v>0</v>
      </c>
      <c r="F393" s="324"/>
      <c r="G393" s="324"/>
      <c r="J393" s="322"/>
      <c r="K393" s="348"/>
      <c r="L393" s="346"/>
      <c r="M393" s="373"/>
      <c r="N393" s="67">
        <f t="shared" si="45"/>
        <v>0</v>
      </c>
      <c r="O393" s="324"/>
    </row>
    <row r="394" ht="15.75" customHeight="1">
      <c r="A394" s="322"/>
      <c r="B394" s="348"/>
      <c r="C394" s="346"/>
      <c r="D394" s="373"/>
      <c r="E394" s="67">
        <f t="shared" si="46"/>
        <v>0</v>
      </c>
      <c r="F394" s="324"/>
      <c r="G394" s="324"/>
      <c r="J394" s="322"/>
      <c r="K394" s="348"/>
      <c r="L394" s="346"/>
      <c r="M394" s="373"/>
      <c r="N394" s="67">
        <f t="shared" si="45"/>
        <v>0</v>
      </c>
      <c r="O394" s="324"/>
    </row>
    <row r="395" ht="15.75" customHeight="1">
      <c r="A395" s="322"/>
      <c r="B395" s="348"/>
      <c r="C395" s="346"/>
      <c r="D395" s="373"/>
      <c r="E395" s="67">
        <f t="shared" si="46"/>
        <v>0</v>
      </c>
      <c r="F395" s="324"/>
      <c r="G395" s="324"/>
      <c r="J395" s="322"/>
      <c r="K395" s="348"/>
      <c r="L395" s="346"/>
      <c r="M395" s="373"/>
      <c r="N395" s="67">
        <f t="shared" si="45"/>
        <v>0</v>
      </c>
      <c r="O395" s="324"/>
    </row>
    <row r="396" ht="15.75" customHeight="1">
      <c r="A396" s="322"/>
      <c r="B396" s="354"/>
      <c r="C396" s="355"/>
      <c r="D396" s="356"/>
      <c r="E396" s="67">
        <f t="shared" si="46"/>
        <v>0</v>
      </c>
      <c r="F396" s="324"/>
      <c r="G396" s="324"/>
      <c r="J396" s="322"/>
      <c r="K396" s="354"/>
      <c r="L396" s="355"/>
      <c r="M396" s="356"/>
      <c r="N396" s="67">
        <f t="shared" si="45"/>
        <v>0</v>
      </c>
      <c r="O396" s="324"/>
    </row>
    <row r="397" ht="15.75" customHeight="1">
      <c r="A397" s="322"/>
      <c r="B397" s="362" t="s">
        <v>84</v>
      </c>
      <c r="C397" s="374"/>
      <c r="D397" s="374"/>
      <c r="E397" s="375">
        <f>IF(SUM(E387:E396)=0,"",SUM(E387:E396))</f>
        <v>23323.86067</v>
      </c>
      <c r="F397" s="324"/>
      <c r="G397" s="324"/>
      <c r="J397" s="322"/>
      <c r="K397" s="362" t="s">
        <v>84</v>
      </c>
      <c r="L397" s="374"/>
      <c r="M397" s="374"/>
      <c r="N397" s="375">
        <f>IF(SUM(N387:N396)=0,"",SUM(N387:N396))</f>
        <v>3768.104768</v>
      </c>
      <c r="O397" s="324"/>
    </row>
    <row r="398" ht="15.75" customHeight="1">
      <c r="A398" s="322"/>
      <c r="B398" s="360"/>
      <c r="C398" s="360"/>
      <c r="D398" s="360"/>
      <c r="E398" s="361"/>
      <c r="F398" s="324"/>
      <c r="G398" s="324"/>
      <c r="J398" s="322"/>
      <c r="K398" s="360"/>
      <c r="L398" s="360"/>
      <c r="M398" s="360"/>
      <c r="N398" s="361"/>
      <c r="O398" s="324"/>
    </row>
    <row r="399" ht="15.75" customHeight="1">
      <c r="A399" s="322"/>
      <c r="B399" s="34" t="s">
        <v>17</v>
      </c>
      <c r="C399" s="35"/>
      <c r="D399" s="35"/>
      <c r="E399" s="35"/>
      <c r="F399" s="324"/>
      <c r="G399" s="324"/>
      <c r="J399" s="322"/>
      <c r="K399" s="34" t="s">
        <v>17</v>
      </c>
      <c r="L399" s="35"/>
      <c r="M399" s="35"/>
      <c r="N399" s="35"/>
      <c r="O399" s="324"/>
    </row>
    <row r="400" ht="15.75" customHeight="1">
      <c r="A400" s="322"/>
      <c r="B400" s="52" t="s">
        <v>42</v>
      </c>
      <c r="C400" s="54"/>
      <c r="D400" s="54"/>
      <c r="E400" s="56" t="s">
        <v>35</v>
      </c>
      <c r="F400" s="324"/>
      <c r="G400" s="324"/>
      <c r="J400" s="322"/>
      <c r="K400" s="52" t="s">
        <v>42</v>
      </c>
      <c r="L400" s="54"/>
      <c r="M400" s="54"/>
      <c r="N400" s="56" t="s">
        <v>35</v>
      </c>
      <c r="O400" s="324"/>
    </row>
    <row r="401" ht="15.75" customHeight="1">
      <c r="A401" s="322"/>
      <c r="B401" s="60" t="s">
        <v>40</v>
      </c>
      <c r="C401" s="343">
        <f>'UTL COST'!$B$3</f>
        <v>369000</v>
      </c>
      <c r="D401" s="379">
        <f>'UTL COST'!$C$3</f>
        <v>0.0075</v>
      </c>
      <c r="E401" s="67">
        <f>'UTL COST'!$D$3</f>
        <v>2767.5</v>
      </c>
      <c r="F401" s="324"/>
      <c r="G401" s="324"/>
      <c r="J401" s="322"/>
      <c r="K401" s="60" t="s">
        <v>40</v>
      </c>
      <c r="L401" s="343">
        <f>'UTL COST'!$B$3</f>
        <v>369000</v>
      </c>
      <c r="M401" s="379">
        <f>'UTL COST'!$C$3</f>
        <v>0.0075</v>
      </c>
      <c r="N401" s="67">
        <f>'UTL COST'!$D$3</f>
        <v>2767.5</v>
      </c>
      <c r="O401" s="324"/>
    </row>
    <row r="402" ht="15.75" customHeight="1">
      <c r="A402" s="322"/>
      <c r="B402" s="75" t="s">
        <v>51</v>
      </c>
      <c r="C402" s="371" t="str">
        <f>'UTL COST'!$B$4</f>
        <v>#REF!</v>
      </c>
      <c r="D402" s="382">
        <f>'UTL COST'!$C$4</f>
        <v>7000</v>
      </c>
      <c r="E402" s="76" t="str">
        <f>'UTL COST'!$D$4</f>
        <v>#REF!</v>
      </c>
      <c r="F402" s="324"/>
      <c r="G402" s="324"/>
      <c r="J402" s="322"/>
      <c r="K402" s="75" t="s">
        <v>51</v>
      </c>
      <c r="L402" s="371" t="str">
        <f>'UTL COST'!$B$4</f>
        <v>#REF!</v>
      </c>
      <c r="M402" s="382">
        <f>'UTL COST'!$C$4</f>
        <v>7000</v>
      </c>
      <c r="N402" s="76" t="str">
        <f>'UTL COST'!$D$4</f>
        <v>#REF!</v>
      </c>
      <c r="O402" s="324"/>
    </row>
    <row r="403" ht="15.75" customHeight="1">
      <c r="A403" s="322"/>
      <c r="B403" s="75" t="s">
        <v>59</v>
      </c>
      <c r="C403" s="371" t="str">
        <f>'UTL COST'!$B$5</f>
        <v>#REF!</v>
      </c>
      <c r="D403" s="382">
        <f>'UTL COST'!$C$5</f>
        <v>45000</v>
      </c>
      <c r="E403" s="76" t="str">
        <f>'UTL COST'!$D$5</f>
        <v>#REF!</v>
      </c>
      <c r="F403" s="324"/>
      <c r="G403" s="324"/>
      <c r="J403" s="322"/>
      <c r="K403" s="75" t="s">
        <v>59</v>
      </c>
      <c r="L403" s="371" t="str">
        <f>'UTL COST'!$B$5</f>
        <v>#REF!</v>
      </c>
      <c r="M403" s="382">
        <f>'UTL COST'!$C$5</f>
        <v>45000</v>
      </c>
      <c r="N403" s="76" t="str">
        <f>'UTL COST'!$D$5</f>
        <v>#REF!</v>
      </c>
      <c r="O403" s="324"/>
    </row>
    <row r="404" ht="15.75" customHeight="1">
      <c r="A404" s="322"/>
      <c r="B404" s="87" t="s">
        <v>78</v>
      </c>
      <c r="C404" s="371" t="str">
        <f>'UTL COST'!$B$6</f>
        <v>#REF!</v>
      </c>
      <c r="D404" s="383">
        <f>'UTL COST'!$C$6</f>
        <v>525</v>
      </c>
      <c r="E404" s="89">
        <v>0.1</v>
      </c>
      <c r="F404" s="324"/>
      <c r="G404" s="324"/>
      <c r="J404" s="322"/>
      <c r="K404" s="87" t="s">
        <v>78</v>
      </c>
      <c r="L404" s="371" t="str">
        <f>'UTL COST'!$B$6</f>
        <v>#REF!</v>
      </c>
      <c r="M404" s="383">
        <f>'UTL COST'!$C$6</f>
        <v>525</v>
      </c>
      <c r="N404" s="89">
        <v>0.1</v>
      </c>
      <c r="O404" s="324"/>
    </row>
    <row r="405" ht="15.75" customHeight="1">
      <c r="A405" s="322"/>
      <c r="B405" s="34" t="s">
        <v>84</v>
      </c>
      <c r="C405" s="102"/>
      <c r="D405" s="102"/>
      <c r="E405" s="104" t="str">
        <f>IF(SUM(E401:E404)=0,"",SUM(E401:E404))</f>
        <v>#REF!</v>
      </c>
      <c r="F405" s="324"/>
      <c r="G405" s="324"/>
      <c r="J405" s="322"/>
      <c r="K405" s="34" t="s">
        <v>84</v>
      </c>
      <c r="L405" s="102"/>
      <c r="M405" s="102"/>
      <c r="N405" s="104" t="str">
        <f>IF(SUM(N401:N404)=0,"",SUM(N401:N404))</f>
        <v>#REF!</v>
      </c>
      <c r="O405" s="324"/>
    </row>
    <row r="406" ht="15.75" customHeight="1">
      <c r="A406" s="322"/>
      <c r="B406" s="360"/>
      <c r="C406" s="360"/>
      <c r="D406" s="360"/>
      <c r="E406" s="361"/>
      <c r="F406" s="324"/>
      <c r="G406" s="324"/>
      <c r="J406" s="322"/>
      <c r="K406" s="360"/>
      <c r="L406" s="360"/>
      <c r="M406" s="360"/>
      <c r="N406" s="361"/>
      <c r="O406" s="324"/>
    </row>
    <row r="407" ht="15.75" customHeight="1"/>
    <row r="408" ht="15.75" customHeight="1"/>
    <row r="409" ht="15.75" customHeight="1">
      <c r="A409" s="447"/>
      <c r="B409" s="447"/>
      <c r="C409" s="447"/>
      <c r="D409" s="447"/>
      <c r="E409" s="448"/>
      <c r="F409" s="449"/>
    </row>
    <row r="410" ht="15.75" customHeight="1">
      <c r="A410" s="322"/>
      <c r="B410" s="325"/>
      <c r="C410" s="322"/>
      <c r="D410" s="322"/>
      <c r="E410" s="323"/>
      <c r="F410" s="326"/>
    </row>
    <row r="411" ht="15.75" customHeight="1">
      <c r="A411" s="322"/>
      <c r="B411" s="327" t="s">
        <v>931</v>
      </c>
      <c r="C411" s="330" t="s">
        <v>1189</v>
      </c>
      <c r="D411" s="329"/>
      <c r="E411" s="323"/>
      <c r="F411" s="326"/>
    </row>
    <row r="412" ht="15.75" customHeight="1">
      <c r="A412" s="322"/>
      <c r="B412" s="325"/>
      <c r="C412" s="322"/>
      <c r="D412" s="322"/>
      <c r="E412" s="323"/>
      <c r="F412" s="326"/>
    </row>
    <row r="413" ht="15.75" customHeight="1">
      <c r="A413" s="322"/>
      <c r="B413" s="327" t="s">
        <v>935</v>
      </c>
      <c r="C413" s="331">
        <v>250000.0</v>
      </c>
      <c r="D413" s="329"/>
      <c r="E413" s="323"/>
      <c r="F413" s="326"/>
    </row>
    <row r="414" ht="15.75" customHeight="1">
      <c r="A414" s="322"/>
      <c r="B414" s="327"/>
      <c r="C414" s="332"/>
      <c r="D414" s="332"/>
      <c r="E414" s="323"/>
      <c r="F414" s="326"/>
    </row>
    <row r="415" ht="15.75" customHeight="1">
      <c r="A415" s="322"/>
      <c r="B415" s="327" t="s">
        <v>939</v>
      </c>
      <c r="C415" s="333" t="str">
        <f>IF(SUM(E427,E442,E450)=0,"",SUM(E427,E442,E450))</f>
        <v>#REF!</v>
      </c>
      <c r="D415" s="321"/>
      <c r="E415" s="323"/>
      <c r="F415" s="326"/>
    </row>
    <row r="416" ht="15.75" customHeight="1">
      <c r="A416" s="322"/>
      <c r="B416" s="327"/>
      <c r="C416" s="334"/>
      <c r="D416" s="334"/>
      <c r="E416" s="323"/>
      <c r="F416" s="326"/>
    </row>
    <row r="417" ht="15.75" customHeight="1">
      <c r="A417" s="322"/>
      <c r="B417" s="327" t="s">
        <v>946</v>
      </c>
      <c r="C417" s="335" t="str">
        <f>IF(C415="","",IF(ISBLANK(C413),"",C415/C413))</f>
        <v>#REF!</v>
      </c>
      <c r="D417" s="321"/>
      <c r="E417" s="323"/>
      <c r="F417" s="326"/>
    </row>
    <row r="418" ht="15.75" customHeight="1">
      <c r="A418" s="322"/>
      <c r="B418" s="327"/>
      <c r="C418" s="334"/>
      <c r="D418" s="334"/>
      <c r="E418" s="323"/>
      <c r="F418" s="326"/>
    </row>
    <row r="419" ht="15.75" customHeight="1">
      <c r="A419" s="322"/>
      <c r="B419" s="327" t="s">
        <v>950</v>
      </c>
      <c r="C419" s="333" t="str">
        <f>C413-C415</f>
        <v>#REF!</v>
      </c>
      <c r="D419" s="321"/>
      <c r="E419" s="323"/>
      <c r="F419" s="326"/>
    </row>
    <row r="420" ht="15.75" customHeight="1">
      <c r="A420" s="322"/>
      <c r="B420" s="322"/>
      <c r="C420" s="322"/>
      <c r="D420" s="322"/>
      <c r="E420" s="323"/>
      <c r="F420" s="324"/>
    </row>
    <row r="421" ht="15.75" customHeight="1">
      <c r="A421" s="322"/>
      <c r="B421" s="322"/>
      <c r="C421" s="322"/>
      <c r="D421" s="322"/>
      <c r="E421" s="337"/>
      <c r="F421" s="324"/>
    </row>
    <row r="422" ht="15.75" customHeight="1">
      <c r="A422" s="322"/>
      <c r="B422" s="338" t="s">
        <v>951</v>
      </c>
      <c r="C422" s="339"/>
      <c r="D422" s="339"/>
      <c r="E422" s="339"/>
      <c r="F422" s="324"/>
    </row>
    <row r="423" ht="15.75" customHeight="1">
      <c r="A423" s="322"/>
      <c r="B423" s="340" t="s">
        <v>953</v>
      </c>
      <c r="C423" s="341" t="s">
        <v>954</v>
      </c>
      <c r="D423" s="341" t="s">
        <v>955</v>
      </c>
      <c r="E423" s="341" t="s">
        <v>35</v>
      </c>
      <c r="F423" s="324"/>
    </row>
    <row r="424" ht="15.75" customHeight="1">
      <c r="A424" s="322"/>
      <c r="B424" s="60" t="s">
        <v>1099</v>
      </c>
      <c r="C424" s="344">
        <v>0.03</v>
      </c>
      <c r="D424" s="343">
        <f>M153</f>
        <v>94500</v>
      </c>
      <c r="E424" s="67">
        <f t="shared" ref="E424:E426" si="47">IF(OR(ISBLANK(C424),ISBLANK(D424)),"",D424*C424)</f>
        <v>2835</v>
      </c>
      <c r="F424" s="324"/>
    </row>
    <row r="425" ht="15.75" customHeight="1">
      <c r="A425" s="322"/>
      <c r="B425" s="228" t="s">
        <v>703</v>
      </c>
      <c r="C425" s="344">
        <v>0.03</v>
      </c>
      <c r="D425" s="371">
        <f>D198</f>
        <v>81000</v>
      </c>
      <c r="E425" s="67">
        <f t="shared" si="47"/>
        <v>2430</v>
      </c>
      <c r="F425" s="324"/>
    </row>
    <row r="426" ht="15.75" customHeight="1">
      <c r="A426" s="322"/>
      <c r="B426" s="406" t="s">
        <v>1192</v>
      </c>
      <c r="C426" s="344">
        <v>0.03</v>
      </c>
      <c r="D426" s="371">
        <f>D153</f>
        <v>198000</v>
      </c>
      <c r="E426" s="67">
        <f t="shared" si="47"/>
        <v>5940</v>
      </c>
      <c r="F426" s="324"/>
    </row>
    <row r="427" ht="15.75" customHeight="1">
      <c r="A427" s="322"/>
      <c r="B427" s="338" t="s">
        <v>84</v>
      </c>
      <c r="C427" s="358"/>
      <c r="D427" s="358"/>
      <c r="E427" s="359">
        <f>IF(SUM(E424:E426)=0,"",SUM(E424:E426))</f>
        <v>11205</v>
      </c>
      <c r="F427" s="324"/>
    </row>
    <row r="428" ht="15.75" customHeight="1">
      <c r="A428" s="322"/>
      <c r="B428" s="360"/>
      <c r="C428" s="360"/>
      <c r="D428" s="360"/>
      <c r="E428" s="361"/>
      <c r="F428" s="324"/>
    </row>
    <row r="429" ht="15.75" customHeight="1">
      <c r="A429" s="322"/>
      <c r="B429" s="362" t="s">
        <v>972</v>
      </c>
      <c r="C429" s="363"/>
      <c r="D429" s="363"/>
      <c r="E429" s="363"/>
      <c r="F429" s="324"/>
    </row>
    <row r="430" ht="15.75" customHeight="1">
      <c r="A430" s="322"/>
      <c r="B430" s="365" t="s">
        <v>953</v>
      </c>
      <c r="C430" s="366" t="s">
        <v>3</v>
      </c>
      <c r="D430" s="366" t="s">
        <v>975</v>
      </c>
      <c r="E430" s="367" t="s">
        <v>35</v>
      </c>
      <c r="F430" s="324"/>
    </row>
    <row r="431" ht="15.75" customHeight="1">
      <c r="A431" s="322"/>
      <c r="B431" s="368"/>
      <c r="C431" s="366"/>
      <c r="D431" s="366"/>
      <c r="E431" s="368"/>
      <c r="F431" s="324"/>
    </row>
    <row r="432" ht="15.75" customHeight="1">
      <c r="A432" s="322"/>
      <c r="B432" s="60" t="s">
        <v>1078</v>
      </c>
      <c r="C432" s="342">
        <v>0.035</v>
      </c>
      <c r="D432" s="343">
        <f>'F&amp;B'!$F$296</f>
        <v>9000</v>
      </c>
      <c r="E432" s="67">
        <f t="shared" ref="E432:E441" si="48">D432*C432</f>
        <v>315</v>
      </c>
      <c r="F432" s="324"/>
    </row>
    <row r="433" ht="15.75" customHeight="1">
      <c r="A433" s="322"/>
      <c r="B433" s="75" t="s">
        <v>214</v>
      </c>
      <c r="C433" s="370">
        <v>0.035</v>
      </c>
      <c r="D433" s="343">
        <f>'F&amp;B'!$F$290</f>
        <v>6300</v>
      </c>
      <c r="E433" s="67">
        <f t="shared" si="48"/>
        <v>220.5</v>
      </c>
      <c r="F433" s="324"/>
    </row>
    <row r="434" ht="15.75" customHeight="1">
      <c r="A434" s="322"/>
      <c r="B434" s="75" t="s">
        <v>1033</v>
      </c>
      <c r="C434" s="370">
        <v>0.035</v>
      </c>
      <c r="D434" s="343">
        <f>'F&amp;B'!$F$278</f>
        <v>103500</v>
      </c>
      <c r="E434" s="67">
        <f t="shared" si="48"/>
        <v>3622.5</v>
      </c>
      <c r="F434" s="324"/>
    </row>
    <row r="435" ht="15.75" customHeight="1">
      <c r="A435" s="322"/>
      <c r="B435" s="75" t="s">
        <v>1082</v>
      </c>
      <c r="C435" s="370">
        <v>0.105</v>
      </c>
      <c r="D435" s="343">
        <f>'F&amp;B'!$F$29/12</f>
        <v>48750</v>
      </c>
      <c r="E435" s="67">
        <f t="shared" si="48"/>
        <v>5118.75</v>
      </c>
      <c r="F435" s="324"/>
    </row>
    <row r="436" ht="15.75" customHeight="1">
      <c r="A436" s="322"/>
      <c r="B436" s="75" t="s">
        <v>1083</v>
      </c>
      <c r="C436" s="370">
        <v>0.03</v>
      </c>
      <c r="D436" s="343">
        <f>'F&amp;B'!$F$80</f>
        <v>103500</v>
      </c>
      <c r="E436" s="67">
        <f t="shared" si="48"/>
        <v>3105</v>
      </c>
      <c r="F436" s="324"/>
    </row>
    <row r="437" ht="15.75" customHeight="1">
      <c r="A437" s="322"/>
      <c r="B437" s="75" t="s">
        <v>1047</v>
      </c>
      <c r="C437" s="346">
        <v>1.0</v>
      </c>
      <c r="D437" s="343">
        <f>SAUCES!$D$105</f>
        <v>2661.661085</v>
      </c>
      <c r="E437" s="67">
        <f t="shared" si="48"/>
        <v>2661.661085</v>
      </c>
      <c r="F437" s="324"/>
    </row>
    <row r="438" ht="15.75" customHeight="1">
      <c r="A438" s="322"/>
      <c r="B438" s="75" t="s">
        <v>1049</v>
      </c>
      <c r="C438" s="346">
        <v>1.0</v>
      </c>
      <c r="D438" s="343">
        <f>SAUCES!$L$105</f>
        <v>1090.94156</v>
      </c>
      <c r="E438" s="67">
        <f t="shared" si="48"/>
        <v>1090.94156</v>
      </c>
      <c r="F438" s="324"/>
    </row>
    <row r="439" ht="15.75" customHeight="1">
      <c r="A439" s="322"/>
      <c r="B439" s="348" t="s">
        <v>850</v>
      </c>
      <c r="C439" s="346">
        <v>0.02</v>
      </c>
      <c r="D439" s="343">
        <f>M168</f>
        <v>50250</v>
      </c>
      <c r="E439" s="67">
        <f t="shared" si="48"/>
        <v>1005</v>
      </c>
      <c r="F439" s="324"/>
    </row>
    <row r="440" ht="15.75" customHeight="1">
      <c r="A440" s="322"/>
      <c r="B440" s="348"/>
      <c r="C440" s="346"/>
      <c r="D440" s="343"/>
      <c r="E440" s="67">
        <f t="shared" si="48"/>
        <v>0</v>
      </c>
      <c r="F440" s="324"/>
    </row>
    <row r="441" ht="15.75" customHeight="1">
      <c r="A441" s="322"/>
      <c r="B441" s="354"/>
      <c r="C441" s="355"/>
      <c r="D441" s="343"/>
      <c r="E441" s="67">
        <f t="shared" si="48"/>
        <v>0</v>
      </c>
      <c r="F441" s="324"/>
    </row>
    <row r="442" ht="15.75" customHeight="1">
      <c r="A442" s="322"/>
      <c r="B442" s="362" t="s">
        <v>84</v>
      </c>
      <c r="C442" s="374"/>
      <c r="D442" s="374"/>
      <c r="E442" s="375">
        <f>IF(SUM(E432:E441)=0,"",SUM(E432:E441))</f>
        <v>17139.35265</v>
      </c>
      <c r="F442" s="324"/>
    </row>
    <row r="443" ht="15.75" customHeight="1">
      <c r="A443" s="322"/>
      <c r="B443" s="360"/>
      <c r="C443" s="360"/>
      <c r="D443" s="360"/>
      <c r="E443" s="361"/>
      <c r="F443" s="324"/>
    </row>
    <row r="444" ht="15.75" customHeight="1">
      <c r="A444" s="322"/>
      <c r="B444" s="34" t="s">
        <v>17</v>
      </c>
      <c r="C444" s="35"/>
      <c r="D444" s="35"/>
      <c r="E444" s="35"/>
      <c r="F444" s="324"/>
    </row>
    <row r="445" ht="15.75" customHeight="1">
      <c r="A445" s="322"/>
      <c r="B445" s="52" t="s">
        <v>42</v>
      </c>
      <c r="C445" s="54"/>
      <c r="D445" s="54"/>
      <c r="E445" s="56" t="s">
        <v>35</v>
      </c>
      <c r="F445" s="324"/>
    </row>
    <row r="446" ht="15.75" customHeight="1">
      <c r="A446" s="322"/>
      <c r="B446" s="60" t="s">
        <v>40</v>
      </c>
      <c r="C446" s="343">
        <f>'UTL COST'!$B$3</f>
        <v>369000</v>
      </c>
      <c r="D446" s="379">
        <f>'UTL COST'!$C$3</f>
        <v>0.0075</v>
      </c>
      <c r="E446" s="67">
        <f>'UTL COST'!$D$3</f>
        <v>2767.5</v>
      </c>
      <c r="F446" s="324"/>
    </row>
    <row r="447" ht="15.75" customHeight="1">
      <c r="A447" s="322"/>
      <c r="B447" s="75" t="s">
        <v>51</v>
      </c>
      <c r="C447" s="371" t="str">
        <f>'UTL COST'!$B$4</f>
        <v>#REF!</v>
      </c>
      <c r="D447" s="382">
        <f>'UTL COST'!$C$4</f>
        <v>7000</v>
      </c>
      <c r="E447" s="76" t="str">
        <f>'UTL COST'!$D$4</f>
        <v>#REF!</v>
      </c>
      <c r="F447" s="324"/>
    </row>
    <row r="448" ht="15.75" customHeight="1">
      <c r="A448" s="322"/>
      <c r="B448" s="75" t="s">
        <v>59</v>
      </c>
      <c r="C448" s="371" t="str">
        <f>'UTL COST'!$B$5</f>
        <v>#REF!</v>
      </c>
      <c r="D448" s="382">
        <f>'UTL COST'!$C$5</f>
        <v>45000</v>
      </c>
      <c r="E448" s="76" t="str">
        <f>'UTL COST'!$D$5</f>
        <v>#REF!</v>
      </c>
      <c r="F448" s="324"/>
    </row>
    <row r="449" ht="15.75" customHeight="1">
      <c r="A449" s="322"/>
      <c r="B449" s="87" t="s">
        <v>78</v>
      </c>
      <c r="C449" s="371" t="str">
        <f>'UTL COST'!$B$6</f>
        <v>#REF!</v>
      </c>
      <c r="D449" s="383">
        <f>'UTL COST'!$C$6</f>
        <v>525</v>
      </c>
      <c r="E449" s="89">
        <v>0.1</v>
      </c>
      <c r="F449" s="324"/>
    </row>
    <row r="450" ht="15.75" customHeight="1">
      <c r="A450" s="322"/>
      <c r="B450" s="34" t="s">
        <v>84</v>
      </c>
      <c r="C450" s="102"/>
      <c r="D450" s="102"/>
      <c r="E450" s="461" t="str">
        <f>IF(SUM(E446:E449)=0,"",SUM(E446:E449))</f>
        <v>#REF!</v>
      </c>
      <c r="F450" s="324"/>
    </row>
    <row r="451" ht="15.75" customHeight="1">
      <c r="A451" s="322"/>
      <c r="B451" s="360"/>
      <c r="C451" s="360"/>
      <c r="D451" s="360"/>
      <c r="E451" s="361"/>
      <c r="F451" s="324"/>
    </row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4">
    <mergeCell ref="L52:M52"/>
    <mergeCell ref="L54:M54"/>
    <mergeCell ref="L56:M56"/>
    <mergeCell ref="L58:M58"/>
    <mergeCell ref="K69:K70"/>
    <mergeCell ref="N69:N70"/>
    <mergeCell ref="L95:M95"/>
    <mergeCell ref="L97:M97"/>
    <mergeCell ref="L99:M99"/>
    <mergeCell ref="L101:M101"/>
    <mergeCell ref="L103:M103"/>
    <mergeCell ref="K114:K115"/>
    <mergeCell ref="N114:N115"/>
    <mergeCell ref="L140:M140"/>
    <mergeCell ref="L187:M187"/>
    <mergeCell ref="L189:M189"/>
    <mergeCell ref="L142:M142"/>
    <mergeCell ref="L144:M144"/>
    <mergeCell ref="L146:M146"/>
    <mergeCell ref="L148:M148"/>
    <mergeCell ref="K159:K160"/>
    <mergeCell ref="N159:N160"/>
    <mergeCell ref="L185:M185"/>
    <mergeCell ref="C95:D95"/>
    <mergeCell ref="C97:D97"/>
    <mergeCell ref="C99:D99"/>
    <mergeCell ref="C101:D101"/>
    <mergeCell ref="C103:D103"/>
    <mergeCell ref="B114:B115"/>
    <mergeCell ref="E114:E115"/>
    <mergeCell ref="C140:D140"/>
    <mergeCell ref="C142:D142"/>
    <mergeCell ref="C144:D144"/>
    <mergeCell ref="C146:D146"/>
    <mergeCell ref="C148:D148"/>
    <mergeCell ref="B159:B160"/>
    <mergeCell ref="E159:E160"/>
    <mergeCell ref="C230:D230"/>
    <mergeCell ref="C232:D232"/>
    <mergeCell ref="C234:D234"/>
    <mergeCell ref="C236:D236"/>
    <mergeCell ref="C238:D238"/>
    <mergeCell ref="B249:B250"/>
    <mergeCell ref="E249:E250"/>
    <mergeCell ref="C275:D275"/>
    <mergeCell ref="C277:D277"/>
    <mergeCell ref="C279:D279"/>
    <mergeCell ref="C281:D281"/>
    <mergeCell ref="C283:D283"/>
    <mergeCell ref="B294:B295"/>
    <mergeCell ref="E294:E295"/>
    <mergeCell ref="C321:D321"/>
    <mergeCell ref="C323:D323"/>
    <mergeCell ref="C325:D325"/>
    <mergeCell ref="C327:D327"/>
    <mergeCell ref="C329:D329"/>
    <mergeCell ref="B340:B341"/>
    <mergeCell ref="E340:E341"/>
    <mergeCell ref="C411:D411"/>
    <mergeCell ref="C413:D413"/>
    <mergeCell ref="C415:D415"/>
    <mergeCell ref="C417:D417"/>
    <mergeCell ref="C419:D419"/>
    <mergeCell ref="B430:B431"/>
    <mergeCell ref="E430:E431"/>
    <mergeCell ref="C366:D366"/>
    <mergeCell ref="C368:D368"/>
    <mergeCell ref="C370:D370"/>
    <mergeCell ref="C372:D372"/>
    <mergeCell ref="C374:D374"/>
    <mergeCell ref="B385:B386"/>
    <mergeCell ref="E385:E386"/>
    <mergeCell ref="L236:M236"/>
    <mergeCell ref="L238:M238"/>
    <mergeCell ref="K249:K250"/>
    <mergeCell ref="N249:N250"/>
    <mergeCell ref="L275:M275"/>
    <mergeCell ref="L277:M277"/>
    <mergeCell ref="L279:M279"/>
    <mergeCell ref="L281:M281"/>
    <mergeCell ref="L283:M283"/>
    <mergeCell ref="K294:K295"/>
    <mergeCell ref="N294:N295"/>
    <mergeCell ref="L321:M321"/>
    <mergeCell ref="L323:M323"/>
    <mergeCell ref="L325:M325"/>
    <mergeCell ref="K385:K386"/>
    <mergeCell ref="N385:N386"/>
    <mergeCell ref="K340:K341"/>
    <mergeCell ref="N340:N341"/>
    <mergeCell ref="L366:M366"/>
    <mergeCell ref="L368:M368"/>
    <mergeCell ref="L370:M370"/>
    <mergeCell ref="L372:M372"/>
    <mergeCell ref="L374:M374"/>
    <mergeCell ref="L10:M10"/>
    <mergeCell ref="L12:M12"/>
    <mergeCell ref="A1:F1"/>
    <mergeCell ref="C6:D6"/>
    <mergeCell ref="L6:M6"/>
    <mergeCell ref="C8:D8"/>
    <mergeCell ref="L8:M8"/>
    <mergeCell ref="C10:D10"/>
    <mergeCell ref="C12:D12"/>
    <mergeCell ref="C14:D14"/>
    <mergeCell ref="L14:M14"/>
    <mergeCell ref="B25:B26"/>
    <mergeCell ref="E25:E26"/>
    <mergeCell ref="K25:K26"/>
    <mergeCell ref="N25:N26"/>
    <mergeCell ref="L50:M50"/>
    <mergeCell ref="C50:D50"/>
    <mergeCell ref="C52:D52"/>
    <mergeCell ref="C54:D54"/>
    <mergeCell ref="C56:D56"/>
    <mergeCell ref="C58:D58"/>
    <mergeCell ref="B69:B70"/>
    <mergeCell ref="E69:E70"/>
    <mergeCell ref="C185:D185"/>
    <mergeCell ref="C187:D187"/>
    <mergeCell ref="C189:D189"/>
    <mergeCell ref="C191:D191"/>
    <mergeCell ref="L191:M191"/>
    <mergeCell ref="C193:D193"/>
    <mergeCell ref="L193:M193"/>
    <mergeCell ref="B204:B205"/>
    <mergeCell ref="E204:E205"/>
    <mergeCell ref="K204:K205"/>
    <mergeCell ref="N204:N205"/>
    <mergeCell ref="L230:M230"/>
    <mergeCell ref="L232:M232"/>
    <mergeCell ref="L234:M234"/>
    <mergeCell ref="L327:M327"/>
    <mergeCell ref="L329:M329"/>
  </mergeCells>
  <printOptions/>
  <pageMargins bottom="0.75" footer="0.0" header="0.0" left="0.7" right="0.7" top="0.75"/>
  <pageSetup orientation="portrait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75"/>
    <col customWidth="1" min="4" max="4" width="10.0"/>
    <col customWidth="1" min="5" max="5" width="12.63"/>
    <col customWidth="1" min="6" max="7" width="3.0"/>
    <col customWidth="1" min="8" max="10" width="7.75"/>
    <col customWidth="1" min="11" max="11" width="24.38"/>
    <col customWidth="1" min="12" max="12" width="12.75"/>
    <col customWidth="1" min="13" max="13" width="11.13"/>
    <col customWidth="1" min="14" max="14" width="9.88"/>
    <col customWidth="1" min="15" max="15" width="7.75"/>
    <col customWidth="1" min="16" max="26" width="14.38"/>
  </cols>
  <sheetData>
    <row r="1" ht="46.5" customHeight="1">
      <c r="A1" s="320" t="s">
        <v>1052</v>
      </c>
      <c r="B1" s="321"/>
      <c r="C1" s="321"/>
      <c r="D1" s="321"/>
      <c r="E1" s="321"/>
      <c r="F1" s="321"/>
      <c r="G1" s="402"/>
      <c r="H1" s="387"/>
      <c r="I1" s="387"/>
      <c r="J1" s="387"/>
      <c r="K1" s="387"/>
      <c r="L1" s="387"/>
      <c r="M1" s="387"/>
      <c r="N1" s="387"/>
      <c r="O1" s="387"/>
    </row>
    <row r="2" ht="18.0" customHeight="1">
      <c r="A2" s="388"/>
      <c r="B2" s="388"/>
      <c r="C2" s="388"/>
      <c r="D2" s="388"/>
      <c r="E2" s="389"/>
      <c r="F2" s="387"/>
      <c r="G2" s="387"/>
      <c r="H2" s="387"/>
      <c r="I2" s="387"/>
      <c r="J2" s="387"/>
      <c r="K2" s="387"/>
      <c r="L2" s="387"/>
      <c r="M2" s="387"/>
      <c r="N2" s="387"/>
      <c r="O2" s="387"/>
    </row>
    <row r="3" ht="6.75" customHeight="1">
      <c r="A3" s="388"/>
      <c r="B3" s="388"/>
      <c r="C3" s="388"/>
      <c r="D3" s="388"/>
      <c r="E3" s="389"/>
      <c r="F3" s="387"/>
      <c r="G3" s="387"/>
      <c r="H3" s="387"/>
      <c r="I3" s="387"/>
      <c r="J3" s="387"/>
      <c r="K3" s="387"/>
      <c r="L3" s="387"/>
      <c r="M3" s="387"/>
      <c r="N3" s="387"/>
      <c r="O3" s="387"/>
    </row>
    <row r="4" ht="15.0" customHeight="1">
      <c r="A4" s="322"/>
      <c r="B4" s="322"/>
      <c r="C4" s="322"/>
      <c r="D4" s="322"/>
      <c r="E4" s="323"/>
      <c r="F4" s="324"/>
      <c r="G4" s="324"/>
      <c r="H4" s="387"/>
      <c r="I4" s="388"/>
      <c r="J4" s="322"/>
      <c r="K4" s="322"/>
      <c r="L4" s="322"/>
      <c r="M4" s="322"/>
      <c r="N4" s="323"/>
      <c r="O4" s="324"/>
    </row>
    <row r="5" ht="4.5" customHeight="1">
      <c r="A5" s="322"/>
      <c r="B5" s="325"/>
      <c r="C5" s="322"/>
      <c r="D5" s="322"/>
      <c r="E5" s="323"/>
      <c r="F5" s="326"/>
      <c r="G5" s="326"/>
      <c r="H5" s="404"/>
      <c r="I5" s="388"/>
      <c r="J5" s="322"/>
      <c r="K5" s="325"/>
      <c r="L5" s="322"/>
      <c r="M5" s="322"/>
      <c r="N5" s="323"/>
      <c r="O5" s="326"/>
    </row>
    <row r="6" ht="18.0" customHeight="1">
      <c r="A6" s="322"/>
      <c r="B6" s="327" t="s">
        <v>931</v>
      </c>
      <c r="C6" s="330" t="s">
        <v>1054</v>
      </c>
      <c r="D6" s="329"/>
      <c r="E6" s="323"/>
      <c r="F6" s="326"/>
      <c r="G6" s="326"/>
      <c r="H6" s="404"/>
      <c r="I6" s="388"/>
      <c r="J6" s="322"/>
      <c r="K6" s="327" t="s">
        <v>931</v>
      </c>
      <c r="L6" s="330" t="s">
        <v>1055</v>
      </c>
      <c r="M6" s="329"/>
      <c r="N6" s="323"/>
      <c r="O6" s="326"/>
    </row>
    <row r="7" ht="4.5" customHeight="1">
      <c r="A7" s="322"/>
      <c r="B7" s="325"/>
      <c r="C7" s="322"/>
      <c r="D7" s="322"/>
      <c r="E7" s="323"/>
      <c r="F7" s="326"/>
      <c r="G7" s="326"/>
      <c r="H7" s="404"/>
      <c r="I7" s="388"/>
      <c r="J7" s="322"/>
      <c r="K7" s="325"/>
      <c r="L7" s="322"/>
      <c r="M7" s="322"/>
      <c r="N7" s="323"/>
      <c r="O7" s="326"/>
    </row>
    <row r="8" ht="18.0" customHeight="1">
      <c r="A8" s="322"/>
      <c r="B8" s="327" t="s">
        <v>935</v>
      </c>
      <c r="C8" s="426" t="str">
        <f>C10/90000</f>
        <v>#REF!</v>
      </c>
      <c r="D8" s="329"/>
      <c r="E8" s="323"/>
      <c r="F8" s="326"/>
      <c r="G8" s="326"/>
      <c r="H8" s="404"/>
      <c r="I8" s="388"/>
      <c r="J8" s="322"/>
      <c r="K8" s="327" t="s">
        <v>935</v>
      </c>
      <c r="L8" s="426">
        <f>L10/90000</f>
        <v>0.08640714286</v>
      </c>
      <c r="M8" s="329"/>
      <c r="N8" s="323"/>
      <c r="O8" s="326"/>
    </row>
    <row r="9" ht="4.5" customHeight="1">
      <c r="A9" s="322"/>
      <c r="B9" s="327"/>
      <c r="C9" s="332"/>
      <c r="D9" s="332"/>
      <c r="E9" s="323"/>
      <c r="F9" s="326"/>
      <c r="G9" s="326"/>
      <c r="H9" s="404"/>
      <c r="I9" s="388"/>
      <c r="J9" s="322"/>
      <c r="K9" s="327"/>
      <c r="L9" s="332"/>
      <c r="M9" s="332"/>
      <c r="N9" s="323"/>
      <c r="O9" s="326"/>
    </row>
    <row r="10" ht="18.0" customHeight="1">
      <c r="A10" s="322"/>
      <c r="B10" s="327" t="s">
        <v>939</v>
      </c>
      <c r="C10" s="333" t="str">
        <f>IF(SUM(E22,E37,E45)=0,"",SUM(E22,E37,E45))</f>
        <v>#REF!</v>
      </c>
      <c r="D10" s="321"/>
      <c r="E10" s="323" t="str">
        <f>C10/90000</f>
        <v>#REF!</v>
      </c>
      <c r="F10" s="326"/>
      <c r="G10" s="326"/>
      <c r="H10" s="404"/>
      <c r="I10" s="388"/>
      <c r="J10" s="322"/>
      <c r="K10" s="327" t="s">
        <v>939</v>
      </c>
      <c r="L10" s="333">
        <f>IF(SUM(N22,N37,N45)=0,"",SUM(N22,N37,N45))</f>
        <v>7776.642857</v>
      </c>
      <c r="M10" s="321"/>
      <c r="N10" s="323"/>
      <c r="O10" s="326"/>
    </row>
    <row r="11" ht="4.5" customHeight="1">
      <c r="A11" s="322"/>
      <c r="B11" s="327"/>
      <c r="C11" s="334"/>
      <c r="D11" s="334"/>
      <c r="E11" s="323"/>
      <c r="F11" s="326"/>
      <c r="G11" s="326"/>
      <c r="H11" s="404"/>
      <c r="I11" s="388"/>
      <c r="J11" s="322"/>
      <c r="K11" s="327"/>
      <c r="L11" s="334"/>
      <c r="M11" s="334"/>
      <c r="N11" s="323"/>
      <c r="O11" s="326"/>
    </row>
    <row r="12" ht="18.0" customHeight="1">
      <c r="A12" s="322"/>
      <c r="B12" s="327" t="s">
        <v>946</v>
      </c>
      <c r="C12" s="335" t="str">
        <f>IF(C10="","",IF(ISBLANK(C8),"",C10/C8))</f>
        <v>#REF!</v>
      </c>
      <c r="D12" s="321"/>
      <c r="E12" s="323"/>
      <c r="F12" s="326"/>
      <c r="G12" s="326"/>
      <c r="H12" s="404"/>
      <c r="I12" s="388"/>
      <c r="J12" s="322"/>
      <c r="K12" s="327" t="s">
        <v>946</v>
      </c>
      <c r="L12" s="335">
        <f>IF(L10="","",IF(ISBLANK(L8),"",L10/L8))</f>
        <v>90000</v>
      </c>
      <c r="M12" s="321"/>
      <c r="N12" s="323"/>
      <c r="O12" s="326"/>
    </row>
    <row r="13" ht="4.5" customHeight="1">
      <c r="A13" s="322"/>
      <c r="B13" s="327"/>
      <c r="C13" s="334"/>
      <c r="D13" s="334"/>
      <c r="E13" s="323"/>
      <c r="F13" s="326"/>
      <c r="G13" s="326"/>
      <c r="H13" s="404"/>
      <c r="I13" s="388"/>
      <c r="J13" s="322"/>
      <c r="K13" s="327"/>
      <c r="L13" s="334"/>
      <c r="M13" s="334"/>
      <c r="N13" s="323"/>
      <c r="O13" s="326"/>
    </row>
    <row r="14" ht="18.0" customHeight="1">
      <c r="A14" s="322"/>
      <c r="B14" s="327" t="s">
        <v>950</v>
      </c>
      <c r="C14" s="333" t="str">
        <f>C8-C10</f>
        <v>#REF!</v>
      </c>
      <c r="D14" s="321"/>
      <c r="E14" s="323"/>
      <c r="F14" s="326"/>
      <c r="G14" s="326"/>
      <c r="H14" s="404"/>
      <c r="I14" s="388"/>
      <c r="J14" s="322"/>
      <c r="K14" s="327" t="s">
        <v>950</v>
      </c>
      <c r="L14" s="333">
        <f>L8-L10</f>
        <v>-7776.55645</v>
      </c>
      <c r="M14" s="321"/>
      <c r="N14" s="323"/>
      <c r="O14" s="326"/>
    </row>
    <row r="15" ht="15.0" customHeight="1">
      <c r="A15" s="322"/>
      <c r="B15" s="322"/>
      <c r="C15" s="322"/>
      <c r="D15" s="322"/>
      <c r="E15" s="323"/>
      <c r="F15" s="324"/>
      <c r="G15" s="324"/>
      <c r="H15" s="404"/>
      <c r="I15" s="388"/>
      <c r="J15" s="322"/>
      <c r="K15" s="322"/>
      <c r="L15" s="322"/>
      <c r="M15" s="322"/>
      <c r="N15" s="323"/>
      <c r="O15" s="324"/>
    </row>
    <row r="16" ht="12.75" customHeight="1">
      <c r="A16" s="322"/>
      <c r="B16" s="322"/>
      <c r="C16" s="322"/>
      <c r="D16" s="322"/>
      <c r="E16" s="337"/>
      <c r="F16" s="324"/>
      <c r="G16" s="324"/>
      <c r="H16" s="387"/>
      <c r="I16" s="388"/>
      <c r="J16" s="322"/>
      <c r="K16" s="322"/>
      <c r="L16" s="322"/>
      <c r="M16" s="322"/>
      <c r="N16" s="337"/>
      <c r="O16" s="324"/>
    </row>
    <row r="17" ht="12.75" customHeight="1">
      <c r="A17" s="322"/>
      <c r="B17" s="338" t="s">
        <v>951</v>
      </c>
      <c r="C17" s="339"/>
      <c r="D17" s="339"/>
      <c r="E17" s="339"/>
      <c r="F17" s="324"/>
      <c r="G17" s="324"/>
      <c r="H17" s="410"/>
      <c r="I17" s="388"/>
      <c r="J17" s="322"/>
      <c r="K17" s="338" t="s">
        <v>951</v>
      </c>
      <c r="L17" s="339"/>
      <c r="M17" s="339"/>
      <c r="N17" s="339"/>
      <c r="O17" s="324"/>
    </row>
    <row r="18" ht="12.75" customHeight="1">
      <c r="A18" s="322"/>
      <c r="B18" s="340" t="s">
        <v>953</v>
      </c>
      <c r="C18" s="341" t="s">
        <v>954</v>
      </c>
      <c r="D18" s="341" t="s">
        <v>955</v>
      </c>
      <c r="E18" s="341" t="s">
        <v>35</v>
      </c>
      <c r="F18" s="324"/>
      <c r="G18" s="324"/>
      <c r="H18" s="387"/>
      <c r="I18" s="388"/>
      <c r="J18" s="322"/>
      <c r="K18" s="340" t="s">
        <v>953</v>
      </c>
      <c r="L18" s="341" t="s">
        <v>954</v>
      </c>
      <c r="M18" s="341" t="s">
        <v>955</v>
      </c>
      <c r="N18" s="341" t="s">
        <v>35</v>
      </c>
      <c r="O18" s="324"/>
    </row>
    <row r="19" ht="12.75" customHeight="1">
      <c r="A19" s="322"/>
      <c r="B19" s="139" t="s">
        <v>1057</v>
      </c>
      <c r="C19" s="344">
        <v>1.0</v>
      </c>
      <c r="D19" s="343">
        <f>'F&amp;B'!F63</f>
        <v>8910</v>
      </c>
      <c r="E19" s="67">
        <f t="shared" ref="E19:E21" si="1">IF(OR(ISBLANK(C19),ISBLANK(D19)),"",D19*C19)</f>
        <v>8910</v>
      </c>
      <c r="F19" s="324"/>
      <c r="G19" s="324"/>
      <c r="H19" s="387"/>
      <c r="I19" s="388"/>
      <c r="J19" s="322"/>
      <c r="K19" s="139" t="s">
        <v>1059</v>
      </c>
      <c r="L19" s="344">
        <v>0.04</v>
      </c>
      <c r="M19" s="343">
        <f>'F&amp;B'!F45</f>
        <v>36000</v>
      </c>
      <c r="N19" s="67">
        <f t="shared" ref="N19:N21" si="2">IF(OR(ISBLANK(L19),ISBLANK(M19)),"",M19*L19)</f>
        <v>1440</v>
      </c>
      <c r="O19" s="324"/>
    </row>
    <row r="20" ht="12.75" customHeight="1">
      <c r="A20" s="322"/>
      <c r="B20" s="228" t="s">
        <v>62</v>
      </c>
      <c r="C20" s="398">
        <v>0.01</v>
      </c>
      <c r="D20" s="371">
        <f>'F&amp;B'!F292</f>
        <v>19800</v>
      </c>
      <c r="E20" s="67">
        <f t="shared" si="1"/>
        <v>198</v>
      </c>
      <c r="F20" s="324"/>
      <c r="G20" s="324"/>
      <c r="H20" s="387"/>
      <c r="I20" s="388"/>
      <c r="J20" s="322"/>
      <c r="K20" s="228" t="s">
        <v>1061</v>
      </c>
      <c r="L20" s="398">
        <v>0.1</v>
      </c>
      <c r="M20" s="371">
        <f>'F&amp;B'!F284</f>
        <v>7200</v>
      </c>
      <c r="N20" s="67">
        <f t="shared" si="2"/>
        <v>720</v>
      </c>
      <c r="O20" s="324"/>
    </row>
    <row r="21" ht="12.75" customHeight="1">
      <c r="A21" s="322"/>
      <c r="B21" s="406" t="s">
        <v>66</v>
      </c>
      <c r="C21" s="351">
        <v>0.05</v>
      </c>
      <c r="D21" s="371">
        <f>'F&amp;B'!F287</f>
        <v>8100</v>
      </c>
      <c r="E21" s="67">
        <f t="shared" si="1"/>
        <v>405</v>
      </c>
      <c r="F21" s="324"/>
      <c r="G21" s="324"/>
      <c r="H21" s="387"/>
      <c r="I21" s="388"/>
      <c r="J21" s="322"/>
      <c r="K21" s="406" t="s">
        <v>364</v>
      </c>
      <c r="L21" s="351">
        <v>0.16</v>
      </c>
      <c r="M21" s="371">
        <f>'F&amp;B'!F279</f>
        <v>7200</v>
      </c>
      <c r="N21" s="67">
        <f t="shared" si="2"/>
        <v>1152</v>
      </c>
      <c r="O21" s="324"/>
    </row>
    <row r="22" ht="12.75" customHeight="1">
      <c r="A22" s="322"/>
      <c r="B22" s="338" t="s">
        <v>84</v>
      </c>
      <c r="C22" s="358"/>
      <c r="D22" s="358"/>
      <c r="E22" s="359">
        <f>IF(SUM(E19:E21)=0,"",SUM(E19:E21))</f>
        <v>9513</v>
      </c>
      <c r="F22" s="324"/>
      <c r="G22" s="324"/>
      <c r="H22" s="387"/>
      <c r="I22" s="388"/>
      <c r="J22" s="322"/>
      <c r="K22" s="338" t="s">
        <v>84</v>
      </c>
      <c r="L22" s="358"/>
      <c r="M22" s="358"/>
      <c r="N22" s="359">
        <f>IF(SUM(N19:N21)=0,"",SUM(N19:N21))</f>
        <v>3312</v>
      </c>
      <c r="O22" s="324"/>
    </row>
    <row r="23" ht="12.75" customHeight="1">
      <c r="A23" s="322"/>
      <c r="B23" s="360"/>
      <c r="C23" s="360"/>
      <c r="D23" s="360"/>
      <c r="E23" s="361"/>
      <c r="F23" s="324"/>
      <c r="G23" s="324"/>
      <c r="H23" s="387"/>
      <c r="I23" s="388"/>
      <c r="J23" s="322"/>
      <c r="K23" s="360"/>
      <c r="L23" s="360"/>
      <c r="M23" s="360"/>
      <c r="N23" s="361"/>
      <c r="O23" s="324"/>
    </row>
    <row r="24" ht="12.75" customHeight="1">
      <c r="A24" s="322"/>
      <c r="B24" s="362" t="s">
        <v>972</v>
      </c>
      <c r="C24" s="363"/>
      <c r="D24" s="363"/>
      <c r="E24" s="363"/>
      <c r="F24" s="324"/>
      <c r="G24" s="324"/>
      <c r="H24" s="387"/>
      <c r="I24" s="388"/>
      <c r="J24" s="322"/>
      <c r="K24" s="362" t="s">
        <v>972</v>
      </c>
      <c r="L24" s="363"/>
      <c r="M24" s="363"/>
      <c r="N24" s="363"/>
      <c r="O24" s="324"/>
    </row>
    <row r="25" ht="12.75" customHeight="1">
      <c r="A25" s="322"/>
      <c r="B25" s="365" t="s">
        <v>953</v>
      </c>
      <c r="C25" s="366" t="s">
        <v>3</v>
      </c>
      <c r="D25" s="366" t="s">
        <v>975</v>
      </c>
      <c r="E25" s="367" t="s">
        <v>35</v>
      </c>
      <c r="F25" s="324"/>
      <c r="G25" s="324"/>
      <c r="H25" s="387"/>
      <c r="I25" s="388"/>
      <c r="J25" s="322"/>
      <c r="K25" s="365" t="s">
        <v>953</v>
      </c>
      <c r="L25" s="366" t="s">
        <v>3</v>
      </c>
      <c r="M25" s="366" t="s">
        <v>975</v>
      </c>
      <c r="N25" s="367" t="s">
        <v>35</v>
      </c>
      <c r="O25" s="324"/>
    </row>
    <row r="26" ht="12.75" customHeight="1">
      <c r="A26" s="322"/>
      <c r="B26" s="368"/>
      <c r="C26" s="366"/>
      <c r="D26" s="366"/>
      <c r="E26" s="368"/>
      <c r="F26" s="324"/>
      <c r="G26" s="324"/>
      <c r="H26" s="387"/>
      <c r="I26" s="388"/>
      <c r="J26" s="322"/>
      <c r="K26" s="368"/>
      <c r="L26" s="366"/>
      <c r="M26" s="366"/>
      <c r="N26" s="368"/>
      <c r="O26" s="324"/>
    </row>
    <row r="27" ht="12.75" customHeight="1">
      <c r="A27" s="322"/>
      <c r="B27" s="139" t="s">
        <v>176</v>
      </c>
      <c r="C27" s="344">
        <v>0.025</v>
      </c>
      <c r="D27" s="343">
        <f>'F&amp;B'!F43/13</f>
        <v>38076.92308</v>
      </c>
      <c r="E27" s="67">
        <f t="shared" ref="E27:E36" si="3">D27*C27</f>
        <v>951.9230769</v>
      </c>
      <c r="F27" s="324"/>
      <c r="G27" s="324"/>
      <c r="H27" s="387"/>
      <c r="I27" s="388"/>
      <c r="J27" s="322"/>
      <c r="K27" s="139" t="s">
        <v>1064</v>
      </c>
      <c r="L27" s="344">
        <v>0.5</v>
      </c>
      <c r="M27" s="343">
        <f>'F&amp;B'!F315</f>
        <v>2970</v>
      </c>
      <c r="N27" s="67">
        <f t="shared" ref="N27:N36" si="4">M27*L27</f>
        <v>1485</v>
      </c>
      <c r="O27" s="324"/>
    </row>
    <row r="28" ht="12.75" customHeight="1">
      <c r="A28" s="322"/>
      <c r="B28" s="228" t="s">
        <v>1055</v>
      </c>
      <c r="C28" s="405">
        <v>1.0</v>
      </c>
      <c r="D28" s="371">
        <f>L10</f>
        <v>7776.642857</v>
      </c>
      <c r="E28" s="67">
        <f t="shared" si="3"/>
        <v>7776.642857</v>
      </c>
      <c r="F28" s="324"/>
      <c r="G28" s="324"/>
      <c r="H28" s="387"/>
      <c r="I28" s="388"/>
      <c r="J28" s="322"/>
      <c r="K28" s="228" t="s">
        <v>161</v>
      </c>
      <c r="L28" s="405">
        <v>0.045</v>
      </c>
      <c r="M28" s="371">
        <f>'F&amp;B'!F49/10</f>
        <v>13500</v>
      </c>
      <c r="N28" s="67">
        <f t="shared" si="4"/>
        <v>607.5</v>
      </c>
      <c r="O28" s="324"/>
    </row>
    <row r="29" ht="12.75" customHeight="1">
      <c r="A29" s="322"/>
      <c r="B29" s="75"/>
      <c r="C29" s="370"/>
      <c r="D29" s="371"/>
      <c r="E29" s="67">
        <f t="shared" si="3"/>
        <v>0</v>
      </c>
      <c r="F29" s="324"/>
      <c r="G29" s="324"/>
      <c r="H29" s="387"/>
      <c r="I29" s="388"/>
      <c r="J29" s="322"/>
      <c r="K29" s="228" t="s">
        <v>998</v>
      </c>
      <c r="L29" s="405">
        <v>1.0</v>
      </c>
      <c r="M29" s="371">
        <f>'F&amp;B'!F4/7</f>
        <v>1247.142857</v>
      </c>
      <c r="N29" s="67">
        <f t="shared" si="4"/>
        <v>1247.142857</v>
      </c>
      <c r="O29" s="324"/>
    </row>
    <row r="30" ht="12.75" customHeight="1">
      <c r="A30" s="322"/>
      <c r="B30" s="75"/>
      <c r="C30" s="342"/>
      <c r="D30" s="343"/>
      <c r="E30" s="67">
        <f t="shared" si="3"/>
        <v>0</v>
      </c>
      <c r="F30" s="324"/>
      <c r="G30" s="324"/>
      <c r="H30" s="387"/>
      <c r="I30" s="388"/>
      <c r="J30" s="322"/>
      <c r="K30" s="228" t="s">
        <v>1065</v>
      </c>
      <c r="L30" s="344">
        <v>0.25</v>
      </c>
      <c r="M30" s="343">
        <f>'F&amp;B'!F317</f>
        <v>4500</v>
      </c>
      <c r="N30" s="67">
        <f t="shared" si="4"/>
        <v>1125</v>
      </c>
      <c r="O30" s="324"/>
    </row>
    <row r="31" ht="12.75" customHeight="1">
      <c r="A31" s="322"/>
      <c r="B31" s="75"/>
      <c r="C31" s="346"/>
      <c r="D31" s="371"/>
      <c r="E31" s="67">
        <f t="shared" si="3"/>
        <v>0</v>
      </c>
      <c r="F31" s="324"/>
      <c r="G31" s="324"/>
      <c r="H31" s="387"/>
      <c r="I31" s="388"/>
      <c r="J31" s="322"/>
      <c r="K31" s="75"/>
      <c r="L31" s="346"/>
      <c r="M31" s="371"/>
      <c r="N31" s="67">
        <f t="shared" si="4"/>
        <v>0</v>
      </c>
      <c r="O31" s="324"/>
    </row>
    <row r="32" ht="12.75" customHeight="1">
      <c r="A32" s="322"/>
      <c r="B32" s="75"/>
      <c r="C32" s="346"/>
      <c r="D32" s="373"/>
      <c r="E32" s="67">
        <f t="shared" si="3"/>
        <v>0</v>
      </c>
      <c r="F32" s="324"/>
      <c r="G32" s="324"/>
      <c r="H32" s="387"/>
      <c r="I32" s="388"/>
      <c r="J32" s="322"/>
      <c r="K32" s="75"/>
      <c r="L32" s="346"/>
      <c r="M32" s="371"/>
      <c r="N32" s="67">
        <f t="shared" si="4"/>
        <v>0</v>
      </c>
      <c r="O32" s="324"/>
    </row>
    <row r="33" ht="12.75" customHeight="1">
      <c r="A33" s="322"/>
      <c r="B33" s="348"/>
      <c r="C33" s="346"/>
      <c r="D33" s="373"/>
      <c r="E33" s="67">
        <f t="shared" si="3"/>
        <v>0</v>
      </c>
      <c r="F33" s="324"/>
      <c r="G33" s="324"/>
      <c r="H33" s="387"/>
      <c r="I33" s="388"/>
      <c r="J33" s="322"/>
      <c r="K33" s="348"/>
      <c r="L33" s="346"/>
      <c r="M33" s="373"/>
      <c r="N33" s="67">
        <f t="shared" si="4"/>
        <v>0</v>
      </c>
      <c r="O33" s="324"/>
    </row>
    <row r="34" ht="12.75" customHeight="1">
      <c r="A34" s="322"/>
      <c r="B34" s="348"/>
      <c r="C34" s="346"/>
      <c r="D34" s="373"/>
      <c r="E34" s="67">
        <f t="shared" si="3"/>
        <v>0</v>
      </c>
      <c r="F34" s="324"/>
      <c r="G34" s="324"/>
      <c r="H34" s="387"/>
      <c r="I34" s="388"/>
      <c r="J34" s="322"/>
      <c r="K34" s="348"/>
      <c r="L34" s="346"/>
      <c r="M34" s="373"/>
      <c r="N34" s="67">
        <f t="shared" si="4"/>
        <v>0</v>
      </c>
      <c r="O34" s="324"/>
    </row>
    <row r="35" ht="12.75" customHeight="1">
      <c r="A35" s="322"/>
      <c r="B35" s="348"/>
      <c r="C35" s="346"/>
      <c r="D35" s="373"/>
      <c r="E35" s="67">
        <f t="shared" si="3"/>
        <v>0</v>
      </c>
      <c r="F35" s="324"/>
      <c r="G35" s="324"/>
      <c r="H35" s="387"/>
      <c r="I35" s="388"/>
      <c r="J35" s="322"/>
      <c r="K35" s="348"/>
      <c r="L35" s="346"/>
      <c r="M35" s="373"/>
      <c r="N35" s="67">
        <f t="shared" si="4"/>
        <v>0</v>
      </c>
      <c r="O35" s="324"/>
    </row>
    <row r="36" ht="12.75" customHeight="1">
      <c r="A36" s="322"/>
      <c r="B36" s="354"/>
      <c r="C36" s="355"/>
      <c r="D36" s="356"/>
      <c r="E36" s="67">
        <f t="shared" si="3"/>
        <v>0</v>
      </c>
      <c r="F36" s="324"/>
      <c r="G36" s="324"/>
      <c r="H36" s="387"/>
      <c r="I36" s="388"/>
      <c r="J36" s="322"/>
      <c r="K36" s="354"/>
      <c r="L36" s="355"/>
      <c r="M36" s="356"/>
      <c r="N36" s="67">
        <f t="shared" si="4"/>
        <v>0</v>
      </c>
      <c r="O36" s="324"/>
    </row>
    <row r="37" ht="12.75" customHeight="1">
      <c r="A37" s="322"/>
      <c r="B37" s="362" t="s">
        <v>84</v>
      </c>
      <c r="C37" s="374"/>
      <c r="D37" s="374"/>
      <c r="E37" s="375">
        <f>IF(SUM(E27:E36)=0,"",SUM(E27:E36))</f>
        <v>8728.565934</v>
      </c>
      <c r="F37" s="324"/>
      <c r="G37" s="324"/>
      <c r="H37" s="387"/>
      <c r="I37" s="388"/>
      <c r="J37" s="322"/>
      <c r="K37" s="362" t="s">
        <v>84</v>
      </c>
      <c r="L37" s="374"/>
      <c r="M37" s="374"/>
      <c r="N37" s="375">
        <f>IF(SUM(N27:N36)=0,"",SUM(N27:N36))</f>
        <v>4464.642857</v>
      </c>
      <c r="O37" s="324"/>
    </row>
    <row r="38" ht="12.75" customHeight="1">
      <c r="A38" s="322"/>
      <c r="B38" s="360"/>
      <c r="C38" s="360"/>
      <c r="D38" s="360"/>
      <c r="E38" s="361"/>
      <c r="F38" s="324"/>
      <c r="G38" s="324"/>
      <c r="H38" s="387"/>
      <c r="I38" s="388"/>
      <c r="J38" s="322"/>
      <c r="K38" s="360"/>
      <c r="L38" s="360"/>
      <c r="M38" s="360"/>
      <c r="N38" s="361"/>
      <c r="O38" s="324"/>
    </row>
    <row r="39" ht="12.75" customHeight="1">
      <c r="A39" s="322"/>
      <c r="B39" s="34" t="s">
        <v>17</v>
      </c>
      <c r="C39" s="35"/>
      <c r="D39" s="35"/>
      <c r="E39" s="35"/>
      <c r="F39" s="324"/>
      <c r="G39" s="324"/>
      <c r="H39" s="387"/>
      <c r="I39" s="388"/>
      <c r="J39" s="322"/>
      <c r="K39" s="34" t="s">
        <v>17</v>
      </c>
      <c r="L39" s="35"/>
      <c r="M39" s="35"/>
      <c r="N39" s="35"/>
      <c r="O39" s="324"/>
    </row>
    <row r="40" ht="12.75" customHeight="1">
      <c r="A40" s="322"/>
      <c r="B40" s="52" t="s">
        <v>42</v>
      </c>
      <c r="C40" s="54"/>
      <c r="D40" s="54"/>
      <c r="E40" s="56" t="s">
        <v>35</v>
      </c>
      <c r="F40" s="324"/>
      <c r="G40" s="324"/>
      <c r="H40" s="387"/>
      <c r="I40" s="388"/>
      <c r="J40" s="322"/>
      <c r="K40" s="52" t="s">
        <v>42</v>
      </c>
      <c r="L40" s="54"/>
      <c r="M40" s="54"/>
      <c r="N40" s="56" t="s">
        <v>35</v>
      </c>
      <c r="O40" s="324"/>
    </row>
    <row r="41" ht="12.75" customHeight="1">
      <c r="A41" s="322"/>
      <c r="B41" s="60" t="s">
        <v>40</v>
      </c>
      <c r="C41" s="343">
        <f>'UTL COST'!$B$3</f>
        <v>369000</v>
      </c>
      <c r="D41" s="379">
        <f>'UTL COST'!$C$3</f>
        <v>0.0075</v>
      </c>
      <c r="E41" s="270">
        <v>0.0</v>
      </c>
      <c r="F41" s="324"/>
      <c r="G41" s="324"/>
      <c r="H41" s="387"/>
      <c r="I41" s="388"/>
      <c r="J41" s="322"/>
      <c r="K41" s="60" t="s">
        <v>40</v>
      </c>
      <c r="L41" s="343">
        <f>'UTL COST'!$B$3</f>
        <v>369000</v>
      </c>
      <c r="M41" s="379">
        <f>'UTL COST'!$C$3</f>
        <v>0.0075</v>
      </c>
      <c r="N41" s="270">
        <v>0.0</v>
      </c>
      <c r="O41" s="324"/>
    </row>
    <row r="42" ht="12.75" customHeight="1">
      <c r="A42" s="322"/>
      <c r="B42" s="75" t="s">
        <v>51</v>
      </c>
      <c r="C42" s="371" t="str">
        <f>'UTL COST'!$B$4</f>
        <v>#REF!</v>
      </c>
      <c r="D42" s="382">
        <f>'UTL COST'!$C$4</f>
        <v>7000</v>
      </c>
      <c r="E42" s="76" t="str">
        <f>'UTL COST'!$D$4</f>
        <v>#REF!</v>
      </c>
      <c r="F42" s="324"/>
      <c r="G42" s="324"/>
      <c r="H42" s="387"/>
      <c r="I42" s="388"/>
      <c r="J42" s="322"/>
      <c r="K42" s="75" t="s">
        <v>51</v>
      </c>
      <c r="L42" s="371" t="str">
        <f>'UTL COST'!$B$4</f>
        <v>#REF!</v>
      </c>
      <c r="M42" s="382">
        <f>'UTL COST'!$C$4</f>
        <v>7000</v>
      </c>
      <c r="N42" s="246">
        <v>0.0</v>
      </c>
      <c r="O42" s="324"/>
    </row>
    <row r="43" ht="12.75" customHeight="1">
      <c r="A43" s="322"/>
      <c r="B43" s="75" t="s">
        <v>59</v>
      </c>
      <c r="C43" s="371" t="str">
        <f>'UTL COST'!$B$5</f>
        <v>#REF!</v>
      </c>
      <c r="D43" s="382">
        <f>'UTL COST'!$C$5</f>
        <v>45000</v>
      </c>
      <c r="E43" s="76" t="str">
        <f>'UTL COST'!$D$5</f>
        <v>#REF!</v>
      </c>
      <c r="F43" s="324"/>
      <c r="G43" s="324"/>
      <c r="H43" s="387"/>
      <c r="I43" s="388"/>
      <c r="J43" s="322"/>
      <c r="K43" s="75" t="s">
        <v>59</v>
      </c>
      <c r="L43" s="371" t="str">
        <f>'UTL COST'!$B$5</f>
        <v>#REF!</v>
      </c>
      <c r="M43" s="382">
        <f>'UTL COST'!$C$5</f>
        <v>45000</v>
      </c>
      <c r="N43" s="76" t="str">
        <f>'UTL COST'!$D$5</f>
        <v>#REF!</v>
      </c>
      <c r="O43" s="324"/>
    </row>
    <row r="44" ht="12.75" customHeight="1">
      <c r="A44" s="322"/>
      <c r="B44" s="87" t="s">
        <v>78</v>
      </c>
      <c r="C44" s="371" t="str">
        <f>'UTL COST'!$B$6</f>
        <v>#REF!</v>
      </c>
      <c r="D44" s="383">
        <f>'UTL COST'!$C$6</f>
        <v>525</v>
      </c>
      <c r="E44" s="89">
        <v>0.1</v>
      </c>
      <c r="F44" s="324"/>
      <c r="G44" s="324"/>
      <c r="H44" s="387"/>
      <c r="I44" s="388"/>
      <c r="J44" s="322"/>
      <c r="K44" s="87" t="s">
        <v>78</v>
      </c>
      <c r="L44" s="371" t="str">
        <f>'UTL COST'!$B$6</f>
        <v>#REF!</v>
      </c>
      <c r="M44" s="383">
        <f>'UTL COST'!$C$6</f>
        <v>525</v>
      </c>
      <c r="N44" s="89">
        <v>0.1</v>
      </c>
      <c r="O44" s="324"/>
    </row>
    <row r="45" ht="12.75" customHeight="1">
      <c r="A45" s="322"/>
      <c r="B45" s="34" t="s">
        <v>84</v>
      </c>
      <c r="C45" s="102"/>
      <c r="D45" s="102"/>
      <c r="E45" s="430" t="str">
        <f>SUM(E41:E44)</f>
        <v>#REF!</v>
      </c>
      <c r="F45" s="324"/>
      <c r="G45" s="324"/>
      <c r="H45" s="387"/>
      <c r="I45" s="388"/>
      <c r="J45" s="322"/>
      <c r="K45" s="34" t="s">
        <v>84</v>
      </c>
      <c r="L45" s="102"/>
      <c r="M45" s="102"/>
      <c r="N45" s="431">
        <v>0.0</v>
      </c>
      <c r="O45" s="324"/>
    </row>
    <row r="46" ht="12.75" customHeight="1">
      <c r="A46" s="322"/>
      <c r="B46" s="360"/>
      <c r="C46" s="360"/>
      <c r="D46" s="360"/>
      <c r="E46" s="361"/>
      <c r="F46" s="324"/>
      <c r="G46" s="324"/>
      <c r="H46" s="387"/>
      <c r="I46" s="388"/>
      <c r="J46" s="322"/>
      <c r="K46" s="360"/>
      <c r="L46" s="360"/>
      <c r="M46" s="360"/>
      <c r="N46" s="361"/>
      <c r="O46" s="324"/>
    </row>
    <row r="47" ht="12.75" customHeight="1">
      <c r="A47" s="387"/>
      <c r="B47" s="387"/>
      <c r="C47" s="387"/>
      <c r="D47" s="387"/>
      <c r="E47" s="418"/>
      <c r="F47" s="387"/>
      <c r="G47" s="387"/>
      <c r="H47" s="387"/>
      <c r="I47" s="387"/>
      <c r="J47" s="387"/>
      <c r="K47" s="387"/>
      <c r="L47" s="387"/>
      <c r="M47" s="387"/>
      <c r="N47" s="387"/>
      <c r="O47" s="387"/>
    </row>
    <row r="48" ht="12.75" customHeight="1">
      <c r="A48" s="322"/>
      <c r="B48" s="322"/>
      <c r="C48" s="322"/>
      <c r="D48" s="322"/>
      <c r="E48" s="323"/>
      <c r="F48" s="324"/>
      <c r="G48" s="324"/>
      <c r="H48" s="387"/>
      <c r="I48" s="388"/>
      <c r="J48" s="322"/>
      <c r="K48" s="322"/>
      <c r="L48" s="322"/>
      <c r="M48" s="322"/>
      <c r="N48" s="323"/>
      <c r="O48" s="324"/>
    </row>
    <row r="49" ht="12.75" customHeight="1">
      <c r="A49" s="322"/>
      <c r="B49" s="325"/>
      <c r="C49" s="322"/>
      <c r="D49" s="322"/>
      <c r="E49" s="323"/>
      <c r="F49" s="326"/>
      <c r="G49" s="326"/>
      <c r="H49" s="404"/>
      <c r="I49" s="388"/>
      <c r="J49" s="322"/>
      <c r="K49" s="325"/>
      <c r="L49" s="322"/>
      <c r="M49" s="322"/>
      <c r="N49" s="323"/>
      <c r="O49" s="326"/>
    </row>
    <row r="50" ht="12.75" customHeight="1">
      <c r="A50" s="322"/>
      <c r="B50" s="327" t="s">
        <v>931</v>
      </c>
      <c r="C50" s="330" t="s">
        <v>1068</v>
      </c>
      <c r="D50" s="329"/>
      <c r="E50" s="323"/>
      <c r="F50" s="326"/>
      <c r="G50" s="326"/>
      <c r="H50" s="404"/>
      <c r="I50" s="388"/>
      <c r="J50" s="322"/>
      <c r="K50" s="327" t="s">
        <v>931</v>
      </c>
      <c r="L50" s="330" t="s">
        <v>1069</v>
      </c>
      <c r="M50" s="329"/>
      <c r="N50" s="323"/>
      <c r="O50" s="326"/>
    </row>
    <row r="51" ht="12.75" customHeight="1">
      <c r="A51" s="322"/>
      <c r="B51" s="325"/>
      <c r="C51" s="322"/>
      <c r="D51" s="322"/>
      <c r="E51" s="323"/>
      <c r="F51" s="326"/>
      <c r="G51" s="326"/>
      <c r="H51" s="404"/>
      <c r="I51" s="388"/>
      <c r="J51" s="322"/>
      <c r="K51" s="325"/>
      <c r="L51" s="322"/>
      <c r="M51" s="322"/>
      <c r="N51" s="323"/>
      <c r="O51" s="326"/>
    </row>
    <row r="52" ht="12.75" customHeight="1">
      <c r="A52" s="322"/>
      <c r="B52" s="327" t="s">
        <v>935</v>
      </c>
      <c r="C52" s="426" t="str">
        <f>C54/90000</f>
        <v>#REF!</v>
      </c>
      <c r="D52" s="329"/>
      <c r="E52" s="323"/>
      <c r="F52" s="326"/>
      <c r="G52" s="326"/>
      <c r="H52" s="404"/>
      <c r="I52" s="388"/>
      <c r="J52" s="322"/>
      <c r="K52" s="327" t="s">
        <v>935</v>
      </c>
      <c r="L52" s="426" t="str">
        <f>L54/90000</f>
        <v>#REF!</v>
      </c>
      <c r="M52" s="329"/>
      <c r="N52" s="323"/>
      <c r="O52" s="326"/>
    </row>
    <row r="53" ht="12.75" customHeight="1">
      <c r="A53" s="322"/>
      <c r="B53" s="327"/>
      <c r="C53" s="332"/>
      <c r="D53" s="332"/>
      <c r="E53" s="323"/>
      <c r="F53" s="326"/>
      <c r="G53" s="326"/>
      <c r="H53" s="404"/>
      <c r="I53" s="388"/>
      <c r="J53" s="322"/>
      <c r="K53" s="327"/>
      <c r="L53" s="332"/>
      <c r="M53" s="332"/>
      <c r="N53" s="323"/>
      <c r="O53" s="326"/>
    </row>
    <row r="54" ht="12.75" customHeight="1">
      <c r="A54" s="322"/>
      <c r="B54" s="327" t="s">
        <v>939</v>
      </c>
      <c r="C54" s="333" t="str">
        <f>IF(SUM(E66,E81,E89)=0,"",SUM(E66,E81,E89))</f>
        <v>#REF!</v>
      </c>
      <c r="D54" s="321"/>
      <c r="E54" s="323" t="str">
        <f>C54/90000</f>
        <v>#REF!</v>
      </c>
      <c r="F54" s="326"/>
      <c r="G54" s="326"/>
      <c r="H54" s="404"/>
      <c r="I54" s="388"/>
      <c r="J54" s="322"/>
      <c r="K54" s="327" t="s">
        <v>939</v>
      </c>
      <c r="L54" s="333" t="str">
        <f>IF(SUM(N66,N81,N89)=0,"",SUM(N66,N81,N89))</f>
        <v>#REF!</v>
      </c>
      <c r="M54" s="321"/>
      <c r="N54" s="323"/>
      <c r="O54" s="326"/>
    </row>
    <row r="55" ht="12.75" customHeight="1">
      <c r="A55" s="322"/>
      <c r="B55" s="327"/>
      <c r="C55" s="334"/>
      <c r="D55" s="334"/>
      <c r="E55" s="323"/>
      <c r="F55" s="326"/>
      <c r="G55" s="326"/>
      <c r="H55" s="404"/>
      <c r="I55" s="388"/>
      <c r="J55" s="322"/>
      <c r="K55" s="327"/>
      <c r="L55" s="334"/>
      <c r="M55" s="334"/>
      <c r="N55" s="323"/>
      <c r="O55" s="326"/>
    </row>
    <row r="56" ht="12.75" customHeight="1">
      <c r="A56" s="322"/>
      <c r="B56" s="327" t="s">
        <v>946</v>
      </c>
      <c r="C56" s="335" t="str">
        <f>IF(C54="","",IF(ISBLANK(C52),"",C54/C52))</f>
        <v>#REF!</v>
      </c>
      <c r="D56" s="321"/>
      <c r="E56" s="323"/>
      <c r="F56" s="326"/>
      <c r="G56" s="326"/>
      <c r="H56" s="404"/>
      <c r="I56" s="388"/>
      <c r="J56" s="322"/>
      <c r="K56" s="327" t="s">
        <v>946</v>
      </c>
      <c r="L56" s="335" t="str">
        <f>IF(L54="","",IF(ISBLANK(L52),"",L54/L52))</f>
        <v>#REF!</v>
      </c>
      <c r="M56" s="321"/>
      <c r="N56" s="323"/>
      <c r="O56" s="326"/>
    </row>
    <row r="57" ht="12.75" customHeight="1">
      <c r="A57" s="322"/>
      <c r="B57" s="327"/>
      <c r="C57" s="334"/>
      <c r="D57" s="334"/>
      <c r="E57" s="323"/>
      <c r="F57" s="326"/>
      <c r="G57" s="326"/>
      <c r="H57" s="404"/>
      <c r="I57" s="388"/>
      <c r="J57" s="322"/>
      <c r="K57" s="327"/>
      <c r="L57" s="334"/>
      <c r="M57" s="334"/>
      <c r="N57" s="323"/>
      <c r="O57" s="326"/>
    </row>
    <row r="58" ht="12.75" customHeight="1">
      <c r="A58" s="322"/>
      <c r="B58" s="327" t="s">
        <v>950</v>
      </c>
      <c r="C58" s="333" t="str">
        <f>C52-C54</f>
        <v>#REF!</v>
      </c>
      <c r="D58" s="321"/>
      <c r="E58" s="323"/>
      <c r="F58" s="326"/>
      <c r="G58" s="326"/>
      <c r="H58" s="404"/>
      <c r="I58" s="388"/>
      <c r="J58" s="322"/>
      <c r="K58" s="327" t="s">
        <v>950</v>
      </c>
      <c r="L58" s="333" t="str">
        <f>L52-L54</f>
        <v>#REF!</v>
      </c>
      <c r="M58" s="321"/>
      <c r="N58" s="323"/>
      <c r="O58" s="326"/>
    </row>
    <row r="59" ht="12.75" customHeight="1">
      <c r="A59" s="322"/>
      <c r="B59" s="322"/>
      <c r="C59" s="322"/>
      <c r="D59" s="322"/>
      <c r="E59" s="323"/>
      <c r="F59" s="324"/>
      <c r="G59" s="324"/>
      <c r="H59" s="404"/>
      <c r="I59" s="388"/>
      <c r="J59" s="322"/>
      <c r="K59" s="322"/>
      <c r="L59" s="322"/>
      <c r="M59" s="322"/>
      <c r="N59" s="323"/>
      <c r="O59" s="324"/>
    </row>
    <row r="60" ht="12.75" customHeight="1">
      <c r="A60" s="322"/>
      <c r="B60" s="322"/>
      <c r="C60" s="322"/>
      <c r="D60" s="322"/>
      <c r="E60" s="337"/>
      <c r="F60" s="324"/>
      <c r="G60" s="324"/>
      <c r="H60" s="387"/>
      <c r="I60" s="388"/>
      <c r="J60" s="322"/>
      <c r="K60" s="322"/>
      <c r="L60" s="322"/>
      <c r="M60" s="322"/>
      <c r="N60" s="337"/>
      <c r="O60" s="324"/>
    </row>
    <row r="61" ht="12.75" customHeight="1">
      <c r="A61" s="322"/>
      <c r="B61" s="338" t="s">
        <v>951</v>
      </c>
      <c r="C61" s="339"/>
      <c r="D61" s="339"/>
      <c r="E61" s="339"/>
      <c r="F61" s="324"/>
      <c r="G61" s="324"/>
      <c r="H61" s="410"/>
      <c r="I61" s="388"/>
      <c r="J61" s="322"/>
      <c r="K61" s="338" t="s">
        <v>951</v>
      </c>
      <c r="L61" s="339"/>
      <c r="M61" s="339"/>
      <c r="N61" s="339"/>
      <c r="O61" s="324"/>
    </row>
    <row r="62" ht="12.75" customHeight="1">
      <c r="A62" s="322"/>
      <c r="B62" s="340" t="s">
        <v>953</v>
      </c>
      <c r="C62" s="341" t="s">
        <v>954</v>
      </c>
      <c r="D62" s="341" t="s">
        <v>955</v>
      </c>
      <c r="E62" s="341" t="s">
        <v>35</v>
      </c>
      <c r="F62" s="324"/>
      <c r="G62" s="324"/>
      <c r="H62" s="387"/>
      <c r="I62" s="388"/>
      <c r="J62" s="322"/>
      <c r="K62" s="340" t="s">
        <v>953</v>
      </c>
      <c r="L62" s="341" t="s">
        <v>954</v>
      </c>
      <c r="M62" s="341" t="s">
        <v>955</v>
      </c>
      <c r="N62" s="341" t="s">
        <v>35</v>
      </c>
      <c r="O62" s="324"/>
    </row>
    <row r="63" ht="12.75" customHeight="1">
      <c r="A63" s="322"/>
      <c r="B63" s="139" t="s">
        <v>672</v>
      </c>
      <c r="C63" s="344">
        <v>0.5</v>
      </c>
      <c r="D63" s="343">
        <f>'F&amp;B'!F64</f>
        <v>9720</v>
      </c>
      <c r="E63" s="67">
        <f t="shared" ref="E63:E65" si="5">IF(OR(ISBLANK(C63),ISBLANK(D63)),"",D63*C63)</f>
        <v>4860</v>
      </c>
      <c r="F63" s="324"/>
      <c r="G63" s="324"/>
      <c r="H63" s="387"/>
      <c r="I63" s="388"/>
      <c r="J63" s="322"/>
      <c r="K63" s="139" t="s">
        <v>672</v>
      </c>
      <c r="L63" s="344">
        <v>1.0</v>
      </c>
      <c r="M63" s="343">
        <f>'F&amp;B'!F64</f>
        <v>9720</v>
      </c>
      <c r="N63" s="67">
        <f t="shared" ref="N63:N65" si="6">IF(OR(ISBLANK(L63),ISBLANK(M63)),"",M63*L63)</f>
        <v>9720</v>
      </c>
      <c r="O63" s="324"/>
    </row>
    <row r="64" ht="12.75" customHeight="1">
      <c r="A64" s="322"/>
      <c r="B64" s="228" t="s">
        <v>998</v>
      </c>
      <c r="C64" s="398">
        <v>0.5</v>
      </c>
      <c r="D64" s="371">
        <f>M29</f>
        <v>1247.142857</v>
      </c>
      <c r="E64" s="67">
        <f t="shared" si="5"/>
        <v>623.5714286</v>
      </c>
      <c r="F64" s="324"/>
      <c r="G64" s="324"/>
      <c r="H64" s="387"/>
      <c r="I64" s="388"/>
      <c r="J64" s="322"/>
      <c r="K64" s="228" t="s">
        <v>62</v>
      </c>
      <c r="L64" s="398">
        <v>0.01</v>
      </c>
      <c r="M64" s="371">
        <f>D65</f>
        <v>19800</v>
      </c>
      <c r="N64" s="67">
        <f t="shared" si="6"/>
        <v>198</v>
      </c>
      <c r="O64" s="324"/>
    </row>
    <row r="65" ht="12.75" customHeight="1">
      <c r="A65" s="322"/>
      <c r="B65" s="406" t="s">
        <v>62</v>
      </c>
      <c r="C65" s="351">
        <v>0.01</v>
      </c>
      <c r="D65" s="371">
        <f>D20</f>
        <v>19800</v>
      </c>
      <c r="E65" s="67">
        <f t="shared" si="5"/>
        <v>198</v>
      </c>
      <c r="F65" s="324"/>
      <c r="G65" s="324"/>
      <c r="H65" s="387"/>
      <c r="I65" s="388"/>
      <c r="J65" s="322"/>
      <c r="K65" s="406" t="s">
        <v>66</v>
      </c>
      <c r="L65" s="351">
        <v>0.05</v>
      </c>
      <c r="M65" s="434">
        <f>D21</f>
        <v>8100</v>
      </c>
      <c r="N65" s="67">
        <f t="shared" si="6"/>
        <v>405</v>
      </c>
      <c r="O65" s="324"/>
    </row>
    <row r="66" ht="12.75" customHeight="1">
      <c r="A66" s="322"/>
      <c r="B66" s="338" t="s">
        <v>84</v>
      </c>
      <c r="C66" s="358"/>
      <c r="D66" s="358"/>
      <c r="E66" s="359">
        <f>IF(SUM(E63:E65)=0,"",SUM(E63:E65))</f>
        <v>5681.571429</v>
      </c>
      <c r="F66" s="324"/>
      <c r="G66" s="324"/>
      <c r="H66" s="387"/>
      <c r="I66" s="388"/>
      <c r="J66" s="322"/>
      <c r="K66" s="338" t="s">
        <v>84</v>
      </c>
      <c r="L66" s="358"/>
      <c r="M66" s="358"/>
      <c r="N66" s="359">
        <f>IF(SUM(N63:N65)=0,"",SUM(N63:N65))</f>
        <v>10323</v>
      </c>
      <c r="O66" s="324"/>
    </row>
    <row r="67" ht="12.75" customHeight="1">
      <c r="A67" s="322"/>
      <c r="B67" s="360"/>
      <c r="C67" s="360"/>
      <c r="D67" s="360"/>
      <c r="E67" s="361"/>
      <c r="F67" s="324"/>
      <c r="G67" s="324"/>
      <c r="H67" s="387"/>
      <c r="I67" s="388"/>
      <c r="J67" s="322"/>
      <c r="K67" s="360"/>
      <c r="L67" s="360"/>
      <c r="M67" s="360"/>
      <c r="N67" s="361"/>
      <c r="O67" s="324"/>
    </row>
    <row r="68" ht="12.75" customHeight="1">
      <c r="A68" s="322"/>
      <c r="B68" s="362" t="s">
        <v>972</v>
      </c>
      <c r="C68" s="363"/>
      <c r="D68" s="363"/>
      <c r="E68" s="363"/>
      <c r="F68" s="324"/>
      <c r="G68" s="324"/>
      <c r="H68" s="387"/>
      <c r="I68" s="388"/>
      <c r="J68" s="322"/>
      <c r="K68" s="362" t="s">
        <v>972</v>
      </c>
      <c r="L68" s="363"/>
      <c r="M68" s="363"/>
      <c r="N68" s="363"/>
      <c r="O68" s="324"/>
    </row>
    <row r="69" ht="12.75" customHeight="1">
      <c r="A69" s="322"/>
      <c r="B69" s="365" t="s">
        <v>953</v>
      </c>
      <c r="C69" s="366" t="s">
        <v>3</v>
      </c>
      <c r="D69" s="366" t="s">
        <v>975</v>
      </c>
      <c r="E69" s="367" t="s">
        <v>35</v>
      </c>
      <c r="F69" s="324"/>
      <c r="G69" s="324"/>
      <c r="H69" s="387"/>
      <c r="I69" s="388"/>
      <c r="J69" s="322"/>
      <c r="K69" s="365" t="s">
        <v>953</v>
      </c>
      <c r="L69" s="366" t="s">
        <v>3</v>
      </c>
      <c r="M69" s="366" t="s">
        <v>975</v>
      </c>
      <c r="N69" s="367" t="s">
        <v>35</v>
      </c>
      <c r="O69" s="324"/>
    </row>
    <row r="70" ht="12.75" customHeight="1">
      <c r="A70" s="322"/>
      <c r="B70" s="368"/>
      <c r="C70" s="366"/>
      <c r="D70" s="366"/>
      <c r="E70" s="368"/>
      <c r="F70" s="324"/>
      <c r="G70" s="324"/>
      <c r="H70" s="387"/>
      <c r="I70" s="388"/>
      <c r="J70" s="322"/>
      <c r="K70" s="368"/>
      <c r="L70" s="366"/>
      <c r="M70" s="366"/>
      <c r="N70" s="368"/>
      <c r="O70" s="324"/>
    </row>
    <row r="71" ht="12.75" customHeight="1">
      <c r="A71" s="322"/>
      <c r="B71" s="139" t="s">
        <v>1072</v>
      </c>
      <c r="C71" s="344">
        <v>0.06</v>
      </c>
      <c r="D71" s="343">
        <f>'F&amp;B'!F94</f>
        <v>27000</v>
      </c>
      <c r="E71" s="67">
        <f t="shared" ref="E71:E80" si="7">D71*C71</f>
        <v>1620</v>
      </c>
      <c r="F71" s="324"/>
      <c r="G71" s="324"/>
      <c r="H71" s="387"/>
      <c r="I71" s="388"/>
      <c r="J71" s="322"/>
      <c r="K71" s="139" t="s">
        <v>176</v>
      </c>
      <c r="L71" s="344">
        <v>0.025</v>
      </c>
      <c r="M71" s="343">
        <f t="shared" ref="M71:M72" si="8">D27</f>
        <v>38076.92308</v>
      </c>
      <c r="N71" s="67">
        <f t="shared" ref="N71:N80" si="9">M71*L71</f>
        <v>951.9230769</v>
      </c>
      <c r="O71" s="324"/>
    </row>
    <row r="72" ht="12.75" customHeight="1">
      <c r="A72" s="322"/>
      <c r="B72" s="228" t="s">
        <v>374</v>
      </c>
      <c r="C72" s="405">
        <v>0.015</v>
      </c>
      <c r="D72" s="371">
        <f>'F&amp;B'!F79/25</f>
        <v>14040</v>
      </c>
      <c r="E72" s="67">
        <f t="shared" si="7"/>
        <v>210.6</v>
      </c>
      <c r="F72" s="324"/>
      <c r="G72" s="324"/>
      <c r="H72" s="387"/>
      <c r="I72" s="388"/>
      <c r="J72" s="322"/>
      <c r="K72" s="228" t="s">
        <v>1074</v>
      </c>
      <c r="L72" s="405">
        <v>1.0</v>
      </c>
      <c r="M72" s="371">
        <f t="shared" si="8"/>
        <v>7776.642857</v>
      </c>
      <c r="N72" s="67">
        <f t="shared" si="9"/>
        <v>7776.642857</v>
      </c>
      <c r="O72" s="324"/>
    </row>
    <row r="73" ht="12.75" customHeight="1">
      <c r="A73" s="322"/>
      <c r="B73" s="228" t="s">
        <v>738</v>
      </c>
      <c r="C73" s="405">
        <v>0.012</v>
      </c>
      <c r="D73" s="371">
        <f>'F&amp;B'!F136</f>
        <v>90000</v>
      </c>
      <c r="E73" s="67">
        <f t="shared" si="7"/>
        <v>1080</v>
      </c>
      <c r="F73" s="324"/>
      <c r="G73" s="324"/>
      <c r="H73" s="387"/>
      <c r="I73" s="388"/>
      <c r="J73" s="322"/>
      <c r="K73" s="75"/>
      <c r="L73" s="370"/>
      <c r="M73" s="371"/>
      <c r="N73" s="67">
        <f t="shared" si="9"/>
        <v>0</v>
      </c>
      <c r="O73" s="324"/>
    </row>
    <row r="74" ht="12.75" customHeight="1">
      <c r="A74" s="322"/>
      <c r="B74" s="228" t="s">
        <v>1074</v>
      </c>
      <c r="C74" s="344">
        <v>1.0</v>
      </c>
      <c r="D74" s="343">
        <f>D28</f>
        <v>7776.642857</v>
      </c>
      <c r="E74" s="67">
        <f t="shared" si="7"/>
        <v>7776.642857</v>
      </c>
      <c r="F74" s="324"/>
      <c r="G74" s="324"/>
      <c r="H74" s="387"/>
      <c r="I74" s="388"/>
      <c r="J74" s="322"/>
      <c r="K74" s="75"/>
      <c r="L74" s="342"/>
      <c r="M74" s="343"/>
      <c r="N74" s="67">
        <f t="shared" si="9"/>
        <v>0</v>
      </c>
      <c r="O74" s="324"/>
    </row>
    <row r="75" ht="12.75" customHeight="1">
      <c r="A75" s="322"/>
      <c r="B75" s="75"/>
      <c r="C75" s="346"/>
      <c r="D75" s="371"/>
      <c r="E75" s="67">
        <f t="shared" si="7"/>
        <v>0</v>
      </c>
      <c r="F75" s="324"/>
      <c r="G75" s="324"/>
      <c r="H75" s="387"/>
      <c r="I75" s="388"/>
      <c r="J75" s="322"/>
      <c r="K75" s="429"/>
      <c r="L75" s="346"/>
      <c r="M75" s="343"/>
      <c r="N75" s="67">
        <f t="shared" si="9"/>
        <v>0</v>
      </c>
      <c r="O75" s="324"/>
    </row>
    <row r="76" ht="12.75" customHeight="1">
      <c r="A76" s="322"/>
      <c r="B76" s="75"/>
      <c r="C76" s="346"/>
      <c r="D76" s="435"/>
      <c r="E76" s="67">
        <f t="shared" si="7"/>
        <v>0</v>
      </c>
      <c r="F76" s="324"/>
      <c r="G76" s="324"/>
      <c r="H76" s="387"/>
      <c r="I76" s="388"/>
      <c r="J76" s="322"/>
      <c r="K76" s="75"/>
      <c r="L76" s="346"/>
      <c r="M76" s="343"/>
      <c r="N76" s="67">
        <f t="shared" si="9"/>
        <v>0</v>
      </c>
      <c r="O76" s="324"/>
    </row>
    <row r="77" ht="12.75" customHeight="1">
      <c r="A77" s="322"/>
      <c r="B77" s="436"/>
      <c r="C77" s="346"/>
      <c r="D77" s="435"/>
      <c r="E77" s="67">
        <f t="shared" si="7"/>
        <v>0</v>
      </c>
      <c r="F77" s="324"/>
      <c r="G77" s="324"/>
      <c r="H77" s="387"/>
      <c r="I77" s="388"/>
      <c r="J77" s="322"/>
      <c r="K77" s="348"/>
      <c r="L77" s="346"/>
      <c r="M77" s="373"/>
      <c r="N77" s="67">
        <f t="shared" si="9"/>
        <v>0</v>
      </c>
      <c r="O77" s="324"/>
    </row>
    <row r="78" ht="12.75" customHeight="1">
      <c r="A78" s="322"/>
      <c r="B78" s="348"/>
      <c r="C78" s="346"/>
      <c r="D78" s="373"/>
      <c r="E78" s="67">
        <f t="shared" si="7"/>
        <v>0</v>
      </c>
      <c r="F78" s="324"/>
      <c r="G78" s="324"/>
      <c r="H78" s="387"/>
      <c r="I78" s="388"/>
      <c r="J78" s="322"/>
      <c r="K78" s="348"/>
      <c r="L78" s="346"/>
      <c r="M78" s="373"/>
      <c r="N78" s="67">
        <f t="shared" si="9"/>
        <v>0</v>
      </c>
      <c r="O78" s="324"/>
    </row>
    <row r="79" ht="12.75" customHeight="1">
      <c r="A79" s="322"/>
      <c r="B79" s="348"/>
      <c r="C79" s="346"/>
      <c r="D79" s="373"/>
      <c r="E79" s="67">
        <f t="shared" si="7"/>
        <v>0</v>
      </c>
      <c r="F79" s="324"/>
      <c r="G79" s="324"/>
      <c r="H79" s="387"/>
      <c r="I79" s="388"/>
      <c r="J79" s="322"/>
      <c r="K79" s="348"/>
      <c r="L79" s="346"/>
      <c r="M79" s="373"/>
      <c r="N79" s="67">
        <f t="shared" si="9"/>
        <v>0</v>
      </c>
      <c r="O79" s="324"/>
    </row>
    <row r="80" ht="12.75" customHeight="1">
      <c r="A80" s="322"/>
      <c r="B80" s="354"/>
      <c r="C80" s="355"/>
      <c r="D80" s="356"/>
      <c r="E80" s="67">
        <f t="shared" si="7"/>
        <v>0</v>
      </c>
      <c r="F80" s="324"/>
      <c r="G80" s="324"/>
      <c r="H80" s="387"/>
      <c r="I80" s="388"/>
      <c r="J80" s="322"/>
      <c r="K80" s="354"/>
      <c r="L80" s="355"/>
      <c r="M80" s="356"/>
      <c r="N80" s="67">
        <f t="shared" si="9"/>
        <v>0</v>
      </c>
      <c r="O80" s="324"/>
    </row>
    <row r="81" ht="12.75" customHeight="1">
      <c r="A81" s="322"/>
      <c r="B81" s="362" t="s">
        <v>84</v>
      </c>
      <c r="C81" s="374"/>
      <c r="D81" s="374"/>
      <c r="E81" s="375">
        <f>IF(SUM(E71:E80)=0,"",SUM(E71:E80))</f>
        <v>10687.24286</v>
      </c>
      <c r="F81" s="324"/>
      <c r="G81" s="324"/>
      <c r="H81" s="387"/>
      <c r="I81" s="388"/>
      <c r="J81" s="322"/>
      <c r="K81" s="362" t="s">
        <v>84</v>
      </c>
      <c r="L81" s="374"/>
      <c r="M81" s="374"/>
      <c r="N81" s="375">
        <f>IF(SUM(N71:N80)=0,"",SUM(N71:N80))</f>
        <v>8728.565934</v>
      </c>
      <c r="O81" s="324"/>
    </row>
    <row r="82" ht="12.75" customHeight="1">
      <c r="A82" s="322"/>
      <c r="B82" s="360"/>
      <c r="C82" s="360"/>
      <c r="D82" s="360"/>
      <c r="E82" s="361"/>
      <c r="F82" s="324"/>
      <c r="G82" s="324"/>
      <c r="H82" s="387"/>
      <c r="I82" s="388"/>
      <c r="J82" s="322"/>
      <c r="K82" s="360"/>
      <c r="L82" s="360"/>
      <c r="M82" s="360"/>
      <c r="N82" s="361"/>
      <c r="O82" s="324"/>
    </row>
    <row r="83" ht="12.75" customHeight="1">
      <c r="A83" s="322"/>
      <c r="B83" s="34" t="s">
        <v>17</v>
      </c>
      <c r="C83" s="35"/>
      <c r="D83" s="35"/>
      <c r="E83" s="35"/>
      <c r="F83" s="324"/>
      <c r="G83" s="324"/>
      <c r="H83" s="387"/>
      <c r="I83" s="388"/>
      <c r="J83" s="322"/>
      <c r="K83" s="34" t="s">
        <v>17</v>
      </c>
      <c r="L83" s="35"/>
      <c r="M83" s="35"/>
      <c r="N83" s="35"/>
      <c r="O83" s="324"/>
    </row>
    <row r="84" ht="12.75" customHeight="1">
      <c r="A84" s="322"/>
      <c r="B84" s="52" t="s">
        <v>42</v>
      </c>
      <c r="C84" s="54"/>
      <c r="D84" s="54"/>
      <c r="E84" s="56" t="s">
        <v>35</v>
      </c>
      <c r="F84" s="324"/>
      <c r="G84" s="324"/>
      <c r="H84" s="387"/>
      <c r="I84" s="388"/>
      <c r="J84" s="322"/>
      <c r="K84" s="52" t="s">
        <v>42</v>
      </c>
      <c r="L84" s="54"/>
      <c r="M84" s="54"/>
      <c r="N84" s="56" t="s">
        <v>35</v>
      </c>
      <c r="O84" s="324"/>
    </row>
    <row r="85" ht="12.75" customHeight="1">
      <c r="A85" s="322"/>
      <c r="B85" s="60" t="s">
        <v>40</v>
      </c>
      <c r="C85" s="343">
        <f>'UTL COST'!$B$3</f>
        <v>369000</v>
      </c>
      <c r="D85" s="379">
        <f>'UTL COST'!$C$3</f>
        <v>0.0075</v>
      </c>
      <c r="E85" s="270">
        <v>0.0</v>
      </c>
      <c r="F85" s="324"/>
      <c r="G85" s="324"/>
      <c r="H85" s="387"/>
      <c r="I85" s="388"/>
      <c r="J85" s="322"/>
      <c r="K85" s="60" t="s">
        <v>40</v>
      </c>
      <c r="L85" s="343">
        <f>'UTL COST'!$B$3</f>
        <v>369000</v>
      </c>
      <c r="M85" s="379">
        <f>'UTL COST'!$C$3</f>
        <v>0.0075</v>
      </c>
      <c r="N85" s="270">
        <v>0.0</v>
      </c>
      <c r="O85" s="324"/>
    </row>
    <row r="86" ht="12.75" customHeight="1">
      <c r="A86" s="322"/>
      <c r="B86" s="75" t="s">
        <v>51</v>
      </c>
      <c r="C86" s="371" t="str">
        <f>'UTL COST'!$B$4</f>
        <v>#REF!</v>
      </c>
      <c r="D86" s="382">
        <f>'UTL COST'!$C$4</f>
        <v>7000</v>
      </c>
      <c r="E86" s="76" t="str">
        <f>'UTL COST'!$D$4</f>
        <v>#REF!</v>
      </c>
      <c r="F86" s="324"/>
      <c r="G86" s="324"/>
      <c r="H86" s="387"/>
      <c r="I86" s="388"/>
      <c r="J86" s="322"/>
      <c r="K86" s="75" t="s">
        <v>51</v>
      </c>
      <c r="L86" s="371" t="str">
        <f>'UTL COST'!$B$4</f>
        <v>#REF!</v>
      </c>
      <c r="M86" s="382">
        <f>'UTL COST'!$C$4</f>
        <v>7000</v>
      </c>
      <c r="N86" s="76" t="str">
        <f>'UTL COST'!$D$4</f>
        <v>#REF!</v>
      </c>
      <c r="O86" s="324"/>
    </row>
    <row r="87" ht="12.75" customHeight="1">
      <c r="A87" s="322"/>
      <c r="B87" s="75" t="s">
        <v>59</v>
      </c>
      <c r="C87" s="371" t="str">
        <f>'UTL COST'!$B$5</f>
        <v>#REF!</v>
      </c>
      <c r="D87" s="382">
        <f>'UTL COST'!$C$5</f>
        <v>45000</v>
      </c>
      <c r="E87" s="76" t="str">
        <f>'UTL COST'!$D$5</f>
        <v>#REF!</v>
      </c>
      <c r="F87" s="324"/>
      <c r="G87" s="324"/>
      <c r="H87" s="387"/>
      <c r="I87" s="388"/>
      <c r="J87" s="322"/>
      <c r="K87" s="75" t="s">
        <v>59</v>
      </c>
      <c r="L87" s="371" t="str">
        <f>'UTL COST'!$B$5</f>
        <v>#REF!</v>
      </c>
      <c r="M87" s="382">
        <f>'UTL COST'!$C$5</f>
        <v>45000</v>
      </c>
      <c r="N87" s="76" t="str">
        <f>'UTL COST'!$D$5</f>
        <v>#REF!</v>
      </c>
      <c r="O87" s="324"/>
    </row>
    <row r="88" ht="12.75" customHeight="1">
      <c r="A88" s="322"/>
      <c r="B88" s="87" t="s">
        <v>78</v>
      </c>
      <c r="C88" s="371" t="str">
        <f>'UTL COST'!$B$6</f>
        <v>#REF!</v>
      </c>
      <c r="D88" s="383">
        <f>'UTL COST'!$C$6</f>
        <v>525</v>
      </c>
      <c r="E88" s="89">
        <v>0.1</v>
      </c>
      <c r="F88" s="324"/>
      <c r="G88" s="324"/>
      <c r="H88" s="387"/>
      <c r="I88" s="388"/>
      <c r="J88" s="322"/>
      <c r="K88" s="87" t="s">
        <v>78</v>
      </c>
      <c r="L88" s="371" t="str">
        <f>'UTL COST'!$B$6</f>
        <v>#REF!</v>
      </c>
      <c r="M88" s="383">
        <f>'UTL COST'!$C$6</f>
        <v>525</v>
      </c>
      <c r="N88" s="89">
        <v>0.1</v>
      </c>
      <c r="O88" s="324"/>
    </row>
    <row r="89" ht="12.75" customHeight="1">
      <c r="A89" s="322"/>
      <c r="B89" s="34" t="s">
        <v>84</v>
      </c>
      <c r="C89" s="102"/>
      <c r="D89" s="102"/>
      <c r="E89" s="430" t="str">
        <f>SUM(E85:E88)</f>
        <v>#REF!</v>
      </c>
      <c r="F89" s="324"/>
      <c r="G89" s="324"/>
      <c r="H89" s="387"/>
      <c r="I89" s="388"/>
      <c r="J89" s="322"/>
      <c r="K89" s="34" t="s">
        <v>84</v>
      </c>
      <c r="L89" s="102"/>
      <c r="M89" s="102"/>
      <c r="N89" s="430" t="str">
        <f>SUM(N85:N88)</f>
        <v>#REF!</v>
      </c>
      <c r="O89" s="324"/>
    </row>
    <row r="90" ht="12.75" customHeight="1">
      <c r="A90" s="322"/>
      <c r="B90" s="360"/>
      <c r="C90" s="360"/>
      <c r="D90" s="360"/>
      <c r="E90" s="361"/>
      <c r="F90" s="324"/>
      <c r="G90" s="324"/>
      <c r="H90" s="387"/>
      <c r="I90" s="388"/>
      <c r="J90" s="322"/>
      <c r="K90" s="360"/>
      <c r="L90" s="360"/>
      <c r="M90" s="360"/>
      <c r="N90" s="361"/>
      <c r="O90" s="324"/>
    </row>
    <row r="91" ht="12.75" customHeight="1">
      <c r="A91" s="388"/>
      <c r="B91" s="432"/>
      <c r="C91" s="432"/>
      <c r="D91" s="432"/>
      <c r="E91" s="433"/>
      <c r="F91" s="387"/>
      <c r="G91" s="387"/>
      <c r="H91" s="387"/>
      <c r="I91" s="388"/>
      <c r="J91" s="388"/>
      <c r="K91" s="432"/>
      <c r="L91" s="432"/>
      <c r="M91" s="432"/>
      <c r="N91" s="433"/>
      <c r="O91" s="387"/>
    </row>
    <row r="92" ht="12.75" customHeight="1">
      <c r="A92" s="387"/>
      <c r="B92" s="387"/>
      <c r="C92" s="387"/>
      <c r="D92" s="387"/>
      <c r="E92" s="418"/>
      <c r="F92" s="387"/>
      <c r="G92" s="387"/>
      <c r="H92" s="387"/>
      <c r="I92" s="387"/>
      <c r="J92" s="387"/>
      <c r="K92" s="387"/>
      <c r="L92" s="387"/>
      <c r="M92" s="387"/>
      <c r="N92" s="387"/>
      <c r="O92" s="387"/>
    </row>
    <row r="93" ht="12.75" customHeight="1">
      <c r="A93" s="387"/>
      <c r="B93" s="387"/>
      <c r="C93" s="387"/>
      <c r="D93" s="387"/>
      <c r="E93" s="418"/>
      <c r="F93" s="387"/>
      <c r="G93" s="387"/>
      <c r="H93" s="387"/>
      <c r="I93" s="387"/>
      <c r="J93" s="387"/>
      <c r="K93" s="387"/>
      <c r="L93" s="387"/>
      <c r="M93" s="387"/>
      <c r="N93" s="387"/>
      <c r="O93" s="387"/>
    </row>
    <row r="94" ht="12.75" customHeight="1">
      <c r="A94" s="322"/>
      <c r="B94" s="322"/>
      <c r="C94" s="322"/>
      <c r="D94" s="322"/>
      <c r="E94" s="323"/>
      <c r="F94" s="324"/>
      <c r="G94" s="324"/>
      <c r="H94" s="387"/>
      <c r="I94" s="388"/>
      <c r="J94" s="322"/>
      <c r="K94" s="322"/>
      <c r="L94" s="322"/>
      <c r="M94" s="322"/>
      <c r="N94" s="323"/>
      <c r="O94" s="324"/>
    </row>
    <row r="95" ht="12.75" customHeight="1">
      <c r="A95" s="322"/>
      <c r="B95" s="325"/>
      <c r="C95" s="322"/>
      <c r="D95" s="322"/>
      <c r="E95" s="323"/>
      <c r="F95" s="326"/>
      <c r="G95" s="326"/>
      <c r="H95" s="404"/>
      <c r="I95" s="388"/>
      <c r="J95" s="322"/>
      <c r="K95" s="325"/>
      <c r="L95" s="322"/>
      <c r="M95" s="322"/>
      <c r="N95" s="323"/>
      <c r="O95" s="326"/>
    </row>
    <row r="96" ht="12.75" customHeight="1">
      <c r="A96" s="322"/>
      <c r="B96" s="327" t="s">
        <v>931</v>
      </c>
      <c r="C96" s="330" t="s">
        <v>1079</v>
      </c>
      <c r="D96" s="329"/>
      <c r="E96" s="323"/>
      <c r="F96" s="326"/>
      <c r="G96" s="326"/>
      <c r="H96" s="404"/>
      <c r="I96" s="388"/>
      <c r="J96" s="322"/>
      <c r="K96" s="327" t="s">
        <v>931</v>
      </c>
      <c r="L96" s="328"/>
      <c r="M96" s="329"/>
      <c r="N96" s="323"/>
      <c r="O96" s="326"/>
    </row>
    <row r="97" ht="12.75" customHeight="1">
      <c r="A97" s="322"/>
      <c r="B97" s="325"/>
      <c r="C97" s="322"/>
      <c r="D97" s="322"/>
      <c r="E97" s="323"/>
      <c r="F97" s="326"/>
      <c r="G97" s="326"/>
      <c r="H97" s="404"/>
      <c r="I97" s="388"/>
      <c r="J97" s="322"/>
      <c r="K97" s="325"/>
      <c r="L97" s="322"/>
      <c r="M97" s="322"/>
      <c r="N97" s="323"/>
      <c r="O97" s="326"/>
    </row>
    <row r="98" ht="12.75" customHeight="1">
      <c r="A98" s="322"/>
      <c r="B98" s="327" t="s">
        <v>935</v>
      </c>
      <c r="C98" s="331">
        <v>80000.0</v>
      </c>
      <c r="D98" s="329"/>
      <c r="E98" s="323"/>
      <c r="F98" s="326"/>
      <c r="G98" s="326"/>
      <c r="H98" s="404"/>
      <c r="I98" s="388"/>
      <c r="J98" s="322"/>
      <c r="K98" s="327" t="s">
        <v>935</v>
      </c>
      <c r="L98" s="331">
        <v>150000.0</v>
      </c>
      <c r="M98" s="329"/>
      <c r="N98" s="323"/>
      <c r="O98" s="326"/>
    </row>
    <row r="99" ht="12.75" customHeight="1">
      <c r="A99" s="322"/>
      <c r="B99" s="327"/>
      <c r="C99" s="332"/>
      <c r="D99" s="332"/>
      <c r="E99" s="323"/>
      <c r="F99" s="326"/>
      <c r="G99" s="326"/>
      <c r="H99" s="404"/>
      <c r="I99" s="388"/>
      <c r="J99" s="322"/>
      <c r="K99" s="327"/>
      <c r="L99" s="332"/>
      <c r="M99" s="332"/>
      <c r="N99" s="323"/>
      <c r="O99" s="326"/>
    </row>
    <row r="100" ht="12.75" customHeight="1">
      <c r="A100" s="322"/>
      <c r="B100" s="327" t="s">
        <v>939</v>
      </c>
      <c r="C100" s="333">
        <f>IF(SUM(E112,E127,E135)=0,"",SUM(E112,E127,E135))</f>
        <v>316419.6857</v>
      </c>
      <c r="D100" s="321"/>
      <c r="E100" s="323">
        <f>C100/90000</f>
        <v>3.515774286</v>
      </c>
      <c r="F100" s="326"/>
      <c r="G100" s="326"/>
      <c r="H100" s="404"/>
      <c r="I100" s="388"/>
      <c r="J100" s="322"/>
      <c r="K100" s="327" t="s">
        <v>939</v>
      </c>
      <c r="L100" s="333" t="str">
        <f>IF(SUM(N112,N127,N135)=0,"",SUM(N112,N127,N135))</f>
        <v>#REF!</v>
      </c>
      <c r="M100" s="321"/>
      <c r="N100" s="323"/>
      <c r="O100" s="326"/>
    </row>
    <row r="101" ht="12.75" customHeight="1">
      <c r="A101" s="322"/>
      <c r="B101" s="327"/>
      <c r="C101" s="334"/>
      <c r="D101" s="334"/>
      <c r="E101" s="323"/>
      <c r="F101" s="326"/>
      <c r="G101" s="326"/>
      <c r="H101" s="404"/>
      <c r="I101" s="388"/>
      <c r="J101" s="322"/>
      <c r="K101" s="327"/>
      <c r="L101" s="334"/>
      <c r="M101" s="334"/>
      <c r="N101" s="323"/>
      <c r="O101" s="326"/>
    </row>
    <row r="102" ht="12.75" customHeight="1">
      <c r="A102" s="322"/>
      <c r="B102" s="327" t="s">
        <v>946</v>
      </c>
      <c r="C102" s="335">
        <f>IF(C100="","",IF(ISBLANK(C98),"",C100/C98))</f>
        <v>3.955246071</v>
      </c>
      <c r="D102" s="321"/>
      <c r="E102" s="323"/>
      <c r="F102" s="326"/>
      <c r="G102" s="326"/>
      <c r="H102" s="404"/>
      <c r="I102" s="388"/>
      <c r="J102" s="322"/>
      <c r="K102" s="327" t="s">
        <v>946</v>
      </c>
      <c r="L102" s="335" t="str">
        <f>IF(L100="","",IF(ISBLANK(L98),"",L100/L98))</f>
        <v>#REF!</v>
      </c>
      <c r="M102" s="321"/>
      <c r="N102" s="323"/>
      <c r="O102" s="326"/>
    </row>
    <row r="103" ht="12.75" customHeight="1">
      <c r="A103" s="322"/>
      <c r="B103" s="327"/>
      <c r="C103" s="334"/>
      <c r="D103" s="334"/>
      <c r="E103" s="323"/>
      <c r="F103" s="326"/>
      <c r="G103" s="326"/>
      <c r="H103" s="404"/>
      <c r="I103" s="388"/>
      <c r="J103" s="322"/>
      <c r="K103" s="327"/>
      <c r="L103" s="334"/>
      <c r="M103" s="334"/>
      <c r="N103" s="323"/>
      <c r="O103" s="326"/>
    </row>
    <row r="104" ht="12.75" customHeight="1">
      <c r="A104" s="322"/>
      <c r="B104" s="327" t="s">
        <v>950</v>
      </c>
      <c r="C104" s="333">
        <f>C98-C100</f>
        <v>-236419.6857</v>
      </c>
      <c r="D104" s="321"/>
      <c r="E104" s="323"/>
      <c r="F104" s="326"/>
      <c r="G104" s="326"/>
      <c r="H104" s="404"/>
      <c r="I104" s="388"/>
      <c r="J104" s="322"/>
      <c r="K104" s="327" t="s">
        <v>950</v>
      </c>
      <c r="L104" s="333" t="str">
        <f>L98-L100</f>
        <v>#REF!</v>
      </c>
      <c r="M104" s="321"/>
      <c r="N104" s="323"/>
      <c r="O104" s="326"/>
    </row>
    <row r="105" ht="12.75" customHeight="1">
      <c r="A105" s="322"/>
      <c r="B105" s="322"/>
      <c r="C105" s="322"/>
      <c r="D105" s="322"/>
      <c r="E105" s="323"/>
      <c r="F105" s="324"/>
      <c r="G105" s="324"/>
      <c r="H105" s="404"/>
      <c r="I105" s="388"/>
      <c r="J105" s="322"/>
      <c r="K105" s="322"/>
      <c r="L105" s="322"/>
      <c r="M105" s="322"/>
      <c r="N105" s="323"/>
      <c r="O105" s="324"/>
    </row>
    <row r="106" ht="12.75" customHeight="1">
      <c r="A106" s="322"/>
      <c r="B106" s="322"/>
      <c r="C106" s="322"/>
      <c r="D106" s="322"/>
      <c r="E106" s="337"/>
      <c r="F106" s="324"/>
      <c r="G106" s="324"/>
      <c r="H106" s="387"/>
      <c r="I106" s="388"/>
      <c r="J106" s="322"/>
      <c r="K106" s="322"/>
      <c r="L106" s="322"/>
      <c r="M106" s="322"/>
      <c r="N106" s="337"/>
      <c r="O106" s="324"/>
    </row>
    <row r="107" ht="12.75" customHeight="1">
      <c r="A107" s="322"/>
      <c r="B107" s="338" t="s">
        <v>951</v>
      </c>
      <c r="C107" s="339"/>
      <c r="D107" s="339"/>
      <c r="E107" s="339"/>
      <c r="F107" s="324"/>
      <c r="G107" s="324"/>
      <c r="H107" s="410"/>
      <c r="I107" s="388"/>
      <c r="J107" s="322"/>
      <c r="K107" s="338" t="s">
        <v>951</v>
      </c>
      <c r="L107" s="339"/>
      <c r="M107" s="339"/>
      <c r="N107" s="339"/>
      <c r="O107" s="324"/>
    </row>
    <row r="108" ht="12.75" customHeight="1">
      <c r="A108" s="322"/>
      <c r="B108" s="340" t="s">
        <v>953</v>
      </c>
      <c r="C108" s="341" t="s">
        <v>954</v>
      </c>
      <c r="D108" s="341" t="s">
        <v>955</v>
      </c>
      <c r="E108" s="341" t="s">
        <v>35</v>
      </c>
      <c r="F108" s="438">
        <f>F111+F110+F109</f>
        <v>1.60704</v>
      </c>
      <c r="G108" s="439"/>
      <c r="H108" s="387"/>
      <c r="I108" s="388"/>
      <c r="J108" s="322"/>
      <c r="K108" s="340" t="s">
        <v>953</v>
      </c>
      <c r="L108" s="341" t="s">
        <v>954</v>
      </c>
      <c r="M108" s="341" t="s">
        <v>955</v>
      </c>
      <c r="N108" s="341" t="s">
        <v>35</v>
      </c>
      <c r="O108" s="324"/>
    </row>
    <row r="109" ht="12.75" customHeight="1">
      <c r="A109" s="322"/>
      <c r="B109" s="139" t="s">
        <v>1086</v>
      </c>
      <c r="C109" s="344">
        <v>0.066</v>
      </c>
      <c r="D109" s="343">
        <f>(41.76/4)*90000</f>
        <v>939600</v>
      </c>
      <c r="E109" s="67">
        <f t="shared" ref="E109:E111" si="10">IF(OR(ISBLANK(C109),ISBLANK(D109)),"",D109*C109)</f>
        <v>62013.6</v>
      </c>
      <c r="F109" s="438">
        <f t="shared" ref="F109:F111" si="11">E109/90000</f>
        <v>0.68904</v>
      </c>
      <c r="G109" s="439"/>
      <c r="H109" s="387"/>
      <c r="I109" s="388"/>
      <c r="J109" s="322"/>
      <c r="K109" s="60"/>
      <c r="L109" s="342"/>
      <c r="M109" s="343"/>
      <c r="N109" s="67" t="str">
        <f t="shared" ref="N109:N111" si="12">IF(OR(ISBLANK(L109),ISBLANK(M109)),"",M109*L109)</f>
        <v/>
      </c>
      <c r="O109" s="324"/>
    </row>
    <row r="110" ht="12.75" customHeight="1">
      <c r="A110" s="322"/>
      <c r="B110" s="228" t="s">
        <v>1088</v>
      </c>
      <c r="C110" s="344">
        <v>0.04</v>
      </c>
      <c r="D110" s="403">
        <f>(39.6/4)*90000</f>
        <v>891000</v>
      </c>
      <c r="E110" s="67">
        <f t="shared" si="10"/>
        <v>35640</v>
      </c>
      <c r="F110" s="438">
        <f t="shared" si="11"/>
        <v>0.396</v>
      </c>
      <c r="G110" s="439"/>
      <c r="H110" s="387"/>
      <c r="I110" s="388"/>
      <c r="J110" s="322"/>
      <c r="K110" s="75"/>
      <c r="L110" s="346"/>
      <c r="M110" s="371"/>
      <c r="N110" s="67" t="str">
        <f t="shared" si="12"/>
        <v/>
      </c>
      <c r="O110" s="324"/>
    </row>
    <row r="111" ht="12.75" customHeight="1">
      <c r="A111" s="322"/>
      <c r="B111" s="406" t="s">
        <v>1089</v>
      </c>
      <c r="C111" s="344">
        <v>0.05</v>
      </c>
      <c r="D111" s="343">
        <f>(41.76/4)*90000</f>
        <v>939600</v>
      </c>
      <c r="E111" s="67">
        <f t="shared" si="10"/>
        <v>46980</v>
      </c>
      <c r="F111" s="438">
        <f t="shared" si="11"/>
        <v>0.522</v>
      </c>
      <c r="G111" s="439"/>
      <c r="H111" s="387"/>
      <c r="I111" s="388"/>
      <c r="J111" s="322"/>
      <c r="K111" s="87"/>
      <c r="L111" s="355"/>
      <c r="M111" s="434"/>
      <c r="N111" s="67" t="str">
        <f t="shared" si="12"/>
        <v/>
      </c>
      <c r="O111" s="324"/>
    </row>
    <row r="112" ht="12.75" customHeight="1">
      <c r="A112" s="322"/>
      <c r="B112" s="338" t="s">
        <v>84</v>
      </c>
      <c r="C112" s="358"/>
      <c r="D112" s="358"/>
      <c r="E112" s="359">
        <f>IF(SUM(E109:E111)=0,"",SUM(E109:E111))</f>
        <v>144633.6</v>
      </c>
      <c r="F112" s="324"/>
      <c r="G112" s="324"/>
      <c r="H112" s="387"/>
      <c r="I112" s="388"/>
      <c r="J112" s="322"/>
      <c r="K112" s="338" t="s">
        <v>84</v>
      </c>
      <c r="L112" s="358"/>
      <c r="M112" s="358"/>
      <c r="N112" s="359" t="str">
        <f>IF(SUM(N109:N111)=0,"",SUM(N109:N111))</f>
        <v/>
      </c>
      <c r="O112" s="324"/>
    </row>
    <row r="113" ht="12.75" customHeight="1">
      <c r="A113" s="322"/>
      <c r="B113" s="360"/>
      <c r="C113" s="360"/>
      <c r="D113" s="360"/>
      <c r="E113" s="361"/>
      <c r="F113" s="324"/>
      <c r="G113" s="324"/>
      <c r="H113" s="387"/>
      <c r="I113" s="388"/>
      <c r="J113" s="322"/>
      <c r="K113" s="360"/>
      <c r="L113" s="360"/>
      <c r="M113" s="360"/>
      <c r="N113" s="361"/>
      <c r="O113" s="324"/>
    </row>
    <row r="114" ht="12.75" customHeight="1">
      <c r="A114" s="322"/>
      <c r="B114" s="362" t="s">
        <v>972</v>
      </c>
      <c r="C114" s="363"/>
      <c r="D114" s="363"/>
      <c r="E114" s="363"/>
      <c r="F114" s="324"/>
      <c r="G114" s="324"/>
      <c r="H114" s="387"/>
      <c r="I114" s="388"/>
      <c r="J114" s="322"/>
      <c r="K114" s="362" t="s">
        <v>972</v>
      </c>
      <c r="L114" s="363"/>
      <c r="M114" s="363"/>
      <c r="N114" s="363"/>
      <c r="O114" s="324"/>
    </row>
    <row r="115" ht="12.75" customHeight="1">
      <c r="A115" s="322"/>
      <c r="B115" s="365" t="s">
        <v>953</v>
      </c>
      <c r="C115" s="366" t="s">
        <v>3</v>
      </c>
      <c r="D115" s="366" t="s">
        <v>975</v>
      </c>
      <c r="E115" s="367" t="s">
        <v>35</v>
      </c>
      <c r="F115" s="324"/>
      <c r="G115" s="324"/>
      <c r="H115" s="387"/>
      <c r="I115" s="388"/>
      <c r="J115" s="322"/>
      <c r="K115" s="365" t="s">
        <v>953</v>
      </c>
      <c r="L115" s="366" t="s">
        <v>3</v>
      </c>
      <c r="M115" s="366" t="s">
        <v>975</v>
      </c>
      <c r="N115" s="367" t="s">
        <v>35</v>
      </c>
      <c r="O115" s="324"/>
    </row>
    <row r="116" ht="12.75" customHeight="1">
      <c r="A116" s="322"/>
      <c r="B116" s="368"/>
      <c r="C116" s="366"/>
      <c r="D116" s="366"/>
      <c r="E116" s="368"/>
      <c r="F116" s="438">
        <f>F117+F118+F119+F120</f>
        <v>1.73592</v>
      </c>
      <c r="G116" s="439"/>
      <c r="H116" s="387"/>
      <c r="I116" s="388"/>
      <c r="J116" s="322"/>
      <c r="K116" s="368"/>
      <c r="L116" s="366"/>
      <c r="M116" s="366"/>
      <c r="N116" s="368"/>
      <c r="O116" s="324"/>
    </row>
    <row r="117" ht="12.75" customHeight="1">
      <c r="A117" s="322"/>
      <c r="B117" s="139" t="s">
        <v>1091</v>
      </c>
      <c r="C117" s="344">
        <v>0.06</v>
      </c>
      <c r="D117" s="343">
        <f>(22.5/5)*90000</f>
        <v>405000</v>
      </c>
      <c r="E117" s="67">
        <f t="shared" ref="E117:E120" si="13">D117*C117</f>
        <v>24300</v>
      </c>
      <c r="F117" s="438">
        <f t="shared" ref="F117:F120" si="14">E117/90000</f>
        <v>0.27</v>
      </c>
      <c r="G117" s="439"/>
      <c r="H117" s="387"/>
      <c r="I117" s="388"/>
      <c r="J117" s="322"/>
      <c r="K117" s="60"/>
      <c r="L117" s="342"/>
      <c r="M117" s="343"/>
      <c r="N117" s="67">
        <f t="shared" ref="N117:N126" si="15">M117*L117</f>
        <v>0</v>
      </c>
      <c r="O117" s="324"/>
    </row>
    <row r="118" ht="12.75" customHeight="1">
      <c r="A118" s="322"/>
      <c r="B118" s="228" t="s">
        <v>444</v>
      </c>
      <c r="C118" s="405">
        <v>0.11</v>
      </c>
      <c r="D118" s="371">
        <f>1611900/5</f>
        <v>322380</v>
      </c>
      <c r="E118" s="67">
        <f t="shared" si="13"/>
        <v>35461.8</v>
      </c>
      <c r="F118" s="438">
        <f t="shared" si="14"/>
        <v>0.39402</v>
      </c>
      <c r="G118" s="439"/>
      <c r="H118" s="387"/>
      <c r="I118" s="388"/>
      <c r="J118" s="322"/>
      <c r="K118" s="75"/>
      <c r="L118" s="370"/>
      <c r="M118" s="371"/>
      <c r="N118" s="67">
        <f t="shared" si="15"/>
        <v>0</v>
      </c>
      <c r="O118" s="324"/>
    </row>
    <row r="119" ht="12.75" customHeight="1">
      <c r="A119" s="322"/>
      <c r="B119" s="228" t="s">
        <v>286</v>
      </c>
      <c r="C119" s="405">
        <v>0.09</v>
      </c>
      <c r="D119" s="371">
        <f>(14.85/3)*90000</f>
        <v>445500</v>
      </c>
      <c r="E119" s="67">
        <f t="shared" si="13"/>
        <v>40095</v>
      </c>
      <c r="F119" s="438">
        <f t="shared" si="14"/>
        <v>0.4455</v>
      </c>
      <c r="G119" s="439"/>
      <c r="H119" s="387"/>
      <c r="I119" s="388"/>
      <c r="J119" s="322"/>
      <c r="K119" s="75"/>
      <c r="L119" s="370"/>
      <c r="M119" s="371"/>
      <c r="N119" s="67">
        <f t="shared" si="15"/>
        <v>0</v>
      </c>
      <c r="O119" s="324"/>
    </row>
    <row r="120" ht="12.75" customHeight="1">
      <c r="A120" s="322"/>
      <c r="B120" s="228" t="s">
        <v>1092</v>
      </c>
      <c r="C120" s="344">
        <v>0.06</v>
      </c>
      <c r="D120" s="343">
        <f>(41.76/4)*90000</f>
        <v>939600</v>
      </c>
      <c r="E120" s="67">
        <f t="shared" si="13"/>
        <v>56376</v>
      </c>
      <c r="F120" s="438">
        <f t="shared" si="14"/>
        <v>0.6264</v>
      </c>
      <c r="G120" s="439"/>
      <c r="H120" s="387"/>
      <c r="I120" s="388"/>
      <c r="J120" s="322"/>
      <c r="K120" s="75"/>
      <c r="L120" s="342"/>
      <c r="M120" s="343"/>
      <c r="N120" s="67">
        <f t="shared" si="15"/>
        <v>0</v>
      </c>
      <c r="O120" s="324"/>
    </row>
    <row r="121" ht="12.75" customHeight="1">
      <c r="A121" s="322"/>
      <c r="B121" s="228" t="s">
        <v>998</v>
      </c>
      <c r="C121" s="398">
        <v>1.0</v>
      </c>
      <c r="D121" s="371">
        <f>M86</f>
        <v>7000</v>
      </c>
      <c r="E121" s="67">
        <f>D122*C121</f>
        <v>7776.642857</v>
      </c>
      <c r="F121" s="324"/>
      <c r="G121" s="324"/>
      <c r="H121" s="387"/>
      <c r="I121" s="388"/>
      <c r="J121" s="322"/>
      <c r="K121" s="75"/>
      <c r="L121" s="346"/>
      <c r="M121" s="371"/>
      <c r="N121" s="67">
        <f t="shared" si="15"/>
        <v>0</v>
      </c>
      <c r="O121" s="324"/>
    </row>
    <row r="122" ht="12.75" customHeight="1">
      <c r="A122" s="322"/>
      <c r="B122" s="228" t="s">
        <v>1055</v>
      </c>
      <c r="C122" s="398">
        <v>1.0</v>
      </c>
      <c r="D122" s="371">
        <f>L10</f>
        <v>7776.642857</v>
      </c>
      <c r="E122" s="67">
        <f t="shared" ref="E122:E126" si="16">D122*C122</f>
        <v>7776.642857</v>
      </c>
      <c r="F122" s="324"/>
      <c r="G122" s="324"/>
      <c r="H122" s="387"/>
      <c r="I122" s="388"/>
      <c r="J122" s="322"/>
      <c r="K122" s="75"/>
      <c r="L122" s="346"/>
      <c r="M122" s="371"/>
      <c r="N122" s="67">
        <f t="shared" si="15"/>
        <v>0</v>
      </c>
      <c r="O122" s="324"/>
    </row>
    <row r="123" ht="12.75" customHeight="1">
      <c r="A123" s="322"/>
      <c r="B123" s="348"/>
      <c r="C123" s="346"/>
      <c r="D123" s="373"/>
      <c r="E123" s="67">
        <f t="shared" si="16"/>
        <v>0</v>
      </c>
      <c r="F123" s="324"/>
      <c r="G123" s="324"/>
      <c r="H123" s="387"/>
      <c r="I123" s="388"/>
      <c r="J123" s="322"/>
      <c r="K123" s="348"/>
      <c r="L123" s="346"/>
      <c r="M123" s="371"/>
      <c r="N123" s="67">
        <f t="shared" si="15"/>
        <v>0</v>
      </c>
      <c r="O123" s="324"/>
    </row>
    <row r="124" ht="12.75" customHeight="1">
      <c r="A124" s="322"/>
      <c r="B124" s="348"/>
      <c r="C124" s="346"/>
      <c r="D124" s="373"/>
      <c r="E124" s="67">
        <f t="shared" si="16"/>
        <v>0</v>
      </c>
      <c r="F124" s="324"/>
      <c r="G124" s="324"/>
      <c r="H124" s="387"/>
      <c r="I124" s="388"/>
      <c r="J124" s="322"/>
      <c r="K124" s="348"/>
      <c r="L124" s="346"/>
      <c r="M124" s="371"/>
      <c r="N124" s="67">
        <f t="shared" si="15"/>
        <v>0</v>
      </c>
      <c r="O124" s="324"/>
    </row>
    <row r="125" ht="12.75" customHeight="1">
      <c r="A125" s="322"/>
      <c r="B125" s="348"/>
      <c r="C125" s="346"/>
      <c r="D125" s="373"/>
      <c r="E125" s="67">
        <f t="shared" si="16"/>
        <v>0</v>
      </c>
      <c r="F125" s="324"/>
      <c r="G125" s="324"/>
      <c r="H125" s="387"/>
      <c r="I125" s="388"/>
      <c r="J125" s="322"/>
      <c r="K125" s="348"/>
      <c r="L125" s="346"/>
      <c r="M125" s="373"/>
      <c r="N125" s="67">
        <f t="shared" si="15"/>
        <v>0</v>
      </c>
      <c r="O125" s="324"/>
    </row>
    <row r="126" ht="12.75" customHeight="1">
      <c r="A126" s="322"/>
      <c r="B126" s="354"/>
      <c r="C126" s="355"/>
      <c r="D126" s="356"/>
      <c r="E126" s="67">
        <f t="shared" si="16"/>
        <v>0</v>
      </c>
      <c r="F126" s="324"/>
      <c r="G126" s="324"/>
      <c r="H126" s="387"/>
      <c r="I126" s="388"/>
      <c r="J126" s="322"/>
      <c r="K126" s="354"/>
      <c r="L126" s="355"/>
      <c r="M126" s="356"/>
      <c r="N126" s="67">
        <f t="shared" si="15"/>
        <v>0</v>
      </c>
      <c r="O126" s="324"/>
    </row>
    <row r="127" ht="12.75" customHeight="1">
      <c r="A127" s="322"/>
      <c r="B127" s="362" t="s">
        <v>84</v>
      </c>
      <c r="C127" s="374"/>
      <c r="D127" s="374"/>
      <c r="E127" s="375">
        <f>IF(SUM(E117:E126)=0,"",SUM(E117:E126))</f>
        <v>171786.0857</v>
      </c>
      <c r="F127" s="324"/>
      <c r="G127" s="324"/>
      <c r="H127" s="387"/>
      <c r="I127" s="388"/>
      <c r="J127" s="322"/>
      <c r="K127" s="362" t="s">
        <v>84</v>
      </c>
      <c r="L127" s="374"/>
      <c r="M127" s="374"/>
      <c r="N127" s="375" t="str">
        <f>IF(SUM(N117:N126)=0,"",SUM(N117:N126))</f>
        <v/>
      </c>
      <c r="O127" s="324"/>
    </row>
    <row r="128" ht="12.75" customHeight="1">
      <c r="A128" s="322"/>
      <c r="B128" s="360"/>
      <c r="C128" s="360"/>
      <c r="D128" s="360"/>
      <c r="E128" s="361"/>
      <c r="F128" s="324"/>
      <c r="G128" s="324"/>
      <c r="H128" s="387"/>
      <c r="I128" s="388"/>
      <c r="J128" s="322"/>
      <c r="K128" s="360"/>
      <c r="L128" s="360"/>
      <c r="M128" s="360"/>
      <c r="N128" s="361"/>
      <c r="O128" s="324"/>
    </row>
    <row r="129" ht="12.75" customHeight="1">
      <c r="A129" s="322"/>
      <c r="B129" s="34" t="s">
        <v>17</v>
      </c>
      <c r="C129" s="35"/>
      <c r="D129" s="35"/>
      <c r="E129" s="35"/>
      <c r="F129" s="324"/>
      <c r="G129" s="324"/>
      <c r="H129" s="387"/>
      <c r="I129" s="388"/>
      <c r="J129" s="322"/>
      <c r="K129" s="34" t="s">
        <v>17</v>
      </c>
      <c r="L129" s="35"/>
      <c r="M129" s="35"/>
      <c r="N129" s="35"/>
      <c r="O129" s="324"/>
    </row>
    <row r="130" ht="12.75" customHeight="1">
      <c r="A130" s="322"/>
      <c r="B130" s="52" t="s">
        <v>42</v>
      </c>
      <c r="C130" s="54"/>
      <c r="D130" s="54"/>
      <c r="E130" s="56" t="s">
        <v>35</v>
      </c>
      <c r="F130" s="324"/>
      <c r="G130" s="324"/>
      <c r="H130" s="387"/>
      <c r="I130" s="388"/>
      <c r="J130" s="322"/>
      <c r="K130" s="52" t="s">
        <v>42</v>
      </c>
      <c r="L130" s="54"/>
      <c r="M130" s="54"/>
      <c r="N130" s="56" t="s">
        <v>35</v>
      </c>
      <c r="O130" s="324"/>
    </row>
    <row r="131" ht="12.75" customHeight="1">
      <c r="A131" s="322"/>
      <c r="B131" s="60" t="s">
        <v>40</v>
      </c>
      <c r="C131" s="343">
        <f>'UTL COST'!$B$3</f>
        <v>369000</v>
      </c>
      <c r="D131" s="379">
        <f>'UTL COST'!$C$3</f>
        <v>0.0075</v>
      </c>
      <c r="E131" s="270">
        <v>0.0</v>
      </c>
      <c r="F131" s="324"/>
      <c r="G131" s="324"/>
      <c r="H131" s="387"/>
      <c r="I131" s="388"/>
      <c r="J131" s="322"/>
      <c r="K131" s="60" t="s">
        <v>40</v>
      </c>
      <c r="L131" s="343">
        <f>'UTL COST'!$B$3</f>
        <v>369000</v>
      </c>
      <c r="M131" s="379">
        <f>'UTL COST'!$C$3</f>
        <v>0.0075</v>
      </c>
      <c r="N131" s="67">
        <f>'UTL COST'!$D$3</f>
        <v>2767.5</v>
      </c>
      <c r="O131" s="324"/>
    </row>
    <row r="132" ht="12.75" customHeight="1">
      <c r="A132" s="322"/>
      <c r="B132" s="75" t="s">
        <v>51</v>
      </c>
      <c r="C132" s="371" t="str">
        <f>'UTL COST'!$B$4</f>
        <v>#REF!</v>
      </c>
      <c r="D132" s="382">
        <f>'UTL COST'!$C$4</f>
        <v>7000</v>
      </c>
      <c r="E132" s="246">
        <v>0.0</v>
      </c>
      <c r="F132" s="324"/>
      <c r="G132" s="324"/>
      <c r="H132" s="387"/>
      <c r="I132" s="388"/>
      <c r="J132" s="322"/>
      <c r="K132" s="75" t="s">
        <v>51</v>
      </c>
      <c r="L132" s="371" t="str">
        <f>'UTL COST'!$B$4</f>
        <v>#REF!</v>
      </c>
      <c r="M132" s="382">
        <f>'UTL COST'!$C$4</f>
        <v>7000</v>
      </c>
      <c r="N132" s="76" t="str">
        <f>'UTL COST'!$D$4</f>
        <v>#REF!</v>
      </c>
      <c r="O132" s="324"/>
    </row>
    <row r="133" ht="12.75" customHeight="1">
      <c r="A133" s="322"/>
      <c r="B133" s="75" t="s">
        <v>59</v>
      </c>
      <c r="C133" s="371" t="str">
        <f>'UTL COST'!$B$5</f>
        <v>#REF!</v>
      </c>
      <c r="D133" s="382">
        <f>'UTL COST'!$C$5</f>
        <v>45000</v>
      </c>
      <c r="E133" s="76" t="str">
        <f>'UTL COST'!$D$5</f>
        <v>#REF!</v>
      </c>
      <c r="F133" s="324"/>
      <c r="G133" s="324"/>
      <c r="H133" s="387"/>
      <c r="I133" s="388"/>
      <c r="J133" s="322"/>
      <c r="K133" s="75" t="s">
        <v>59</v>
      </c>
      <c r="L133" s="371" t="str">
        <f>'UTL COST'!$B$5</f>
        <v>#REF!</v>
      </c>
      <c r="M133" s="382">
        <f>'UTL COST'!$C$5</f>
        <v>45000</v>
      </c>
      <c r="N133" s="76" t="str">
        <f>'UTL COST'!$D$5</f>
        <v>#REF!</v>
      </c>
      <c r="O133" s="324"/>
    </row>
    <row r="134" ht="12.75" customHeight="1">
      <c r="A134" s="322"/>
      <c r="B134" s="87" t="s">
        <v>78</v>
      </c>
      <c r="C134" s="371" t="str">
        <f>'UTL COST'!$B$6</f>
        <v>#REF!</v>
      </c>
      <c r="D134" s="383">
        <f>'UTL COST'!$C$6</f>
        <v>525</v>
      </c>
      <c r="E134" s="89">
        <v>0.1</v>
      </c>
      <c r="F134" s="324"/>
      <c r="G134" s="324"/>
      <c r="H134" s="387"/>
      <c r="I134" s="388"/>
      <c r="J134" s="322"/>
      <c r="K134" s="87" t="s">
        <v>78</v>
      </c>
      <c r="L134" s="371" t="str">
        <f>'UTL COST'!$B$6</f>
        <v>#REF!</v>
      </c>
      <c r="M134" s="383">
        <f>'UTL COST'!$C$6</f>
        <v>525</v>
      </c>
      <c r="N134" s="89">
        <v>0.1</v>
      </c>
      <c r="O134" s="324"/>
    </row>
    <row r="135" ht="12.75" customHeight="1">
      <c r="A135" s="322"/>
      <c r="B135" s="34" t="s">
        <v>84</v>
      </c>
      <c r="C135" s="102"/>
      <c r="D135" s="102"/>
      <c r="E135" s="431">
        <v>0.0</v>
      </c>
      <c r="F135" s="324"/>
      <c r="G135" s="324"/>
      <c r="H135" s="387"/>
      <c r="I135" s="388"/>
      <c r="J135" s="322"/>
      <c r="K135" s="34" t="s">
        <v>84</v>
      </c>
      <c r="L135" s="102"/>
      <c r="M135" s="102"/>
      <c r="N135" s="104" t="str">
        <f>IF(SUM(N131:N134)=0,"",SUM(N131:N134))</f>
        <v>#REF!</v>
      </c>
      <c r="O135" s="324"/>
    </row>
    <row r="136" ht="12.75" customHeight="1">
      <c r="A136" s="322"/>
      <c r="B136" s="360"/>
      <c r="C136" s="360"/>
      <c r="D136" s="360"/>
      <c r="E136" s="361"/>
      <c r="F136" s="324"/>
      <c r="G136" s="324"/>
      <c r="H136" s="387"/>
      <c r="I136" s="388"/>
      <c r="J136" s="322"/>
      <c r="K136" s="360"/>
      <c r="L136" s="360"/>
      <c r="M136" s="360"/>
      <c r="N136" s="361"/>
      <c r="O136" s="324"/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F117:G117"/>
    <mergeCell ref="F118:G118"/>
    <mergeCell ref="F119:G119"/>
    <mergeCell ref="F120:G120"/>
    <mergeCell ref="F110:G110"/>
    <mergeCell ref="F111:G111"/>
    <mergeCell ref="B115:B116"/>
    <mergeCell ref="E115:E116"/>
    <mergeCell ref="K115:K116"/>
    <mergeCell ref="N115:N116"/>
    <mergeCell ref="F116:G116"/>
    <mergeCell ref="L10:M10"/>
    <mergeCell ref="L12:M12"/>
    <mergeCell ref="A1:F1"/>
    <mergeCell ref="C6:D6"/>
    <mergeCell ref="L6:M6"/>
    <mergeCell ref="C8:D8"/>
    <mergeCell ref="L8:M8"/>
    <mergeCell ref="C10:D10"/>
    <mergeCell ref="C12:D12"/>
    <mergeCell ref="C14:D14"/>
    <mergeCell ref="L14:M14"/>
    <mergeCell ref="B25:B26"/>
    <mergeCell ref="E25:E26"/>
    <mergeCell ref="K25:K26"/>
    <mergeCell ref="N25:N26"/>
    <mergeCell ref="L50:M50"/>
    <mergeCell ref="C50:D50"/>
    <mergeCell ref="C52:D52"/>
    <mergeCell ref="C54:D54"/>
    <mergeCell ref="C56:D56"/>
    <mergeCell ref="C58:D58"/>
    <mergeCell ref="B69:B70"/>
    <mergeCell ref="E69:E70"/>
    <mergeCell ref="L98:M98"/>
    <mergeCell ref="L100:M100"/>
    <mergeCell ref="L102:M102"/>
    <mergeCell ref="L104:M104"/>
    <mergeCell ref="L52:M52"/>
    <mergeCell ref="L54:M54"/>
    <mergeCell ref="L56:M56"/>
    <mergeCell ref="L58:M58"/>
    <mergeCell ref="K69:K70"/>
    <mergeCell ref="N69:N70"/>
    <mergeCell ref="L96:M96"/>
    <mergeCell ref="C96:D96"/>
    <mergeCell ref="C98:D98"/>
    <mergeCell ref="C100:D100"/>
    <mergeCell ref="C102:D102"/>
    <mergeCell ref="C104:D104"/>
    <mergeCell ref="F108:G108"/>
    <mergeCell ref="F109:G109"/>
  </mergeCells>
  <printOptions/>
  <pageMargins bottom="0.75" footer="0.0" header="0.0" left="0.7" right="0.7" top="0.75"/>
  <pageSetup orientation="portrait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0"/>
    <col customWidth="1" min="4" max="4" width="11.63"/>
    <col customWidth="1" min="5" max="5" width="12.63"/>
    <col customWidth="1" min="6" max="7" width="3.0"/>
    <col customWidth="1" min="8" max="10" width="7.75"/>
    <col customWidth="1" min="11" max="11" width="24.38"/>
    <col customWidth="1" min="12" max="12" width="13.0"/>
    <col customWidth="1" min="13" max="13" width="11.13"/>
    <col customWidth="1" min="14" max="14" width="9.88"/>
    <col customWidth="1" min="15" max="16" width="7.75"/>
    <col customWidth="1" min="17" max="26" width="14.38"/>
  </cols>
  <sheetData>
    <row r="1" ht="46.5" customHeight="1">
      <c r="A1" s="399" t="s">
        <v>1058</v>
      </c>
      <c r="B1" s="321"/>
      <c r="C1" s="321"/>
      <c r="D1" s="321"/>
      <c r="E1" s="321"/>
      <c r="F1" s="321"/>
      <c r="G1" s="402"/>
      <c r="H1" s="387"/>
      <c r="I1" s="387"/>
      <c r="J1" s="387"/>
      <c r="K1" s="387"/>
      <c r="L1" s="387"/>
      <c r="M1" s="387"/>
      <c r="N1" s="387"/>
      <c r="O1" s="387"/>
      <c r="P1" s="387"/>
    </row>
    <row r="2" ht="18.0" customHeight="1">
      <c r="A2" s="388"/>
      <c r="B2" s="388"/>
      <c r="C2" s="388"/>
      <c r="D2" s="388"/>
      <c r="E2" s="389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</row>
    <row r="3" ht="6.75" customHeight="1">
      <c r="A3" s="388"/>
      <c r="B3" s="388"/>
      <c r="C3" s="388"/>
      <c r="D3" s="388"/>
      <c r="E3" s="389"/>
      <c r="F3" s="387"/>
      <c r="G3" s="387"/>
      <c r="H3" s="387"/>
      <c r="I3" s="387"/>
      <c r="J3" s="387"/>
      <c r="K3" s="387"/>
      <c r="L3" s="387"/>
      <c r="M3" s="387"/>
      <c r="N3" s="387"/>
      <c r="O3" s="387"/>
      <c r="P3" s="387"/>
    </row>
    <row r="4" ht="15.0" customHeight="1">
      <c r="A4" s="322"/>
      <c r="B4" s="322"/>
      <c r="C4" s="322"/>
      <c r="D4" s="322"/>
      <c r="E4" s="323"/>
      <c r="F4" s="324"/>
      <c r="G4" s="324"/>
      <c r="H4" s="387"/>
      <c r="I4" s="388"/>
      <c r="J4" s="322"/>
      <c r="K4" s="322"/>
      <c r="L4" s="322"/>
      <c r="M4" s="322"/>
      <c r="N4" s="323"/>
      <c r="O4" s="324"/>
      <c r="P4" s="387"/>
    </row>
    <row r="5" ht="4.5" customHeight="1">
      <c r="A5" s="322"/>
      <c r="B5" s="325"/>
      <c r="C5" s="322"/>
      <c r="D5" s="322"/>
      <c r="E5" s="323"/>
      <c r="F5" s="326"/>
      <c r="G5" s="326"/>
      <c r="H5" s="404"/>
      <c r="I5" s="388"/>
      <c r="J5" s="322"/>
      <c r="K5" s="325"/>
      <c r="L5" s="322"/>
      <c r="M5" s="322"/>
      <c r="N5" s="323"/>
      <c r="O5" s="326"/>
      <c r="P5" s="387"/>
    </row>
    <row r="6" ht="18.0" customHeight="1">
      <c r="A6" s="322"/>
      <c r="B6" s="327" t="s">
        <v>931</v>
      </c>
      <c r="C6" s="328" t="s">
        <v>1004</v>
      </c>
      <c r="D6" s="329"/>
      <c r="E6" s="323"/>
      <c r="F6" s="326"/>
      <c r="G6" s="326"/>
      <c r="H6" s="404"/>
      <c r="I6" s="388"/>
      <c r="J6" s="322"/>
      <c r="K6" s="327" t="s">
        <v>931</v>
      </c>
      <c r="L6" s="328" t="s">
        <v>333</v>
      </c>
      <c r="M6" s="329"/>
      <c r="N6" s="323"/>
      <c r="O6" s="326"/>
      <c r="P6" s="387"/>
    </row>
    <row r="7" ht="4.5" customHeight="1">
      <c r="A7" s="322"/>
      <c r="B7" s="325"/>
      <c r="C7" s="322"/>
      <c r="D7" s="322"/>
      <c r="E7" s="323"/>
      <c r="F7" s="326"/>
      <c r="G7" s="326"/>
      <c r="H7" s="404"/>
      <c r="I7" s="388"/>
      <c r="J7" s="322"/>
      <c r="K7" s="325"/>
      <c r="L7" s="322"/>
      <c r="M7" s="322"/>
      <c r="N7" s="323"/>
      <c r="O7" s="326"/>
      <c r="P7" s="387"/>
    </row>
    <row r="8" ht="18.0" customHeight="1">
      <c r="A8" s="322"/>
      <c r="B8" s="327" t="s">
        <v>935</v>
      </c>
      <c r="C8" s="331">
        <v>135000.0</v>
      </c>
      <c r="D8" s="329"/>
      <c r="E8" s="323"/>
      <c r="F8" s="326"/>
      <c r="G8" s="326"/>
      <c r="H8" s="404"/>
      <c r="I8" s="388"/>
      <c r="J8" s="322"/>
      <c r="K8" s="327" t="s">
        <v>935</v>
      </c>
      <c r="L8" s="331">
        <v>200000.0</v>
      </c>
      <c r="M8" s="329"/>
      <c r="N8" s="323"/>
      <c r="O8" s="326"/>
      <c r="P8" s="387"/>
    </row>
    <row r="9" ht="4.5" customHeight="1">
      <c r="A9" s="322"/>
      <c r="B9" s="327"/>
      <c r="C9" s="332"/>
      <c r="D9" s="332"/>
      <c r="E9" s="323"/>
      <c r="F9" s="326"/>
      <c r="G9" s="326"/>
      <c r="H9" s="404"/>
      <c r="I9" s="388"/>
      <c r="J9" s="322"/>
      <c r="K9" s="327"/>
      <c r="L9" s="332"/>
      <c r="M9" s="332"/>
      <c r="N9" s="323"/>
      <c r="O9" s="326"/>
      <c r="P9" s="387"/>
    </row>
    <row r="10" ht="18.0" customHeight="1">
      <c r="A10" s="322"/>
      <c r="B10" s="327" t="s">
        <v>939</v>
      </c>
      <c r="C10" s="333" t="str">
        <f>IF(SUM(E22,E37,E45)=0,"",SUM(E22,E37,E45))</f>
        <v>#REF!</v>
      </c>
      <c r="D10" s="321"/>
      <c r="E10" s="323"/>
      <c r="F10" s="326"/>
      <c r="G10" s="326"/>
      <c r="H10" s="404"/>
      <c r="I10" s="388"/>
      <c r="J10" s="322"/>
      <c r="K10" s="327" t="s">
        <v>939</v>
      </c>
      <c r="L10" s="333" t="str">
        <f>IF(SUM(N22,N37,N45)=0,"",SUM(N22,N37,N45))</f>
        <v>#REF!</v>
      </c>
      <c r="M10" s="321"/>
      <c r="N10" s="323"/>
      <c r="O10" s="326"/>
      <c r="P10" s="387"/>
    </row>
    <row r="11" ht="4.5" customHeight="1">
      <c r="A11" s="322"/>
      <c r="B11" s="327"/>
      <c r="C11" s="334"/>
      <c r="D11" s="334"/>
      <c r="E11" s="323"/>
      <c r="F11" s="326"/>
      <c r="G11" s="326"/>
      <c r="H11" s="404"/>
      <c r="I11" s="388"/>
      <c r="J11" s="322"/>
      <c r="K11" s="327"/>
      <c r="L11" s="334"/>
      <c r="M11" s="334"/>
      <c r="N11" s="323"/>
      <c r="O11" s="326"/>
      <c r="P11" s="387"/>
    </row>
    <row r="12" ht="18.0" customHeight="1">
      <c r="A12" s="322"/>
      <c r="B12" s="327" t="s">
        <v>946</v>
      </c>
      <c r="C12" s="335" t="str">
        <f>IF(C10="","",IF(ISBLANK(C8),"",C10/C8))</f>
        <v>#REF!</v>
      </c>
      <c r="D12" s="321"/>
      <c r="E12" s="323"/>
      <c r="F12" s="326"/>
      <c r="G12" s="326"/>
      <c r="H12" s="404"/>
      <c r="I12" s="388"/>
      <c r="J12" s="322"/>
      <c r="K12" s="327" t="s">
        <v>946</v>
      </c>
      <c r="L12" s="335" t="str">
        <f>IF(L10="","",IF(ISBLANK(L8),"",L10/L8))</f>
        <v>#REF!</v>
      </c>
      <c r="M12" s="321"/>
      <c r="N12" s="323"/>
      <c r="O12" s="326"/>
      <c r="P12" s="387"/>
    </row>
    <row r="13" ht="4.5" customHeight="1">
      <c r="A13" s="322"/>
      <c r="B13" s="327"/>
      <c r="C13" s="334"/>
      <c r="D13" s="334"/>
      <c r="E13" s="323"/>
      <c r="F13" s="326"/>
      <c r="G13" s="326"/>
      <c r="H13" s="404"/>
      <c r="I13" s="388"/>
      <c r="J13" s="322"/>
      <c r="K13" s="327"/>
      <c r="L13" s="334"/>
      <c r="M13" s="334"/>
      <c r="N13" s="323"/>
      <c r="O13" s="326"/>
      <c r="P13" s="387"/>
    </row>
    <row r="14" ht="18.0" customHeight="1">
      <c r="A14" s="322"/>
      <c r="B14" s="327" t="s">
        <v>950</v>
      </c>
      <c r="C14" s="333" t="str">
        <f>C8-C10</f>
        <v>#REF!</v>
      </c>
      <c r="D14" s="321"/>
      <c r="E14" s="323"/>
      <c r="F14" s="326"/>
      <c r="G14" s="326"/>
      <c r="H14" s="404"/>
      <c r="I14" s="388"/>
      <c r="J14" s="322"/>
      <c r="K14" s="327" t="s">
        <v>950</v>
      </c>
      <c r="L14" s="333" t="str">
        <f>L8-L10</f>
        <v>#REF!</v>
      </c>
      <c r="M14" s="321"/>
      <c r="N14" s="323"/>
      <c r="O14" s="326"/>
      <c r="P14" s="387"/>
    </row>
    <row r="15" ht="15.0" customHeight="1">
      <c r="A15" s="322"/>
      <c r="B15" s="322"/>
      <c r="C15" s="322"/>
      <c r="D15" s="322"/>
      <c r="E15" s="323"/>
      <c r="F15" s="324"/>
      <c r="G15" s="324"/>
      <c r="H15" s="404"/>
      <c r="I15" s="388"/>
      <c r="J15" s="322"/>
      <c r="K15" s="322"/>
      <c r="L15" s="322"/>
      <c r="M15" s="322"/>
      <c r="N15" s="323"/>
      <c r="O15" s="324"/>
      <c r="P15" s="387"/>
    </row>
    <row r="16" ht="12.75" customHeight="1">
      <c r="A16" s="322"/>
      <c r="B16" s="322"/>
      <c r="C16" s="322"/>
      <c r="D16" s="322"/>
      <c r="E16" s="337"/>
      <c r="F16" s="324"/>
      <c r="G16" s="324"/>
      <c r="H16" s="387"/>
      <c r="I16" s="388"/>
      <c r="J16" s="322"/>
      <c r="K16" s="322"/>
      <c r="L16" s="322"/>
      <c r="M16" s="322"/>
      <c r="N16" s="337"/>
      <c r="O16" s="324"/>
      <c r="P16" s="387"/>
    </row>
    <row r="17" ht="12.75" customHeight="1">
      <c r="A17" s="322"/>
      <c r="B17" s="338" t="s">
        <v>951</v>
      </c>
      <c r="C17" s="339"/>
      <c r="D17" s="339"/>
      <c r="E17" s="339"/>
      <c r="F17" s="324"/>
      <c r="G17" s="324"/>
      <c r="H17" s="410"/>
      <c r="I17" s="388"/>
      <c r="J17" s="322"/>
      <c r="K17" s="338" t="s">
        <v>951</v>
      </c>
      <c r="L17" s="339"/>
      <c r="M17" s="339"/>
      <c r="N17" s="339"/>
      <c r="O17" s="324"/>
      <c r="P17" s="387"/>
    </row>
    <row r="18" ht="12.75" customHeight="1">
      <c r="A18" s="322"/>
      <c r="B18" s="340" t="s">
        <v>953</v>
      </c>
      <c r="C18" s="341" t="s">
        <v>954</v>
      </c>
      <c r="D18" s="341" t="s">
        <v>955</v>
      </c>
      <c r="E18" s="341" t="s">
        <v>35</v>
      </c>
      <c r="F18" s="324"/>
      <c r="G18" s="324"/>
      <c r="H18" s="387"/>
      <c r="I18" s="388"/>
      <c r="J18" s="322"/>
      <c r="K18" s="340" t="s">
        <v>953</v>
      </c>
      <c r="L18" s="341" t="s">
        <v>954</v>
      </c>
      <c r="M18" s="341" t="s">
        <v>955</v>
      </c>
      <c r="N18" s="341" t="s">
        <v>35</v>
      </c>
      <c r="O18" s="324"/>
      <c r="P18" s="387"/>
    </row>
    <row r="19" ht="12.75" customHeight="1">
      <c r="A19" s="322"/>
      <c r="B19" s="60" t="s">
        <v>850</v>
      </c>
      <c r="C19" s="342">
        <v>0.15</v>
      </c>
      <c r="D19" s="343">
        <f>'F&amp;B'!$F$98</f>
        <v>76500</v>
      </c>
      <c r="E19" s="67">
        <f t="shared" ref="E19:E21" si="1">IF(OR(ISBLANK(C19),ISBLANK(D19)),"",D19*C19)</f>
        <v>11475</v>
      </c>
      <c r="F19" s="324"/>
      <c r="G19" s="324"/>
      <c r="H19" s="387"/>
      <c r="I19" s="388"/>
      <c r="J19" s="322"/>
      <c r="K19" s="60" t="s">
        <v>850</v>
      </c>
      <c r="L19" s="342">
        <v>0.15</v>
      </c>
      <c r="M19" s="343">
        <f>'F&amp;B'!$F$98</f>
        <v>76500</v>
      </c>
      <c r="N19" s="67">
        <f t="shared" ref="N19:N21" si="2">IF(OR(ISBLANK(L19),ISBLANK(M19)),"",M19*L19)</f>
        <v>11475</v>
      </c>
      <c r="O19" s="324"/>
      <c r="P19" s="387"/>
    </row>
    <row r="20" ht="12.75" customHeight="1">
      <c r="A20" s="322"/>
      <c r="B20" s="75" t="s">
        <v>1016</v>
      </c>
      <c r="C20" s="398">
        <v>0.12</v>
      </c>
      <c r="D20" s="371">
        <f>SAUCES!$L$60</f>
        <v>19698.44963</v>
      </c>
      <c r="E20" s="67">
        <f t="shared" si="1"/>
        <v>2363.813955</v>
      </c>
      <c r="F20" s="324"/>
      <c r="G20" s="324"/>
      <c r="H20" s="387">
        <f t="shared" ref="H20:H21" si="3">E20/90000</f>
        <v>0.0262645995</v>
      </c>
      <c r="I20" s="388"/>
      <c r="J20" s="322"/>
      <c r="K20" s="75" t="s">
        <v>1016</v>
      </c>
      <c r="L20" s="405">
        <v>0.12</v>
      </c>
      <c r="M20" s="347">
        <f t="shared" ref="M20:M21" si="4">D20</f>
        <v>19698.44963</v>
      </c>
      <c r="N20" s="67">
        <f t="shared" si="2"/>
        <v>2363.813955</v>
      </c>
      <c r="O20" s="324"/>
      <c r="P20" s="387"/>
    </row>
    <row r="21" ht="12.75" customHeight="1">
      <c r="A21" s="322"/>
      <c r="B21" s="87" t="s">
        <v>200</v>
      </c>
      <c r="C21" s="355">
        <v>1.0</v>
      </c>
      <c r="D21" s="400">
        <f>SAUCES!$D$92</f>
        <v>900.9230769</v>
      </c>
      <c r="E21" s="67">
        <f t="shared" si="1"/>
        <v>900.9230769</v>
      </c>
      <c r="F21" s="324"/>
      <c r="G21" s="324"/>
      <c r="H21" s="387">
        <f t="shared" si="3"/>
        <v>0.01001025641</v>
      </c>
      <c r="I21" s="388"/>
      <c r="J21" s="322"/>
      <c r="K21" s="87" t="s">
        <v>200</v>
      </c>
      <c r="L21" s="412">
        <v>1.0</v>
      </c>
      <c r="M21" s="347">
        <f t="shared" si="4"/>
        <v>900.9230769</v>
      </c>
      <c r="N21" s="67">
        <f t="shared" si="2"/>
        <v>900.9230769</v>
      </c>
      <c r="O21" s="324"/>
      <c r="P21" s="387"/>
    </row>
    <row r="22" ht="12.75" customHeight="1">
      <c r="A22" s="322"/>
      <c r="B22" s="338" t="s">
        <v>84</v>
      </c>
      <c r="C22" s="358"/>
      <c r="D22" s="358"/>
      <c r="E22" s="359">
        <f>IF(SUM(E19:E21)=0,"",SUM(E19:E21))</f>
        <v>14739.73703</v>
      </c>
      <c r="F22" s="324"/>
      <c r="G22" s="324"/>
      <c r="H22" s="387"/>
      <c r="I22" s="388"/>
      <c r="J22" s="322"/>
      <c r="K22" s="338" t="s">
        <v>84</v>
      </c>
      <c r="L22" s="358"/>
      <c r="M22" s="358"/>
      <c r="N22" s="359">
        <f>IF(SUM(N19:N21)=0,"",SUM(N19:N21))</f>
        <v>14739.73703</v>
      </c>
      <c r="O22" s="324"/>
      <c r="P22" s="387"/>
    </row>
    <row r="23" ht="12.75" customHeight="1">
      <c r="A23" s="322"/>
      <c r="B23" s="360"/>
      <c r="C23" s="360"/>
      <c r="D23" s="360"/>
      <c r="E23" s="361"/>
      <c r="F23" s="324"/>
      <c r="G23" s="324"/>
      <c r="H23" s="387"/>
      <c r="I23" s="388"/>
      <c r="J23" s="322"/>
      <c r="K23" s="360"/>
      <c r="L23" s="360"/>
      <c r="M23" s="360"/>
      <c r="N23" s="361"/>
      <c r="O23" s="324"/>
      <c r="P23" s="387"/>
    </row>
    <row r="24" ht="12.75" customHeight="1">
      <c r="A24" s="322"/>
      <c r="B24" s="362" t="s">
        <v>972</v>
      </c>
      <c r="C24" s="363"/>
      <c r="D24" s="363"/>
      <c r="E24" s="363"/>
      <c r="F24" s="324"/>
      <c r="G24" s="324"/>
      <c r="H24" s="387"/>
      <c r="I24" s="388"/>
      <c r="J24" s="322"/>
      <c r="K24" s="362" t="s">
        <v>972</v>
      </c>
      <c r="L24" s="363"/>
      <c r="M24" s="363"/>
      <c r="N24" s="363"/>
      <c r="O24" s="324"/>
      <c r="P24" s="387"/>
    </row>
    <row r="25" ht="12.75" customHeight="1">
      <c r="A25" s="322"/>
      <c r="B25" s="365" t="s">
        <v>953</v>
      </c>
      <c r="C25" s="366" t="s">
        <v>3</v>
      </c>
      <c r="D25" s="366" t="s">
        <v>975</v>
      </c>
      <c r="E25" s="367" t="s">
        <v>35</v>
      </c>
      <c r="F25" s="324"/>
      <c r="G25" s="324"/>
      <c r="H25" s="387"/>
      <c r="I25" s="388"/>
      <c r="J25" s="322"/>
      <c r="K25" s="365" t="s">
        <v>953</v>
      </c>
      <c r="L25" s="366" t="s">
        <v>3</v>
      </c>
      <c r="M25" s="366" t="s">
        <v>975</v>
      </c>
      <c r="N25" s="367" t="s">
        <v>35</v>
      </c>
      <c r="O25" s="324"/>
      <c r="P25" s="387"/>
    </row>
    <row r="26" ht="12.75" customHeight="1">
      <c r="A26" s="322"/>
      <c r="B26" s="368"/>
      <c r="C26" s="366"/>
      <c r="D26" s="366"/>
      <c r="E26" s="368"/>
      <c r="F26" s="324"/>
      <c r="G26" s="324"/>
      <c r="H26" s="387"/>
      <c r="I26" s="388"/>
      <c r="J26" s="322"/>
      <c r="K26" s="368"/>
      <c r="L26" s="366"/>
      <c r="M26" s="366"/>
      <c r="N26" s="368"/>
      <c r="O26" s="324"/>
      <c r="P26" s="387"/>
    </row>
    <row r="27" ht="12.75" customHeight="1">
      <c r="A27" s="322"/>
      <c r="B27" s="60" t="s">
        <v>569</v>
      </c>
      <c r="C27" s="342">
        <v>0.005</v>
      </c>
      <c r="D27" s="343">
        <f>'F&amp;B'!$F$167</f>
        <v>37800</v>
      </c>
      <c r="E27" s="67">
        <f t="shared" ref="E27:E36" si="5">D27*C27</f>
        <v>189</v>
      </c>
      <c r="F27" s="324"/>
      <c r="G27" s="324"/>
      <c r="H27" s="387"/>
      <c r="I27" s="388"/>
      <c r="J27" s="322"/>
      <c r="K27" s="60" t="s">
        <v>569</v>
      </c>
      <c r="L27" s="342">
        <v>0.005</v>
      </c>
      <c r="M27" s="343">
        <f>'F&amp;B'!$F$167</f>
        <v>37800</v>
      </c>
      <c r="N27" s="67">
        <f t="shared" ref="N27:N36" si="6">M27*L27</f>
        <v>189</v>
      </c>
      <c r="O27" s="324"/>
      <c r="P27" s="387"/>
    </row>
    <row r="28" ht="12.75" customHeight="1">
      <c r="A28" s="322"/>
      <c r="B28" s="75"/>
      <c r="C28" s="370"/>
      <c r="D28" s="371"/>
      <c r="E28" s="67">
        <f t="shared" si="5"/>
        <v>0</v>
      </c>
      <c r="F28" s="324"/>
      <c r="G28" s="324"/>
      <c r="H28" s="387"/>
      <c r="I28" s="388">
        <f>M28/90000</f>
        <v>3.111111111</v>
      </c>
      <c r="J28" s="322"/>
      <c r="K28" s="75" t="s">
        <v>1067</v>
      </c>
      <c r="L28" s="370">
        <v>0.03</v>
      </c>
      <c r="M28" s="371">
        <f>280000</f>
        <v>280000</v>
      </c>
      <c r="N28" s="67">
        <f t="shared" si="6"/>
        <v>8400</v>
      </c>
      <c r="O28" s="324"/>
      <c r="P28" s="387"/>
    </row>
    <row r="29" ht="12.75" customHeight="1">
      <c r="A29" s="322"/>
      <c r="B29" s="75"/>
      <c r="C29" s="372"/>
      <c r="D29" s="371"/>
      <c r="E29" s="67">
        <f t="shared" si="5"/>
        <v>0</v>
      </c>
      <c r="F29" s="324"/>
      <c r="G29" s="324"/>
      <c r="H29" s="387"/>
      <c r="I29" s="388"/>
      <c r="J29" s="322"/>
      <c r="K29" s="75" t="s">
        <v>989</v>
      </c>
      <c r="L29" s="346">
        <v>0.05</v>
      </c>
      <c r="M29" s="371">
        <f>'F&amp;B'!$F$223</f>
        <v>142920</v>
      </c>
      <c r="N29" s="67">
        <f t="shared" si="6"/>
        <v>7146</v>
      </c>
      <c r="O29" s="324"/>
      <c r="P29" s="387"/>
    </row>
    <row r="30" ht="12.75" customHeight="1">
      <c r="A30" s="322"/>
      <c r="B30" s="75"/>
      <c r="C30" s="346"/>
      <c r="D30" s="371"/>
      <c r="E30" s="67">
        <f t="shared" si="5"/>
        <v>0</v>
      </c>
      <c r="F30" s="324"/>
      <c r="G30" s="324"/>
      <c r="H30" s="387"/>
      <c r="I30" s="388"/>
      <c r="J30" s="322"/>
      <c r="K30" s="75" t="s">
        <v>1070</v>
      </c>
      <c r="L30" s="346">
        <v>0.06</v>
      </c>
      <c r="M30" s="371">
        <f>'F&amp;B'!$F$44/10</f>
        <v>23400</v>
      </c>
      <c r="N30" s="67">
        <f t="shared" si="6"/>
        <v>1404</v>
      </c>
      <c r="O30" s="324"/>
      <c r="P30" s="387"/>
    </row>
    <row r="31" ht="12.75" customHeight="1">
      <c r="A31" s="322"/>
      <c r="B31" s="75"/>
      <c r="C31" s="346"/>
      <c r="D31" s="371"/>
      <c r="E31" s="67">
        <f t="shared" si="5"/>
        <v>0</v>
      </c>
      <c r="F31" s="324"/>
      <c r="G31" s="324"/>
      <c r="H31" s="387"/>
      <c r="I31" s="388"/>
      <c r="J31" s="322"/>
      <c r="K31" s="75"/>
      <c r="L31" s="370"/>
      <c r="M31" s="387"/>
      <c r="N31" s="67">
        <f t="shared" si="6"/>
        <v>0</v>
      </c>
      <c r="O31" s="324"/>
      <c r="P31" s="387"/>
    </row>
    <row r="32" ht="12.75" customHeight="1">
      <c r="A32" s="322"/>
      <c r="B32" s="75"/>
      <c r="C32" s="346"/>
      <c r="D32" s="373"/>
      <c r="E32" s="67">
        <f t="shared" si="5"/>
        <v>0</v>
      </c>
      <c r="F32" s="324"/>
      <c r="G32" s="324"/>
      <c r="H32" s="387"/>
      <c r="I32" s="388"/>
      <c r="J32" s="322"/>
      <c r="K32" s="75"/>
      <c r="L32" s="346"/>
      <c r="M32" s="373"/>
      <c r="N32" s="67">
        <f t="shared" si="6"/>
        <v>0</v>
      </c>
      <c r="O32" s="324"/>
      <c r="P32" s="387"/>
    </row>
    <row r="33" ht="12.75" customHeight="1">
      <c r="A33" s="322"/>
      <c r="B33" s="348"/>
      <c r="C33" s="346"/>
      <c r="D33" s="373"/>
      <c r="E33" s="67">
        <f t="shared" si="5"/>
        <v>0</v>
      </c>
      <c r="F33" s="324"/>
      <c r="G33" s="324"/>
      <c r="H33" s="387"/>
      <c r="I33" s="388"/>
      <c r="J33" s="322"/>
      <c r="K33" s="348"/>
      <c r="L33" s="346"/>
      <c r="M33" s="373"/>
      <c r="N33" s="67">
        <f t="shared" si="6"/>
        <v>0</v>
      </c>
      <c r="O33" s="324"/>
      <c r="P33" s="387"/>
    </row>
    <row r="34" ht="12.75" customHeight="1">
      <c r="A34" s="322"/>
      <c r="B34" s="348"/>
      <c r="C34" s="346"/>
      <c r="D34" s="373"/>
      <c r="E34" s="67">
        <f t="shared" si="5"/>
        <v>0</v>
      </c>
      <c r="F34" s="324"/>
      <c r="G34" s="324"/>
      <c r="H34" s="387"/>
      <c r="I34" s="388"/>
      <c r="J34" s="322"/>
      <c r="K34" s="348"/>
      <c r="L34" s="346"/>
      <c r="M34" s="373"/>
      <c r="N34" s="67">
        <f t="shared" si="6"/>
        <v>0</v>
      </c>
      <c r="O34" s="324"/>
      <c r="P34" s="387"/>
    </row>
    <row r="35" ht="12.75" customHeight="1">
      <c r="A35" s="322"/>
      <c r="B35" s="348"/>
      <c r="C35" s="346"/>
      <c r="D35" s="373"/>
      <c r="E35" s="67">
        <f t="shared" si="5"/>
        <v>0</v>
      </c>
      <c r="F35" s="324"/>
      <c r="G35" s="324"/>
      <c r="H35" s="387"/>
      <c r="I35" s="388"/>
      <c r="J35" s="322"/>
      <c r="K35" s="348"/>
      <c r="L35" s="346"/>
      <c r="M35" s="373"/>
      <c r="N35" s="67">
        <f t="shared" si="6"/>
        <v>0</v>
      </c>
      <c r="O35" s="324"/>
      <c r="P35" s="387"/>
    </row>
    <row r="36" ht="12.75" customHeight="1">
      <c r="A36" s="322"/>
      <c r="B36" s="354"/>
      <c r="C36" s="355"/>
      <c r="D36" s="356"/>
      <c r="E36" s="67">
        <f t="shared" si="5"/>
        <v>0</v>
      </c>
      <c r="F36" s="324"/>
      <c r="G36" s="324"/>
      <c r="H36" s="387"/>
      <c r="I36" s="388"/>
      <c r="J36" s="322"/>
      <c r="K36" s="354"/>
      <c r="L36" s="355"/>
      <c r="M36" s="356"/>
      <c r="N36" s="67">
        <f t="shared" si="6"/>
        <v>0</v>
      </c>
      <c r="O36" s="324"/>
      <c r="P36" s="387"/>
    </row>
    <row r="37" ht="12.75" customHeight="1">
      <c r="A37" s="322"/>
      <c r="B37" s="362" t="s">
        <v>84</v>
      </c>
      <c r="C37" s="374"/>
      <c r="D37" s="374"/>
      <c r="E37" s="375">
        <f>IF(SUM(E27:E36)=0,"",SUM(E27:E36))</f>
        <v>189</v>
      </c>
      <c r="F37" s="324"/>
      <c r="G37" s="324"/>
      <c r="H37" s="387"/>
      <c r="I37" s="388"/>
      <c r="J37" s="322"/>
      <c r="K37" s="362" t="s">
        <v>84</v>
      </c>
      <c r="L37" s="374"/>
      <c r="M37" s="374"/>
      <c r="N37" s="375">
        <f>IF(SUM(N27:N36)=0,"",SUM(N27:N36))</f>
        <v>17139</v>
      </c>
      <c r="O37" s="324"/>
      <c r="P37" s="387"/>
    </row>
    <row r="38" ht="12.75" customHeight="1">
      <c r="A38" s="322"/>
      <c r="B38" s="360"/>
      <c r="C38" s="360"/>
      <c r="D38" s="360"/>
      <c r="E38" s="361"/>
      <c r="F38" s="324"/>
      <c r="G38" s="324"/>
      <c r="H38" s="387"/>
      <c r="I38" s="388"/>
      <c r="J38" s="322"/>
      <c r="K38" s="360"/>
      <c r="L38" s="360"/>
      <c r="M38" s="360"/>
      <c r="N38" s="361"/>
      <c r="O38" s="324"/>
      <c r="P38" s="387"/>
    </row>
    <row r="39" ht="12.75" customHeight="1">
      <c r="A39" s="322"/>
      <c r="B39" s="34" t="s">
        <v>17</v>
      </c>
      <c r="C39" s="35"/>
      <c r="D39" s="35"/>
      <c r="E39" s="35"/>
      <c r="F39" s="324"/>
      <c r="G39" s="324"/>
      <c r="H39" s="387"/>
      <c r="I39" s="388"/>
      <c r="J39" s="322"/>
      <c r="K39" s="34" t="s">
        <v>17</v>
      </c>
      <c r="L39" s="35"/>
      <c r="M39" s="35"/>
      <c r="N39" s="35"/>
      <c r="O39" s="324"/>
      <c r="P39" s="387"/>
    </row>
    <row r="40" ht="12.75" customHeight="1">
      <c r="A40" s="322"/>
      <c r="B40" s="52" t="s">
        <v>42</v>
      </c>
      <c r="C40" s="54"/>
      <c r="D40" s="54"/>
      <c r="E40" s="56" t="s">
        <v>35</v>
      </c>
      <c r="F40" s="324"/>
      <c r="G40" s="324"/>
      <c r="H40" s="387"/>
      <c r="I40" s="388"/>
      <c r="J40" s="322"/>
      <c r="K40" s="52" t="s">
        <v>42</v>
      </c>
      <c r="L40" s="54"/>
      <c r="M40" s="54"/>
      <c r="N40" s="56" t="s">
        <v>35</v>
      </c>
      <c r="O40" s="324"/>
      <c r="P40" s="387"/>
    </row>
    <row r="41" ht="12.75" customHeight="1">
      <c r="A41" s="322"/>
      <c r="B41" s="60" t="s">
        <v>40</v>
      </c>
      <c r="C41" s="343">
        <f>'UTL COST'!$B$3</f>
        <v>369000</v>
      </c>
      <c r="D41" s="379">
        <f>'UTL COST'!$C$3</f>
        <v>0.0075</v>
      </c>
      <c r="E41" s="67">
        <v>0.0</v>
      </c>
      <c r="F41" s="324"/>
      <c r="G41" s="324"/>
      <c r="H41" s="387"/>
      <c r="I41" s="388"/>
      <c r="J41" s="322"/>
      <c r="K41" s="60" t="s">
        <v>40</v>
      </c>
      <c r="L41" s="343">
        <f>'UTL COST'!$B$3</f>
        <v>369000</v>
      </c>
      <c r="M41" s="379">
        <f>'UTL COST'!$C$3</f>
        <v>0.0075</v>
      </c>
      <c r="N41" s="67">
        <v>0.0</v>
      </c>
      <c r="O41" s="324"/>
      <c r="P41" s="387"/>
    </row>
    <row r="42" ht="12.75" customHeight="1">
      <c r="A42" s="322"/>
      <c r="B42" s="75" t="str">
        <f>'UTL COST'!$A$7</f>
        <v>Gas Pizza</v>
      </c>
      <c r="C42" s="371" t="str">
        <f>'UTL COST'!$B$7</f>
        <v>#REF!</v>
      </c>
      <c r="D42" s="409">
        <f>'UTL COST'!$C$7</f>
        <v>450</v>
      </c>
      <c r="E42" s="76" t="str">
        <f>'UTL COST'!$D$7</f>
        <v>#REF!</v>
      </c>
      <c r="F42" s="324"/>
      <c r="G42" s="324"/>
      <c r="H42" s="387"/>
      <c r="I42" s="388"/>
      <c r="J42" s="322"/>
      <c r="K42" s="75" t="str">
        <f>'UTL COST'!$A$7</f>
        <v>Gas Pizza</v>
      </c>
      <c r="L42" s="371" t="str">
        <f>'UTL COST'!$B$7</f>
        <v>#REF!</v>
      </c>
      <c r="M42" s="409">
        <f>'UTL COST'!$C$7</f>
        <v>450</v>
      </c>
      <c r="N42" s="76" t="str">
        <f>'UTL COST'!$D$7</f>
        <v>#REF!</v>
      </c>
      <c r="O42" s="324"/>
      <c r="P42" s="387"/>
    </row>
    <row r="43" ht="12.75" customHeight="1">
      <c r="A43" s="322"/>
      <c r="B43" s="75" t="s">
        <v>59</v>
      </c>
      <c r="C43" s="371" t="str">
        <f>'UTL COST'!$B$5</f>
        <v>#REF!</v>
      </c>
      <c r="D43" s="382">
        <f>'UTL COST'!$C$5</f>
        <v>45000</v>
      </c>
      <c r="E43" s="76" t="str">
        <f>'UTL COST'!$D$5</f>
        <v>#REF!</v>
      </c>
      <c r="F43" s="324"/>
      <c r="G43" s="324"/>
      <c r="H43" s="387"/>
      <c r="I43" s="388"/>
      <c r="J43" s="322"/>
      <c r="K43" s="75" t="s">
        <v>59</v>
      </c>
      <c r="L43" s="371" t="str">
        <f>'UTL COST'!$B$5</f>
        <v>#REF!</v>
      </c>
      <c r="M43" s="382">
        <f>'UTL COST'!$C$5</f>
        <v>45000</v>
      </c>
      <c r="N43" s="76" t="str">
        <f>'UTL COST'!$D$5</f>
        <v>#REF!</v>
      </c>
      <c r="O43" s="324"/>
      <c r="P43" s="387"/>
    </row>
    <row r="44" ht="12.75" customHeight="1">
      <c r="A44" s="322"/>
      <c r="B44" s="87" t="str">
        <f>'UTL COST'!A6</f>
        <v>Wood</v>
      </c>
      <c r="C44" s="371" t="str">
        <f>'UTL COST'!$B$6</f>
        <v>#REF!</v>
      </c>
      <c r="D44" s="383">
        <f>'UTL COST'!$C$6</f>
        <v>525</v>
      </c>
      <c r="E44" s="89" t="str">
        <f>C44/D44</f>
        <v>#REF!</v>
      </c>
      <c r="F44" s="324"/>
      <c r="G44" s="324"/>
      <c r="H44" s="387"/>
      <c r="I44" s="388"/>
      <c r="J44" s="322"/>
      <c r="K44" s="87" t="s">
        <v>64</v>
      </c>
      <c r="L44" s="371" t="str">
        <f>'UTL COST'!$B$6</f>
        <v>#REF!</v>
      </c>
      <c r="M44" s="383">
        <f>'UTL COST'!$C$6</f>
        <v>525</v>
      </c>
      <c r="N44" s="89" t="str">
        <f>E44</f>
        <v>#REF!</v>
      </c>
      <c r="O44" s="324"/>
      <c r="P44" s="387"/>
    </row>
    <row r="45" ht="12.75" customHeight="1">
      <c r="A45" s="322"/>
      <c r="B45" s="34" t="s">
        <v>84</v>
      </c>
      <c r="C45" s="102"/>
      <c r="D45" s="102"/>
      <c r="E45" s="104" t="str">
        <f>IF(SUM(E41:E44)=0,"",SUM(E41:E44))</f>
        <v>#REF!</v>
      </c>
      <c r="F45" s="324"/>
      <c r="G45" s="324"/>
      <c r="H45" s="387"/>
      <c r="I45" s="388"/>
      <c r="J45" s="322"/>
      <c r="K45" s="34" t="s">
        <v>84</v>
      </c>
      <c r="L45" s="102"/>
      <c r="M45" s="102"/>
      <c r="N45" s="104" t="str">
        <f>IF(SUM(N41:N44)=0,"",SUM(N41:N44))</f>
        <v>#REF!</v>
      </c>
      <c r="O45" s="324"/>
      <c r="P45" s="387"/>
    </row>
    <row r="46" ht="12.75" customHeight="1">
      <c r="A46" s="322"/>
      <c r="B46" s="360"/>
      <c r="C46" s="360"/>
      <c r="D46" s="360"/>
      <c r="E46" s="361"/>
      <c r="F46" s="324"/>
      <c r="G46" s="324"/>
      <c r="H46" s="387"/>
      <c r="I46" s="388"/>
      <c r="J46" s="322"/>
      <c r="K46" s="360"/>
      <c r="L46" s="360"/>
      <c r="M46" s="360"/>
      <c r="N46" s="361"/>
      <c r="O46" s="324"/>
      <c r="P46" s="387"/>
    </row>
    <row r="47" ht="12.75" customHeight="1">
      <c r="A47" s="387"/>
      <c r="B47" s="387"/>
      <c r="C47" s="387"/>
      <c r="D47" s="387"/>
      <c r="E47" s="418"/>
      <c r="F47" s="387"/>
      <c r="G47" s="387"/>
      <c r="H47" s="387"/>
      <c r="I47" s="387"/>
      <c r="J47" s="387"/>
      <c r="K47" s="387"/>
      <c r="L47" s="387"/>
      <c r="M47" s="387"/>
      <c r="N47" s="387"/>
      <c r="O47" s="387"/>
      <c r="P47" s="387"/>
    </row>
    <row r="48" ht="12.75" customHeight="1">
      <c r="A48" s="322"/>
      <c r="B48" s="322"/>
      <c r="C48" s="322"/>
      <c r="D48" s="322"/>
      <c r="E48" s="323"/>
      <c r="F48" s="324"/>
      <c r="G48" s="324"/>
      <c r="H48" s="387"/>
      <c r="I48" s="388"/>
      <c r="J48" s="322"/>
      <c r="K48" s="322"/>
      <c r="L48" s="322"/>
      <c r="M48" s="322"/>
      <c r="N48" s="323"/>
      <c r="O48" s="324"/>
      <c r="P48" s="387"/>
    </row>
    <row r="49" ht="12.75" customHeight="1">
      <c r="A49" s="322"/>
      <c r="B49" s="325"/>
      <c r="C49" s="322"/>
      <c r="D49" s="322"/>
      <c r="E49" s="323"/>
      <c r="F49" s="326"/>
      <c r="G49" s="326"/>
      <c r="H49" s="404"/>
      <c r="I49" s="388"/>
      <c r="J49" s="322"/>
      <c r="K49" s="325"/>
      <c r="L49" s="322"/>
      <c r="M49" s="322"/>
      <c r="N49" s="323"/>
      <c r="O49" s="326"/>
      <c r="P49" s="387"/>
    </row>
    <row r="50" ht="12.75" customHeight="1">
      <c r="A50" s="322"/>
      <c r="B50" s="327" t="s">
        <v>931</v>
      </c>
      <c r="C50" s="328" t="s">
        <v>1073</v>
      </c>
      <c r="D50" s="329"/>
      <c r="E50" s="323"/>
      <c r="F50" s="326"/>
      <c r="G50" s="326"/>
      <c r="H50" s="404"/>
      <c r="I50" s="388"/>
      <c r="J50" s="322"/>
      <c r="K50" s="327" t="s">
        <v>931</v>
      </c>
      <c r="L50" s="328" t="s">
        <v>340</v>
      </c>
      <c r="M50" s="329"/>
      <c r="N50" s="323"/>
      <c r="O50" s="326"/>
      <c r="P50" s="387"/>
    </row>
    <row r="51" ht="12.75" customHeight="1">
      <c r="A51" s="322"/>
      <c r="B51" s="325"/>
      <c r="C51" s="322"/>
      <c r="D51" s="322"/>
      <c r="E51" s="323"/>
      <c r="F51" s="326"/>
      <c r="G51" s="326"/>
      <c r="H51" s="404"/>
      <c r="I51" s="388"/>
      <c r="J51" s="322"/>
      <c r="K51" s="325"/>
      <c r="L51" s="322"/>
      <c r="M51" s="322"/>
      <c r="N51" s="323"/>
      <c r="O51" s="326"/>
      <c r="P51" s="387"/>
    </row>
    <row r="52" ht="12.75" customHeight="1">
      <c r="A52" s="322"/>
      <c r="B52" s="327" t="s">
        <v>935</v>
      </c>
      <c r="C52" s="331">
        <v>200000.0</v>
      </c>
      <c r="D52" s="329"/>
      <c r="E52" s="323"/>
      <c r="F52" s="326"/>
      <c r="G52" s="326"/>
      <c r="H52" s="404"/>
      <c r="I52" s="388"/>
      <c r="J52" s="322"/>
      <c r="K52" s="327" t="s">
        <v>935</v>
      </c>
      <c r="L52" s="331">
        <v>200000.0</v>
      </c>
      <c r="M52" s="329"/>
      <c r="N52" s="323"/>
      <c r="O52" s="326"/>
      <c r="P52" s="387"/>
    </row>
    <row r="53" ht="12.75" customHeight="1">
      <c r="A53" s="322"/>
      <c r="B53" s="327"/>
      <c r="C53" s="332"/>
      <c r="D53" s="332"/>
      <c r="E53" s="323"/>
      <c r="F53" s="326"/>
      <c r="G53" s="326"/>
      <c r="H53" s="404"/>
      <c r="I53" s="388"/>
      <c r="J53" s="322"/>
      <c r="K53" s="327"/>
      <c r="L53" s="332"/>
      <c r="M53" s="332"/>
      <c r="N53" s="323"/>
      <c r="O53" s="326"/>
      <c r="P53" s="387"/>
    </row>
    <row r="54" ht="12.75" customHeight="1">
      <c r="A54" s="322"/>
      <c r="B54" s="327" t="s">
        <v>939</v>
      </c>
      <c r="C54" s="333" t="str">
        <f>IF(SUM(E66,E81,E89)=0,"",SUM(E66,E81,E89))</f>
        <v>#REF!</v>
      </c>
      <c r="D54" s="321"/>
      <c r="E54" s="323"/>
      <c r="F54" s="326"/>
      <c r="G54" s="326"/>
      <c r="H54" s="404"/>
      <c r="I54" s="388"/>
      <c r="J54" s="322"/>
      <c r="K54" s="327" t="s">
        <v>939</v>
      </c>
      <c r="L54" s="333" t="str">
        <f>IF(SUM(N66,N81,N89)=0,"",SUM(N66,N81,N89))</f>
        <v>#REF!</v>
      </c>
      <c r="M54" s="321"/>
      <c r="N54" s="323"/>
      <c r="O54" s="326"/>
      <c r="P54" s="387"/>
    </row>
    <row r="55" ht="12.75" customHeight="1">
      <c r="A55" s="322"/>
      <c r="B55" s="327"/>
      <c r="C55" s="334"/>
      <c r="D55" s="334"/>
      <c r="E55" s="323"/>
      <c r="F55" s="326"/>
      <c r="G55" s="326"/>
      <c r="H55" s="404"/>
      <c r="I55" s="388"/>
      <c r="J55" s="322"/>
      <c r="K55" s="327"/>
      <c r="L55" s="334"/>
      <c r="M55" s="334"/>
      <c r="N55" s="323"/>
      <c r="O55" s="326"/>
      <c r="P55" s="387"/>
    </row>
    <row r="56" ht="12.75" customHeight="1">
      <c r="A56" s="322"/>
      <c r="B56" s="327" t="s">
        <v>946</v>
      </c>
      <c r="C56" s="335" t="str">
        <f>IF(C54="","",IF(ISBLANK(C52),"",C54/C52))</f>
        <v>#REF!</v>
      </c>
      <c r="D56" s="321"/>
      <c r="E56" s="323"/>
      <c r="F56" s="326"/>
      <c r="G56" s="326"/>
      <c r="H56" s="404"/>
      <c r="I56" s="388"/>
      <c r="J56" s="322"/>
      <c r="K56" s="327" t="s">
        <v>946</v>
      </c>
      <c r="L56" s="335" t="str">
        <f>IF(L54="","",IF(ISBLANK(L52),"",L54/L52))</f>
        <v>#REF!</v>
      </c>
      <c r="M56" s="321"/>
      <c r="N56" s="323"/>
      <c r="O56" s="326"/>
      <c r="P56" s="387"/>
    </row>
    <row r="57" ht="12.75" customHeight="1">
      <c r="A57" s="322"/>
      <c r="B57" s="327"/>
      <c r="C57" s="334"/>
      <c r="D57" s="334"/>
      <c r="E57" s="323"/>
      <c r="F57" s="326"/>
      <c r="G57" s="326"/>
      <c r="H57" s="404"/>
      <c r="I57" s="388"/>
      <c r="J57" s="322"/>
      <c r="K57" s="327"/>
      <c r="L57" s="334"/>
      <c r="M57" s="334"/>
      <c r="N57" s="323"/>
      <c r="O57" s="326"/>
      <c r="P57" s="387"/>
    </row>
    <row r="58" ht="12.75" customHeight="1">
      <c r="A58" s="322"/>
      <c r="B58" s="327" t="s">
        <v>950</v>
      </c>
      <c r="C58" s="333" t="str">
        <f>C52-C54</f>
        <v>#REF!</v>
      </c>
      <c r="D58" s="321"/>
      <c r="E58" s="323"/>
      <c r="F58" s="326"/>
      <c r="G58" s="326"/>
      <c r="H58" s="404"/>
      <c r="I58" s="388"/>
      <c r="J58" s="322"/>
      <c r="K58" s="327" t="s">
        <v>950</v>
      </c>
      <c r="L58" s="333" t="str">
        <f>L52-L54</f>
        <v>#REF!</v>
      </c>
      <c r="M58" s="321"/>
      <c r="N58" s="323"/>
      <c r="O58" s="326"/>
      <c r="P58" s="387"/>
    </row>
    <row r="59" ht="12.75" customHeight="1">
      <c r="A59" s="322"/>
      <c r="B59" s="322"/>
      <c r="C59" s="322"/>
      <c r="D59" s="322"/>
      <c r="E59" s="323"/>
      <c r="F59" s="324"/>
      <c r="G59" s="324"/>
      <c r="H59" s="404"/>
      <c r="I59" s="388"/>
      <c r="J59" s="322"/>
      <c r="K59" s="322"/>
      <c r="L59" s="322"/>
      <c r="M59" s="322"/>
      <c r="N59" s="323"/>
      <c r="O59" s="324"/>
      <c r="P59" s="387"/>
    </row>
    <row r="60" ht="12.75" customHeight="1">
      <c r="A60" s="322"/>
      <c r="B60" s="322"/>
      <c r="C60" s="322"/>
      <c r="D60" s="322"/>
      <c r="E60" s="337"/>
      <c r="F60" s="324"/>
      <c r="G60" s="324"/>
      <c r="H60" s="387"/>
      <c r="I60" s="388"/>
      <c r="J60" s="322"/>
      <c r="K60" s="322"/>
      <c r="L60" s="322"/>
      <c r="M60" s="322"/>
      <c r="N60" s="337"/>
      <c r="O60" s="324"/>
      <c r="P60" s="387"/>
    </row>
    <row r="61" ht="12.75" customHeight="1">
      <c r="A61" s="322"/>
      <c r="B61" s="338" t="s">
        <v>951</v>
      </c>
      <c r="C61" s="339"/>
      <c r="D61" s="339"/>
      <c r="E61" s="339"/>
      <c r="F61" s="324"/>
      <c r="G61" s="324"/>
      <c r="H61" s="410"/>
      <c r="I61" s="388"/>
      <c r="J61" s="322"/>
      <c r="K61" s="338" t="s">
        <v>951</v>
      </c>
      <c r="L61" s="339"/>
      <c r="M61" s="339"/>
      <c r="N61" s="339"/>
      <c r="O61" s="324"/>
      <c r="P61" s="387"/>
    </row>
    <row r="62" ht="12.75" customHeight="1">
      <c r="A62" s="322"/>
      <c r="B62" s="340" t="s">
        <v>953</v>
      </c>
      <c r="C62" s="341" t="s">
        <v>954</v>
      </c>
      <c r="D62" s="341" t="s">
        <v>955</v>
      </c>
      <c r="E62" s="341" t="s">
        <v>35</v>
      </c>
      <c r="F62" s="324"/>
      <c r="G62" s="324"/>
      <c r="H62" s="387"/>
      <c r="I62" s="388"/>
      <c r="J62" s="322"/>
      <c r="K62" s="340" t="s">
        <v>953</v>
      </c>
      <c r="L62" s="341" t="s">
        <v>954</v>
      </c>
      <c r="M62" s="341" t="s">
        <v>955</v>
      </c>
      <c r="N62" s="341" t="s">
        <v>35</v>
      </c>
      <c r="O62" s="324"/>
      <c r="P62" s="387"/>
    </row>
    <row r="63" ht="12.75" customHeight="1">
      <c r="A63" s="322"/>
      <c r="B63" s="60" t="s">
        <v>850</v>
      </c>
      <c r="C63" s="342">
        <v>0.15</v>
      </c>
      <c r="D63" s="343">
        <f>'F&amp;B'!$F$98</f>
        <v>76500</v>
      </c>
      <c r="E63" s="67">
        <f t="shared" ref="E63:E65" si="7">IF(OR(ISBLANK(C63),ISBLANK(D63)),"",D63*C63)</f>
        <v>11475</v>
      </c>
      <c r="F63" s="324"/>
      <c r="G63" s="324"/>
      <c r="H63" s="387"/>
      <c r="I63" s="388"/>
      <c r="J63" s="322"/>
      <c r="K63" s="60" t="s">
        <v>850</v>
      </c>
      <c r="L63" s="342">
        <v>0.15</v>
      </c>
      <c r="M63" s="343">
        <f>'F&amp;B'!$F$98</f>
        <v>76500</v>
      </c>
      <c r="N63" s="67">
        <f t="shared" ref="N63:N65" si="8">IF(OR(ISBLANK(L63),ISBLANK(M63)),"",M63*L63)</f>
        <v>11475</v>
      </c>
      <c r="O63" s="324"/>
      <c r="P63" s="387"/>
    </row>
    <row r="64" ht="12.75" customHeight="1">
      <c r="A64" s="322"/>
      <c r="B64" s="75" t="s">
        <v>1016</v>
      </c>
      <c r="C64" s="398">
        <v>0.12</v>
      </c>
      <c r="D64" s="371">
        <f t="shared" ref="D64:D65" si="9">D20</f>
        <v>19698.44963</v>
      </c>
      <c r="E64" s="67">
        <f t="shared" si="7"/>
        <v>2363.813955</v>
      </c>
      <c r="F64" s="324"/>
      <c r="G64" s="324"/>
      <c r="H64" s="387"/>
      <c r="I64" s="388"/>
      <c r="J64" s="322"/>
      <c r="K64" s="75" t="s">
        <v>1016</v>
      </c>
      <c r="L64" s="398">
        <v>0.12</v>
      </c>
      <c r="M64" s="371">
        <f t="shared" ref="M64:M65" si="10">D20</f>
        <v>19698.44963</v>
      </c>
      <c r="N64" s="67">
        <f t="shared" si="8"/>
        <v>2363.813955</v>
      </c>
      <c r="O64" s="324"/>
      <c r="P64" s="387"/>
    </row>
    <row r="65" ht="12.75" customHeight="1">
      <c r="A65" s="322"/>
      <c r="B65" s="87" t="s">
        <v>200</v>
      </c>
      <c r="C65" s="412">
        <v>1.0</v>
      </c>
      <c r="D65" s="371">
        <f t="shared" si="9"/>
        <v>900.9230769</v>
      </c>
      <c r="E65" s="67">
        <f t="shared" si="7"/>
        <v>900.9230769</v>
      </c>
      <c r="F65" s="324"/>
      <c r="G65" s="324"/>
      <c r="H65" s="387"/>
      <c r="I65" s="388"/>
      <c r="J65" s="322"/>
      <c r="K65" s="87" t="s">
        <v>200</v>
      </c>
      <c r="L65" s="355">
        <v>1.0</v>
      </c>
      <c r="M65" s="347">
        <f t="shared" si="10"/>
        <v>900.9230769</v>
      </c>
      <c r="N65" s="67">
        <f t="shared" si="8"/>
        <v>900.9230769</v>
      </c>
      <c r="O65" s="324"/>
      <c r="P65" s="387"/>
    </row>
    <row r="66" ht="12.75" customHeight="1">
      <c r="A66" s="322"/>
      <c r="B66" s="338" t="s">
        <v>84</v>
      </c>
      <c r="C66" s="358"/>
      <c r="D66" s="358"/>
      <c r="E66" s="359">
        <f>IF(SUM(E63:E65)=0,"",SUM(E63:E65))</f>
        <v>14739.73703</v>
      </c>
      <c r="F66" s="324"/>
      <c r="G66" s="324"/>
      <c r="H66" s="387"/>
      <c r="I66" s="388"/>
      <c r="J66" s="322"/>
      <c r="K66" s="338" t="s">
        <v>84</v>
      </c>
      <c r="L66" s="358"/>
      <c r="M66" s="358"/>
      <c r="N66" s="359">
        <f>IF(SUM(N63:N65)=0,"",SUM(N63:N65))</f>
        <v>14739.73703</v>
      </c>
      <c r="O66" s="324"/>
      <c r="P66" s="387"/>
    </row>
    <row r="67" ht="12.75" customHeight="1">
      <c r="A67" s="322"/>
      <c r="B67" s="360"/>
      <c r="C67" s="360"/>
      <c r="D67" s="360"/>
      <c r="E67" s="361"/>
      <c r="F67" s="324"/>
      <c r="G67" s="324"/>
      <c r="H67" s="387"/>
      <c r="I67" s="388"/>
      <c r="J67" s="322"/>
      <c r="K67" s="360"/>
      <c r="L67" s="360"/>
      <c r="M67" s="360"/>
      <c r="N67" s="361"/>
      <c r="O67" s="324"/>
      <c r="P67" s="387"/>
    </row>
    <row r="68" ht="12.75" customHeight="1">
      <c r="A68" s="322"/>
      <c r="B68" s="362" t="s">
        <v>972</v>
      </c>
      <c r="C68" s="363"/>
      <c r="D68" s="363"/>
      <c r="E68" s="363"/>
      <c r="F68" s="324"/>
      <c r="G68" s="324"/>
      <c r="H68" s="387"/>
      <c r="I68" s="388"/>
      <c r="J68" s="322"/>
      <c r="K68" s="362" t="s">
        <v>972</v>
      </c>
      <c r="L68" s="363"/>
      <c r="M68" s="363"/>
      <c r="N68" s="363"/>
      <c r="O68" s="324"/>
      <c r="P68" s="387"/>
    </row>
    <row r="69" ht="12.75" customHeight="1">
      <c r="A69" s="322"/>
      <c r="B69" s="365" t="s">
        <v>953</v>
      </c>
      <c r="C69" s="366" t="s">
        <v>3</v>
      </c>
      <c r="D69" s="366" t="s">
        <v>975</v>
      </c>
      <c r="E69" s="367" t="s">
        <v>35</v>
      </c>
      <c r="F69" s="324"/>
      <c r="G69" s="324"/>
      <c r="H69" s="387"/>
      <c r="I69" s="388"/>
      <c r="J69" s="322"/>
      <c r="K69" s="365" t="s">
        <v>953</v>
      </c>
      <c r="L69" s="366" t="s">
        <v>3</v>
      </c>
      <c r="M69" s="366" t="s">
        <v>975</v>
      </c>
      <c r="N69" s="367" t="s">
        <v>35</v>
      </c>
      <c r="O69" s="324"/>
      <c r="P69" s="387"/>
    </row>
    <row r="70" ht="12.75" customHeight="1">
      <c r="A70" s="322"/>
      <c r="B70" s="368"/>
      <c r="C70" s="366"/>
      <c r="D70" s="366"/>
      <c r="E70" s="368"/>
      <c r="F70" s="324"/>
      <c r="G70" s="324"/>
      <c r="H70" s="387"/>
      <c r="I70" s="388"/>
      <c r="J70" s="322"/>
      <c r="K70" s="368"/>
      <c r="L70" s="366"/>
      <c r="M70" s="366"/>
      <c r="N70" s="368"/>
      <c r="O70" s="324"/>
      <c r="P70" s="387"/>
    </row>
    <row r="71" ht="12.75" customHeight="1">
      <c r="A71" s="322"/>
      <c r="B71" s="75" t="s">
        <v>1070</v>
      </c>
      <c r="C71" s="370">
        <v>0.06</v>
      </c>
      <c r="D71" s="371">
        <f>'F&amp;B'!$F$44/10</f>
        <v>23400</v>
      </c>
      <c r="E71" s="67">
        <f t="shared" ref="E71:E80" si="11">D71*C71</f>
        <v>1404</v>
      </c>
      <c r="F71" s="324"/>
      <c r="G71" s="324"/>
      <c r="H71" s="387"/>
      <c r="I71" s="388"/>
      <c r="J71" s="322"/>
      <c r="K71" s="60" t="s">
        <v>340</v>
      </c>
      <c r="L71" s="342">
        <v>0.04</v>
      </c>
      <c r="M71" s="343">
        <f>'F&amp;B'!$F$219</f>
        <v>109890</v>
      </c>
      <c r="N71" s="67">
        <f t="shared" ref="N71:N80" si="12">M71*L71</f>
        <v>4395.6</v>
      </c>
      <c r="O71" s="324"/>
      <c r="P71" s="387"/>
    </row>
    <row r="72" ht="12.75" customHeight="1">
      <c r="A72" s="322"/>
      <c r="B72" s="75" t="s">
        <v>1067</v>
      </c>
      <c r="C72" s="370">
        <v>0.03</v>
      </c>
      <c r="D72" s="371">
        <f>'F&amp;B'!$F$278</f>
        <v>103500</v>
      </c>
      <c r="E72" s="67">
        <f t="shared" si="11"/>
        <v>3105</v>
      </c>
      <c r="F72" s="324"/>
      <c r="G72" s="324"/>
      <c r="H72" s="387"/>
      <c r="I72" s="388"/>
      <c r="J72" s="322"/>
      <c r="K72" s="75"/>
      <c r="L72" s="370"/>
      <c r="M72" s="371"/>
      <c r="N72" s="67">
        <f t="shared" si="12"/>
        <v>0</v>
      </c>
      <c r="O72" s="324"/>
      <c r="P72" s="387"/>
    </row>
    <row r="73" ht="12.75" customHeight="1">
      <c r="A73" s="322"/>
      <c r="B73" s="75" t="s">
        <v>708</v>
      </c>
      <c r="C73" s="346">
        <v>0.03</v>
      </c>
      <c r="D73" s="371">
        <f>'F&amp;B'!$F$296</f>
        <v>9000</v>
      </c>
      <c r="E73" s="67">
        <f t="shared" si="11"/>
        <v>270</v>
      </c>
      <c r="F73" s="324"/>
      <c r="G73" s="324"/>
      <c r="H73" s="387"/>
      <c r="I73" s="388"/>
      <c r="J73" s="322"/>
      <c r="K73" s="75"/>
      <c r="L73" s="372"/>
      <c r="M73" s="371"/>
      <c r="N73" s="67">
        <f t="shared" si="12"/>
        <v>0</v>
      </c>
      <c r="O73" s="324"/>
      <c r="P73" s="387"/>
    </row>
    <row r="74" ht="12.75" customHeight="1">
      <c r="A74" s="322"/>
      <c r="B74" s="75" t="s">
        <v>1080</v>
      </c>
      <c r="C74" s="346">
        <v>0.04</v>
      </c>
      <c r="D74" s="371">
        <f>'F&amp;B'!$F$60*3</f>
        <v>29700</v>
      </c>
      <c r="E74" s="67">
        <f t="shared" si="11"/>
        <v>1188</v>
      </c>
      <c r="F74" s="324"/>
      <c r="G74" s="324"/>
      <c r="H74" s="387"/>
      <c r="I74" s="388"/>
      <c r="J74" s="322"/>
      <c r="K74" s="75"/>
      <c r="L74" s="346"/>
      <c r="M74" s="371"/>
      <c r="N74" s="67">
        <f t="shared" si="12"/>
        <v>0</v>
      </c>
      <c r="O74" s="324"/>
      <c r="P74" s="387"/>
    </row>
    <row r="75" ht="12.75" customHeight="1">
      <c r="A75" s="322"/>
      <c r="B75" s="75" t="s">
        <v>714</v>
      </c>
      <c r="C75" s="346"/>
      <c r="D75" s="371"/>
      <c r="E75" s="67">
        <f t="shared" si="11"/>
        <v>0</v>
      </c>
      <c r="F75" s="324"/>
      <c r="G75" s="324"/>
      <c r="H75" s="387"/>
      <c r="I75" s="388"/>
      <c r="J75" s="322"/>
      <c r="K75" s="75"/>
      <c r="L75" s="346"/>
      <c r="M75" s="371"/>
      <c r="N75" s="67">
        <f t="shared" si="12"/>
        <v>0</v>
      </c>
      <c r="O75" s="324"/>
      <c r="P75" s="387"/>
    </row>
    <row r="76" ht="12.75" customHeight="1">
      <c r="A76" s="322"/>
      <c r="B76" s="75"/>
      <c r="C76" s="346"/>
      <c r="D76" s="373"/>
      <c r="E76" s="67">
        <f t="shared" si="11"/>
        <v>0</v>
      </c>
      <c r="F76" s="324"/>
      <c r="G76" s="324"/>
      <c r="H76" s="387"/>
      <c r="I76" s="388"/>
      <c r="J76" s="322"/>
      <c r="K76" s="75"/>
      <c r="L76" s="370"/>
      <c r="M76" s="371"/>
      <c r="N76" s="67">
        <f t="shared" si="12"/>
        <v>0</v>
      </c>
      <c r="O76" s="324"/>
      <c r="P76" s="387"/>
    </row>
    <row r="77" ht="12.75" customHeight="1">
      <c r="A77" s="322"/>
      <c r="B77" s="348"/>
      <c r="C77" s="346"/>
      <c r="D77" s="373"/>
      <c r="E77" s="67">
        <f t="shared" si="11"/>
        <v>0</v>
      </c>
      <c r="F77" s="324"/>
      <c r="G77" s="324"/>
      <c r="H77" s="387"/>
      <c r="I77" s="388"/>
      <c r="J77" s="322"/>
      <c r="K77" s="348"/>
      <c r="L77" s="346"/>
      <c r="M77" s="373"/>
      <c r="N77" s="67">
        <f t="shared" si="12"/>
        <v>0</v>
      </c>
      <c r="O77" s="324"/>
      <c r="P77" s="387"/>
    </row>
    <row r="78" ht="12.75" customHeight="1">
      <c r="A78" s="322"/>
      <c r="B78" s="348"/>
      <c r="C78" s="346"/>
      <c r="D78" s="373"/>
      <c r="E78" s="67">
        <f t="shared" si="11"/>
        <v>0</v>
      </c>
      <c r="F78" s="324"/>
      <c r="G78" s="324"/>
      <c r="H78" s="387"/>
      <c r="I78" s="388"/>
      <c r="J78" s="322"/>
      <c r="K78" s="348"/>
      <c r="L78" s="346"/>
      <c r="M78" s="373"/>
      <c r="N78" s="67">
        <f t="shared" si="12"/>
        <v>0</v>
      </c>
      <c r="O78" s="324"/>
      <c r="P78" s="387"/>
    </row>
    <row r="79" ht="12.75" customHeight="1">
      <c r="A79" s="322"/>
      <c r="B79" s="348"/>
      <c r="C79" s="346"/>
      <c r="D79" s="373"/>
      <c r="E79" s="67">
        <f t="shared" si="11"/>
        <v>0</v>
      </c>
      <c r="F79" s="324"/>
      <c r="G79" s="324"/>
      <c r="H79" s="387"/>
      <c r="I79" s="388"/>
      <c r="J79" s="322"/>
      <c r="K79" s="348"/>
      <c r="L79" s="346"/>
      <c r="M79" s="373"/>
      <c r="N79" s="67">
        <f t="shared" si="12"/>
        <v>0</v>
      </c>
      <c r="O79" s="324"/>
      <c r="P79" s="387"/>
    </row>
    <row r="80" ht="12.75" customHeight="1">
      <c r="A80" s="322"/>
      <c r="B80" s="354"/>
      <c r="C80" s="355"/>
      <c r="D80" s="356"/>
      <c r="E80" s="67">
        <f t="shared" si="11"/>
        <v>0</v>
      </c>
      <c r="F80" s="324"/>
      <c r="G80" s="324"/>
      <c r="H80" s="387"/>
      <c r="I80" s="388"/>
      <c r="J80" s="322"/>
      <c r="K80" s="354"/>
      <c r="L80" s="355"/>
      <c r="M80" s="356"/>
      <c r="N80" s="67">
        <f t="shared" si="12"/>
        <v>0</v>
      </c>
      <c r="O80" s="324"/>
      <c r="P80" s="387"/>
    </row>
    <row r="81" ht="12.75" customHeight="1">
      <c r="A81" s="322"/>
      <c r="B81" s="362" t="s">
        <v>84</v>
      </c>
      <c r="C81" s="374"/>
      <c r="D81" s="374"/>
      <c r="E81" s="375">
        <f>IF(SUM(E71:E80)=0,"",SUM(E71:E80))</f>
        <v>5967</v>
      </c>
      <c r="F81" s="324"/>
      <c r="G81" s="324"/>
      <c r="H81" s="387"/>
      <c r="I81" s="388"/>
      <c r="J81" s="322"/>
      <c r="K81" s="362" t="s">
        <v>84</v>
      </c>
      <c r="L81" s="374"/>
      <c r="M81" s="374"/>
      <c r="N81" s="375">
        <f>IF(SUM(N71:N80)=0,"",SUM(N71:N80))</f>
        <v>4395.6</v>
      </c>
      <c r="O81" s="324"/>
      <c r="P81" s="387"/>
    </row>
    <row r="82" ht="12.75" customHeight="1">
      <c r="A82" s="322"/>
      <c r="B82" s="360"/>
      <c r="C82" s="360"/>
      <c r="D82" s="360"/>
      <c r="E82" s="361"/>
      <c r="F82" s="324"/>
      <c r="G82" s="324"/>
      <c r="H82" s="387"/>
      <c r="I82" s="388"/>
      <c r="J82" s="322"/>
      <c r="K82" s="360"/>
      <c r="L82" s="360"/>
      <c r="M82" s="360"/>
      <c r="N82" s="361"/>
      <c r="O82" s="324"/>
      <c r="P82" s="387"/>
    </row>
    <row r="83" ht="12.75" customHeight="1">
      <c r="A83" s="322"/>
      <c r="B83" s="34" t="s">
        <v>17</v>
      </c>
      <c r="C83" s="35"/>
      <c r="D83" s="35"/>
      <c r="E83" s="35"/>
      <c r="F83" s="324"/>
      <c r="G83" s="324"/>
      <c r="H83" s="387"/>
      <c r="I83" s="388"/>
      <c r="J83" s="322"/>
      <c r="K83" s="34" t="s">
        <v>17</v>
      </c>
      <c r="L83" s="35"/>
      <c r="M83" s="35"/>
      <c r="N83" s="35"/>
      <c r="O83" s="324"/>
      <c r="P83" s="387"/>
    </row>
    <row r="84" ht="12.75" customHeight="1">
      <c r="A84" s="322"/>
      <c r="B84" s="52" t="s">
        <v>42</v>
      </c>
      <c r="C84" s="54"/>
      <c r="D84" s="54"/>
      <c r="E84" s="56" t="s">
        <v>35</v>
      </c>
      <c r="F84" s="324"/>
      <c r="G84" s="324"/>
      <c r="H84" s="387"/>
      <c r="I84" s="388"/>
      <c r="J84" s="322"/>
      <c r="K84" s="52" t="s">
        <v>42</v>
      </c>
      <c r="L84" s="54"/>
      <c r="M84" s="54"/>
      <c r="N84" s="56" t="s">
        <v>35</v>
      </c>
      <c r="O84" s="324"/>
      <c r="P84" s="387"/>
    </row>
    <row r="85" ht="12.75" customHeight="1">
      <c r="A85" s="322"/>
      <c r="B85" s="60" t="s">
        <v>40</v>
      </c>
      <c r="C85" s="343">
        <f>'UTL COST'!$B$3</f>
        <v>369000</v>
      </c>
      <c r="D85" s="379">
        <f>'UTL COST'!$C$3</f>
        <v>0.0075</v>
      </c>
      <c r="E85" s="67">
        <v>0.0</v>
      </c>
      <c r="F85" s="324"/>
      <c r="G85" s="324"/>
      <c r="H85" s="387"/>
      <c r="I85" s="388"/>
      <c r="J85" s="322"/>
      <c r="K85" s="60" t="s">
        <v>40</v>
      </c>
      <c r="L85" s="343">
        <f>'UTL COST'!$B$3</f>
        <v>369000</v>
      </c>
      <c r="M85" s="379">
        <f>'UTL COST'!$C$3</f>
        <v>0.0075</v>
      </c>
      <c r="N85" s="67">
        <v>0.0</v>
      </c>
      <c r="O85" s="324"/>
      <c r="P85" s="387"/>
    </row>
    <row r="86" ht="12.75" customHeight="1">
      <c r="A86" s="322"/>
      <c r="B86" s="75" t="str">
        <f>'UTL COST'!$A$7</f>
        <v>Gas Pizza</v>
      </c>
      <c r="C86" s="371" t="str">
        <f>'UTL COST'!$B$7</f>
        <v>#REF!</v>
      </c>
      <c r="D86" s="409">
        <f>'UTL COST'!$C$7</f>
        <v>450</v>
      </c>
      <c r="E86" s="76" t="str">
        <f>'UTL COST'!$D$7</f>
        <v>#REF!</v>
      </c>
      <c r="F86" s="324"/>
      <c r="G86" s="324"/>
      <c r="H86" s="387"/>
      <c r="I86" s="388"/>
      <c r="J86" s="322"/>
      <c r="K86" s="75" t="str">
        <f>'UTL COST'!$A$7</f>
        <v>Gas Pizza</v>
      </c>
      <c r="L86" s="371" t="str">
        <f>'UTL COST'!$B$7</f>
        <v>#REF!</v>
      </c>
      <c r="M86" s="409">
        <f>'UTL COST'!$C$7</f>
        <v>450</v>
      </c>
      <c r="N86" s="76" t="str">
        <f>'UTL COST'!$D$7</f>
        <v>#REF!</v>
      </c>
      <c r="O86" s="324"/>
      <c r="P86" s="387"/>
    </row>
    <row r="87" ht="12.75" customHeight="1">
      <c r="A87" s="322"/>
      <c r="B87" s="75" t="s">
        <v>59</v>
      </c>
      <c r="C87" s="371" t="str">
        <f>'UTL COST'!$B$5</f>
        <v>#REF!</v>
      </c>
      <c r="D87" s="382">
        <f>'UTL COST'!$C$5</f>
        <v>45000</v>
      </c>
      <c r="E87" s="76" t="str">
        <f>'UTL COST'!$D$5</f>
        <v>#REF!</v>
      </c>
      <c r="F87" s="324"/>
      <c r="G87" s="324"/>
      <c r="H87" s="387"/>
      <c r="I87" s="388"/>
      <c r="J87" s="322"/>
      <c r="K87" s="75" t="s">
        <v>59</v>
      </c>
      <c r="L87" s="371" t="str">
        <f>'UTL COST'!$B$5</f>
        <v>#REF!</v>
      </c>
      <c r="M87" s="382">
        <f>'UTL COST'!$C$5</f>
        <v>45000</v>
      </c>
      <c r="N87" s="76" t="str">
        <f>'UTL COST'!$D$5</f>
        <v>#REF!</v>
      </c>
      <c r="O87" s="324"/>
      <c r="P87" s="387"/>
    </row>
    <row r="88" ht="12.75" customHeight="1">
      <c r="A88" s="322"/>
      <c r="B88" s="87" t="s">
        <v>64</v>
      </c>
      <c r="C88" s="371" t="str">
        <f>'UTL COST'!$B$6</f>
        <v>#REF!</v>
      </c>
      <c r="D88" s="383">
        <f>'UTL COST'!$C$6</f>
        <v>525</v>
      </c>
      <c r="E88" s="89"/>
      <c r="F88" s="324"/>
      <c r="G88" s="324"/>
      <c r="H88" s="387"/>
      <c r="I88" s="388"/>
      <c r="J88" s="322"/>
      <c r="K88" s="87" t="s">
        <v>64</v>
      </c>
      <c r="L88" s="371" t="str">
        <f>'UTL COST'!$B$6</f>
        <v>#REF!</v>
      </c>
      <c r="M88" s="383">
        <f>'UTL COST'!$C$6</f>
        <v>525</v>
      </c>
      <c r="N88" s="89"/>
      <c r="O88" s="324"/>
      <c r="P88" s="387"/>
    </row>
    <row r="89" ht="12.75" customHeight="1">
      <c r="A89" s="322"/>
      <c r="B89" s="34" t="s">
        <v>84</v>
      </c>
      <c r="C89" s="102"/>
      <c r="D89" s="102"/>
      <c r="E89" s="104" t="str">
        <f>IF(SUM(E85:E88)=0,"",SUM(E85:E88))</f>
        <v>#REF!</v>
      </c>
      <c r="F89" s="324"/>
      <c r="G89" s="324"/>
      <c r="H89" s="387"/>
      <c r="I89" s="388"/>
      <c r="J89" s="322"/>
      <c r="K89" s="34" t="s">
        <v>84</v>
      </c>
      <c r="L89" s="102"/>
      <c r="M89" s="102"/>
      <c r="N89" s="104" t="str">
        <f>IF(SUM(N85:N88)=0,"",SUM(N85:N88))</f>
        <v>#REF!</v>
      </c>
      <c r="O89" s="324"/>
      <c r="P89" s="387"/>
    </row>
    <row r="90" ht="12.75" customHeight="1">
      <c r="A90" s="322"/>
      <c r="B90" s="360"/>
      <c r="C90" s="360"/>
      <c r="D90" s="360"/>
      <c r="E90" s="361"/>
      <c r="F90" s="324"/>
      <c r="G90" s="324"/>
      <c r="H90" s="387"/>
      <c r="I90" s="388"/>
      <c r="J90" s="322"/>
      <c r="K90" s="360"/>
      <c r="L90" s="360"/>
      <c r="M90" s="360"/>
      <c r="N90" s="361"/>
      <c r="O90" s="324"/>
      <c r="P90" s="387"/>
    </row>
    <row r="91" ht="12.75" customHeight="1">
      <c r="A91" s="388"/>
      <c r="B91" s="432"/>
      <c r="C91" s="432"/>
      <c r="D91" s="432"/>
      <c r="E91" s="433"/>
      <c r="F91" s="387"/>
      <c r="G91" s="387"/>
      <c r="H91" s="387"/>
      <c r="I91" s="388"/>
      <c r="J91" s="388"/>
      <c r="K91" s="432"/>
      <c r="L91" s="432"/>
      <c r="M91" s="432"/>
      <c r="N91" s="433"/>
      <c r="O91" s="387"/>
      <c r="P91" s="387"/>
    </row>
    <row r="92" ht="12.75" customHeight="1">
      <c r="A92" s="387"/>
      <c r="B92" s="387"/>
      <c r="C92" s="387"/>
      <c r="D92" s="387"/>
      <c r="E92" s="418"/>
      <c r="F92" s="387"/>
      <c r="G92" s="387"/>
      <c r="H92" s="387"/>
      <c r="I92" s="387"/>
      <c r="J92" s="387"/>
      <c r="K92" s="387"/>
      <c r="L92" s="387"/>
      <c r="M92" s="387"/>
      <c r="N92" s="387"/>
      <c r="O92" s="387"/>
      <c r="P92" s="387"/>
    </row>
    <row r="93" ht="12.75" customHeight="1">
      <c r="A93" s="322"/>
      <c r="B93" s="322"/>
      <c r="C93" s="322"/>
      <c r="D93" s="322"/>
      <c r="E93" s="323"/>
      <c r="F93" s="324"/>
      <c r="G93" s="324"/>
      <c r="H93" s="387"/>
      <c r="I93" s="387"/>
      <c r="J93" s="322"/>
      <c r="K93" s="322"/>
      <c r="L93" s="322"/>
      <c r="M93" s="322"/>
      <c r="N93" s="323"/>
      <c r="O93" s="324"/>
      <c r="P93" s="387"/>
    </row>
    <row r="94" ht="12.75" customHeight="1">
      <c r="A94" s="322"/>
      <c r="B94" s="325"/>
      <c r="C94" s="322"/>
      <c r="D94" s="322"/>
      <c r="E94" s="323"/>
      <c r="F94" s="326"/>
      <c r="G94" s="326"/>
      <c r="H94" s="387"/>
      <c r="I94" s="387"/>
      <c r="J94" s="322"/>
      <c r="K94" s="325"/>
      <c r="L94" s="322"/>
      <c r="M94" s="322"/>
      <c r="N94" s="323"/>
      <c r="O94" s="326"/>
      <c r="P94" s="404"/>
    </row>
    <row r="95" ht="12.75" customHeight="1">
      <c r="A95" s="322"/>
      <c r="B95" s="327" t="s">
        <v>931</v>
      </c>
      <c r="C95" s="328" t="s">
        <v>1090</v>
      </c>
      <c r="D95" s="329"/>
      <c r="E95" s="323"/>
      <c r="F95" s="326"/>
      <c r="G95" s="326"/>
      <c r="H95" s="387"/>
      <c r="I95" s="387"/>
      <c r="J95" s="322"/>
      <c r="K95" s="327" t="s">
        <v>931</v>
      </c>
      <c r="L95" s="328" t="s">
        <v>345</v>
      </c>
      <c r="M95" s="329"/>
      <c r="N95" s="323"/>
      <c r="O95" s="326"/>
      <c r="P95" s="404"/>
    </row>
    <row r="96" ht="12.75" customHeight="1">
      <c r="A96" s="322"/>
      <c r="B96" s="325"/>
      <c r="C96" s="322"/>
      <c r="D96" s="322"/>
      <c r="E96" s="323"/>
      <c r="F96" s="326"/>
      <c r="G96" s="326"/>
      <c r="H96" s="387"/>
      <c r="I96" s="387"/>
      <c r="J96" s="322"/>
      <c r="K96" s="325"/>
      <c r="L96" s="322"/>
      <c r="M96" s="322"/>
      <c r="N96" s="323"/>
      <c r="O96" s="326"/>
      <c r="P96" s="404"/>
    </row>
    <row r="97" ht="12.75" customHeight="1">
      <c r="A97" s="322"/>
      <c r="B97" s="327" t="s">
        <v>935</v>
      </c>
      <c r="C97" s="331">
        <v>220000.0</v>
      </c>
      <c r="D97" s="329"/>
      <c r="E97" s="323"/>
      <c r="F97" s="326"/>
      <c r="G97" s="326"/>
      <c r="H97" s="387"/>
      <c r="I97" s="387"/>
      <c r="J97" s="322"/>
      <c r="K97" s="327" t="s">
        <v>935</v>
      </c>
      <c r="L97" s="331">
        <v>295000.0</v>
      </c>
      <c r="M97" s="329"/>
      <c r="N97" s="323"/>
      <c r="O97" s="326"/>
      <c r="P97" s="404"/>
    </row>
    <row r="98" ht="12.75" customHeight="1">
      <c r="A98" s="322"/>
      <c r="B98" s="327"/>
      <c r="C98" s="332"/>
      <c r="D98" s="332"/>
      <c r="E98" s="323"/>
      <c r="F98" s="326"/>
      <c r="G98" s="326"/>
      <c r="H98" s="387"/>
      <c r="I98" s="387"/>
      <c r="J98" s="322"/>
      <c r="K98" s="327"/>
      <c r="L98" s="332"/>
      <c r="M98" s="332"/>
      <c r="N98" s="323"/>
      <c r="O98" s="326"/>
      <c r="P98" s="404"/>
    </row>
    <row r="99" ht="12.75" customHeight="1">
      <c r="A99" s="322"/>
      <c r="B99" s="327" t="s">
        <v>939</v>
      </c>
      <c r="C99" s="333">
        <f>IF(SUM(E111,E126,E134)=0,"",SUM(E111,E126,E134))</f>
        <v>32219.23703</v>
      </c>
      <c r="D99" s="321"/>
      <c r="E99" s="323"/>
      <c r="F99" s="326"/>
      <c r="G99" s="326"/>
      <c r="H99" s="387"/>
      <c r="I99" s="387"/>
      <c r="J99" s="322"/>
      <c r="K99" s="327" t="s">
        <v>939</v>
      </c>
      <c r="L99" s="333" t="str">
        <f>IF(SUM(N111,N126,N134)=0,"",SUM(N111,N126,N134))</f>
        <v>#REF!</v>
      </c>
      <c r="M99" s="321"/>
      <c r="N99" s="323"/>
      <c r="O99" s="326"/>
      <c r="P99" s="404"/>
    </row>
    <row r="100" ht="12.75" customHeight="1">
      <c r="A100" s="322"/>
      <c r="B100" s="327"/>
      <c r="C100" s="334"/>
      <c r="D100" s="334"/>
      <c r="E100" s="323"/>
      <c r="F100" s="326"/>
      <c r="G100" s="326"/>
      <c r="H100" s="387"/>
      <c r="I100" s="387"/>
      <c r="J100" s="322"/>
      <c r="K100" s="327"/>
      <c r="L100" s="334"/>
      <c r="M100" s="334"/>
      <c r="N100" s="323"/>
      <c r="O100" s="326"/>
      <c r="P100" s="404"/>
    </row>
    <row r="101" ht="12.75" customHeight="1">
      <c r="A101" s="322"/>
      <c r="B101" s="327" t="s">
        <v>946</v>
      </c>
      <c r="C101" s="335">
        <f>IF(C99="","",IF(ISBLANK(C97),"",C99/C97))</f>
        <v>0.1464510774</v>
      </c>
      <c r="D101" s="321"/>
      <c r="E101" s="323"/>
      <c r="F101" s="326"/>
      <c r="G101" s="326"/>
      <c r="H101" s="387"/>
      <c r="I101" s="387"/>
      <c r="J101" s="322"/>
      <c r="K101" s="327" t="s">
        <v>946</v>
      </c>
      <c r="L101" s="335" t="str">
        <f>IF(L99="","",IF(ISBLANK(L97),"",L99/L97))</f>
        <v>#REF!</v>
      </c>
      <c r="M101" s="321"/>
      <c r="N101" s="323"/>
      <c r="O101" s="326"/>
      <c r="P101" s="404"/>
    </row>
    <row r="102" ht="12.75" customHeight="1">
      <c r="A102" s="322"/>
      <c r="B102" s="327"/>
      <c r="C102" s="334"/>
      <c r="D102" s="334"/>
      <c r="E102" s="323"/>
      <c r="F102" s="326"/>
      <c r="G102" s="326"/>
      <c r="H102" s="387"/>
      <c r="I102" s="387"/>
      <c r="J102" s="322"/>
      <c r="K102" s="327"/>
      <c r="L102" s="334"/>
      <c r="M102" s="334"/>
      <c r="N102" s="323"/>
      <c r="O102" s="326"/>
      <c r="P102" s="404"/>
    </row>
    <row r="103" ht="12.75" customHeight="1">
      <c r="A103" s="322"/>
      <c r="B103" s="327" t="s">
        <v>950</v>
      </c>
      <c r="C103" s="333">
        <f>C97-C99</f>
        <v>187780.763</v>
      </c>
      <c r="D103" s="321"/>
      <c r="E103" s="323"/>
      <c r="F103" s="326"/>
      <c r="G103" s="326"/>
      <c r="H103" s="387"/>
      <c r="I103" s="387"/>
      <c r="J103" s="322"/>
      <c r="K103" s="327" t="s">
        <v>950</v>
      </c>
      <c r="L103" s="333" t="str">
        <f>L97-L99</f>
        <v>#REF!</v>
      </c>
      <c r="M103" s="321"/>
      <c r="N103" s="323"/>
      <c r="O103" s="326"/>
      <c r="P103" s="404"/>
    </row>
    <row r="104" ht="12.75" customHeight="1">
      <c r="A104" s="322"/>
      <c r="B104" s="322"/>
      <c r="C104" s="322"/>
      <c r="D104" s="322"/>
      <c r="E104" s="323"/>
      <c r="F104" s="324"/>
      <c r="G104" s="324"/>
      <c r="H104" s="387"/>
      <c r="I104" s="387"/>
      <c r="J104" s="322"/>
      <c r="K104" s="322"/>
      <c r="L104" s="322"/>
      <c r="M104" s="322"/>
      <c r="N104" s="323"/>
      <c r="O104" s="324"/>
      <c r="P104" s="387"/>
    </row>
    <row r="105" ht="12.75" customHeight="1">
      <c r="A105" s="322"/>
      <c r="B105" s="322"/>
      <c r="C105" s="322"/>
      <c r="D105" s="322"/>
      <c r="E105" s="337"/>
      <c r="F105" s="324"/>
      <c r="G105" s="324"/>
      <c r="H105" s="387"/>
      <c r="I105" s="387"/>
      <c r="J105" s="322"/>
      <c r="K105" s="322"/>
      <c r="L105" s="322"/>
      <c r="M105" s="322"/>
      <c r="N105" s="337"/>
      <c r="O105" s="324"/>
      <c r="P105" s="387"/>
    </row>
    <row r="106" ht="12.75" customHeight="1">
      <c r="A106" s="322"/>
      <c r="B106" s="338" t="s">
        <v>951</v>
      </c>
      <c r="C106" s="339"/>
      <c r="D106" s="339"/>
      <c r="E106" s="339"/>
      <c r="F106" s="324"/>
      <c r="G106" s="324"/>
      <c r="H106" s="387"/>
      <c r="I106" s="387"/>
      <c r="J106" s="322"/>
      <c r="K106" s="338" t="s">
        <v>951</v>
      </c>
      <c r="L106" s="339"/>
      <c r="M106" s="339"/>
      <c r="N106" s="339"/>
      <c r="O106" s="324"/>
      <c r="P106" s="387"/>
    </row>
    <row r="107" ht="12.75" customHeight="1">
      <c r="A107" s="322"/>
      <c r="B107" s="340" t="s">
        <v>953</v>
      </c>
      <c r="C107" s="341" t="s">
        <v>954</v>
      </c>
      <c r="D107" s="341" t="s">
        <v>955</v>
      </c>
      <c r="E107" s="341" t="s">
        <v>35</v>
      </c>
      <c r="F107" s="324"/>
      <c r="G107" s="324"/>
      <c r="H107" s="387"/>
      <c r="I107" s="387"/>
      <c r="J107" s="322"/>
      <c r="K107" s="340" t="s">
        <v>953</v>
      </c>
      <c r="L107" s="341" t="s">
        <v>954</v>
      </c>
      <c r="M107" s="341" t="s">
        <v>955</v>
      </c>
      <c r="N107" s="341" t="s">
        <v>35</v>
      </c>
      <c r="O107" s="324"/>
      <c r="P107" s="387"/>
    </row>
    <row r="108" ht="12.75" customHeight="1">
      <c r="A108" s="322"/>
      <c r="B108" s="60" t="s">
        <v>850</v>
      </c>
      <c r="C108" s="342">
        <v>0.15</v>
      </c>
      <c r="D108" s="343">
        <f>'F&amp;B'!$F$98</f>
        <v>76500</v>
      </c>
      <c r="E108" s="67">
        <f t="shared" ref="E108:E110" si="13">IF(OR(ISBLANK(C108),ISBLANK(D108)),"",D108*C108)</f>
        <v>11475</v>
      </c>
      <c r="F108" s="324"/>
      <c r="G108" s="324"/>
      <c r="H108" s="387"/>
      <c r="I108" s="387"/>
      <c r="J108" s="322"/>
      <c r="K108" s="60" t="s">
        <v>850</v>
      </c>
      <c r="L108" s="342">
        <v>0.15</v>
      </c>
      <c r="M108" s="343">
        <f>'F&amp;B'!$F$98</f>
        <v>76500</v>
      </c>
      <c r="N108" s="67">
        <f t="shared" ref="N108:N110" si="14">IF(OR(ISBLANK(L108),ISBLANK(M108)),"",M108*L108)</f>
        <v>11475</v>
      </c>
      <c r="O108" s="324"/>
      <c r="P108" s="387"/>
    </row>
    <row r="109" ht="12.75" customHeight="1">
      <c r="A109" s="322"/>
      <c r="B109" s="75" t="s">
        <v>1016</v>
      </c>
      <c r="C109" s="398">
        <v>0.12</v>
      </c>
      <c r="D109" s="347">
        <f t="shared" ref="D109:D110" si="15">D20</f>
        <v>19698.44963</v>
      </c>
      <c r="E109" s="67">
        <f t="shared" si="13"/>
        <v>2363.813955</v>
      </c>
      <c r="F109" s="324"/>
      <c r="G109" s="324"/>
      <c r="H109" s="387"/>
      <c r="I109" s="387"/>
      <c r="J109" s="322"/>
      <c r="K109" s="75" t="s">
        <v>1016</v>
      </c>
      <c r="L109" s="405">
        <v>0.12</v>
      </c>
      <c r="M109" s="371">
        <f t="shared" ref="M109:M110" si="16">D20</f>
        <v>19698.44963</v>
      </c>
      <c r="N109" s="67">
        <f t="shared" si="14"/>
        <v>2363.813955</v>
      </c>
      <c r="O109" s="324"/>
      <c r="P109" s="387"/>
    </row>
    <row r="110" ht="12.75" customHeight="1">
      <c r="A110" s="322"/>
      <c r="B110" s="87" t="s">
        <v>200</v>
      </c>
      <c r="C110" s="355">
        <v>1.0</v>
      </c>
      <c r="D110" s="347">
        <f t="shared" si="15"/>
        <v>900.9230769</v>
      </c>
      <c r="E110" s="67">
        <f t="shared" si="13"/>
        <v>900.9230769</v>
      </c>
      <c r="F110" s="324"/>
      <c r="G110" s="324"/>
      <c r="H110" s="387"/>
      <c r="I110" s="387"/>
      <c r="J110" s="322"/>
      <c r="K110" s="87" t="s">
        <v>200</v>
      </c>
      <c r="L110" s="412">
        <v>1.0</v>
      </c>
      <c r="M110" s="371">
        <f t="shared" si="16"/>
        <v>900.9230769</v>
      </c>
      <c r="N110" s="67">
        <f t="shared" si="14"/>
        <v>900.9230769</v>
      </c>
      <c r="O110" s="324"/>
      <c r="P110" s="387"/>
    </row>
    <row r="111" ht="12.75" customHeight="1">
      <c r="A111" s="322"/>
      <c r="B111" s="338" t="s">
        <v>84</v>
      </c>
      <c r="C111" s="358"/>
      <c r="D111" s="358"/>
      <c r="E111" s="359">
        <f>IF(SUM(E108:E110)=0,"",SUM(E108:E110))</f>
        <v>14739.73703</v>
      </c>
      <c r="F111" s="324"/>
      <c r="G111" s="324"/>
      <c r="H111" s="441">
        <f>E111/$C$99</f>
        <v>0.4574824977</v>
      </c>
      <c r="I111" s="387"/>
      <c r="J111" s="322"/>
      <c r="K111" s="338" t="s">
        <v>84</v>
      </c>
      <c r="L111" s="358"/>
      <c r="M111" s="358"/>
      <c r="N111" s="359">
        <f>IF(SUM(N108:N110)=0,"",SUM(N108:N110))</f>
        <v>14739.73703</v>
      </c>
      <c r="O111" s="324"/>
      <c r="P111" s="387"/>
    </row>
    <row r="112" ht="12.75" customHeight="1">
      <c r="A112" s="322"/>
      <c r="B112" s="360"/>
      <c r="C112" s="360"/>
      <c r="D112" s="360"/>
      <c r="E112" s="361"/>
      <c r="F112" s="324"/>
      <c r="G112" s="324"/>
      <c r="H112" s="387"/>
      <c r="I112" s="387"/>
      <c r="J112" s="322"/>
      <c r="K112" s="360"/>
      <c r="L112" s="360"/>
      <c r="M112" s="360"/>
      <c r="N112" s="361"/>
      <c r="O112" s="324"/>
      <c r="P112" s="387"/>
    </row>
    <row r="113" ht="12.75" customHeight="1">
      <c r="A113" s="322"/>
      <c r="B113" s="362" t="s">
        <v>972</v>
      </c>
      <c r="C113" s="363"/>
      <c r="D113" s="363"/>
      <c r="E113" s="363"/>
      <c r="F113" s="324"/>
      <c r="G113" s="324"/>
      <c r="H113" s="387"/>
      <c r="I113" s="387"/>
      <c r="J113" s="322"/>
      <c r="K113" s="362" t="s">
        <v>972</v>
      </c>
      <c r="L113" s="363"/>
      <c r="M113" s="363"/>
      <c r="N113" s="363"/>
      <c r="O113" s="324"/>
      <c r="P113" s="387"/>
    </row>
    <row r="114" ht="12.75" customHeight="1">
      <c r="A114" s="322"/>
      <c r="B114" s="365" t="s">
        <v>953</v>
      </c>
      <c r="C114" s="366" t="s">
        <v>3</v>
      </c>
      <c r="D114" s="366" t="s">
        <v>975</v>
      </c>
      <c r="E114" s="367" t="s">
        <v>35</v>
      </c>
      <c r="F114" s="324"/>
      <c r="G114" s="324"/>
      <c r="H114" s="387"/>
      <c r="I114" s="387"/>
      <c r="J114" s="322"/>
      <c r="K114" s="365" t="s">
        <v>953</v>
      </c>
      <c r="L114" s="366" t="s">
        <v>3</v>
      </c>
      <c r="M114" s="366" t="s">
        <v>975</v>
      </c>
      <c r="N114" s="367" t="s">
        <v>35</v>
      </c>
      <c r="O114" s="324"/>
      <c r="P114" s="387"/>
    </row>
    <row r="115" ht="12.75" customHeight="1">
      <c r="A115" s="322"/>
      <c r="B115" s="368"/>
      <c r="C115" s="366"/>
      <c r="D115" s="366"/>
      <c r="E115" s="368"/>
      <c r="F115" s="324"/>
      <c r="G115" s="324"/>
      <c r="H115" s="387"/>
      <c r="I115" s="387"/>
      <c r="J115" s="322"/>
      <c r="K115" s="368"/>
      <c r="L115" s="366"/>
      <c r="M115" s="366"/>
      <c r="N115" s="368"/>
      <c r="O115" s="324"/>
      <c r="P115" s="387"/>
    </row>
    <row r="116" ht="12.75" customHeight="1">
      <c r="A116" s="322"/>
      <c r="B116" s="60" t="s">
        <v>60</v>
      </c>
      <c r="C116" s="342">
        <f>30/1000</f>
        <v>0.03</v>
      </c>
      <c r="D116" s="343">
        <f>'F&amp;B'!$F$103</f>
        <v>148500</v>
      </c>
      <c r="E116" s="67">
        <f t="shared" ref="E116:E125" si="17">D116*C116</f>
        <v>4455</v>
      </c>
      <c r="F116" s="324"/>
      <c r="G116" s="324"/>
      <c r="H116" s="387"/>
      <c r="I116" s="387"/>
      <c r="J116" s="322"/>
      <c r="K116" s="60" t="s">
        <v>703</v>
      </c>
      <c r="L116" s="342">
        <v>0.14</v>
      </c>
      <c r="M116" s="343">
        <f>'F&amp;B'!$F$229</f>
        <v>81000</v>
      </c>
      <c r="N116" s="67">
        <f t="shared" ref="N116:N125" si="18">M116*L116</f>
        <v>11340</v>
      </c>
      <c r="O116" s="324"/>
      <c r="P116" s="387"/>
    </row>
    <row r="117" ht="12.75" customHeight="1">
      <c r="A117" s="322"/>
      <c r="B117" s="75" t="s">
        <v>1098</v>
      </c>
      <c r="C117" s="370">
        <v>0.25</v>
      </c>
      <c r="D117" s="371">
        <f>'F&amp;B'!$F$280</f>
        <v>2970</v>
      </c>
      <c r="E117" s="67">
        <f t="shared" si="17"/>
        <v>742.5</v>
      </c>
      <c r="F117" s="324"/>
      <c r="G117" s="324"/>
      <c r="H117" s="387"/>
      <c r="I117" s="387"/>
      <c r="J117" s="322"/>
      <c r="K117" s="75" t="s">
        <v>1048</v>
      </c>
      <c r="L117" s="370">
        <v>0.09</v>
      </c>
      <c r="M117" s="371">
        <f>'F&amp;B'!$F$246/3.79</f>
        <v>56160.94987</v>
      </c>
      <c r="N117" s="67">
        <f t="shared" si="18"/>
        <v>5054.485488</v>
      </c>
      <c r="O117" s="324"/>
      <c r="P117" s="387"/>
    </row>
    <row r="118" ht="12.75" customHeight="1">
      <c r="A118" s="322"/>
      <c r="B118" s="75" t="s">
        <v>1067</v>
      </c>
      <c r="C118" s="370">
        <v>0.06</v>
      </c>
      <c r="D118" s="371">
        <f>'F&amp;B'!$F$278</f>
        <v>103500</v>
      </c>
      <c r="E118" s="67">
        <f t="shared" si="17"/>
        <v>6210</v>
      </c>
      <c r="F118" s="324"/>
      <c r="G118" s="324"/>
      <c r="H118" s="387"/>
      <c r="I118" s="387"/>
      <c r="J118" s="322"/>
      <c r="K118" s="75" t="s">
        <v>1080</v>
      </c>
      <c r="L118" s="346">
        <v>0.04</v>
      </c>
      <c r="M118" s="371">
        <f>'F&amp;B'!$F$60*3</f>
        <v>29700</v>
      </c>
      <c r="N118" s="67">
        <f t="shared" si="18"/>
        <v>1188</v>
      </c>
      <c r="O118" s="324"/>
      <c r="P118" s="387"/>
    </row>
    <row r="119" ht="12.75" customHeight="1">
      <c r="A119" s="322"/>
      <c r="B119" s="75" t="s">
        <v>351</v>
      </c>
      <c r="C119" s="346">
        <v>0.04</v>
      </c>
      <c r="D119" s="371">
        <f>'F&amp;B'!$F$251/3</f>
        <v>151800</v>
      </c>
      <c r="E119" s="67">
        <f t="shared" si="17"/>
        <v>6072</v>
      </c>
      <c r="F119" s="324"/>
      <c r="G119" s="324"/>
      <c r="H119" s="387"/>
      <c r="I119" s="387"/>
      <c r="J119" s="322"/>
      <c r="K119" s="75" t="s">
        <v>1046</v>
      </c>
      <c r="L119" s="346"/>
      <c r="M119" s="371"/>
      <c r="N119" s="67">
        <f t="shared" si="18"/>
        <v>0</v>
      </c>
      <c r="O119" s="324"/>
      <c r="P119" s="387"/>
    </row>
    <row r="120" ht="12.75" customHeight="1">
      <c r="A120" s="322"/>
      <c r="B120" s="75"/>
      <c r="C120" s="346"/>
      <c r="D120" s="371"/>
      <c r="E120" s="67">
        <f t="shared" si="17"/>
        <v>0</v>
      </c>
      <c r="F120" s="324"/>
      <c r="G120" s="324"/>
      <c r="H120" s="387"/>
      <c r="I120" s="387"/>
      <c r="J120" s="322"/>
      <c r="K120" s="75"/>
      <c r="L120" s="346"/>
      <c r="M120" s="371"/>
      <c r="N120" s="67">
        <f t="shared" si="18"/>
        <v>0</v>
      </c>
      <c r="O120" s="324"/>
      <c r="P120" s="387"/>
    </row>
    <row r="121" ht="12.75" customHeight="1">
      <c r="A121" s="322"/>
      <c r="B121" s="75"/>
      <c r="C121" s="346"/>
      <c r="D121" s="373"/>
      <c r="E121" s="67">
        <f t="shared" si="17"/>
        <v>0</v>
      </c>
      <c r="F121" s="324"/>
      <c r="G121" s="324"/>
      <c r="H121" s="387"/>
      <c r="I121" s="387"/>
      <c r="J121" s="322"/>
      <c r="K121" s="75"/>
      <c r="L121" s="346"/>
      <c r="M121" s="373"/>
      <c r="N121" s="67">
        <f t="shared" si="18"/>
        <v>0</v>
      </c>
      <c r="O121" s="324"/>
      <c r="P121" s="387"/>
    </row>
    <row r="122" ht="12.75" customHeight="1">
      <c r="A122" s="322"/>
      <c r="B122" s="348"/>
      <c r="C122" s="346"/>
      <c r="D122" s="373"/>
      <c r="E122" s="67">
        <f t="shared" si="17"/>
        <v>0</v>
      </c>
      <c r="F122" s="324"/>
      <c r="G122" s="324"/>
      <c r="H122" s="387"/>
      <c r="I122" s="387"/>
      <c r="J122" s="322"/>
      <c r="K122" s="348"/>
      <c r="L122" s="346"/>
      <c r="M122" s="373"/>
      <c r="N122" s="67">
        <f t="shared" si="18"/>
        <v>0</v>
      </c>
      <c r="O122" s="324"/>
      <c r="P122" s="387"/>
    </row>
    <row r="123" ht="12.75" customHeight="1">
      <c r="A123" s="322"/>
      <c r="B123" s="348"/>
      <c r="C123" s="346"/>
      <c r="D123" s="373"/>
      <c r="E123" s="67">
        <f t="shared" si="17"/>
        <v>0</v>
      </c>
      <c r="F123" s="324"/>
      <c r="G123" s="324"/>
      <c r="H123" s="387"/>
      <c r="I123" s="387"/>
      <c r="J123" s="322"/>
      <c r="K123" s="348"/>
      <c r="L123" s="346"/>
      <c r="M123" s="373"/>
      <c r="N123" s="67">
        <f t="shared" si="18"/>
        <v>0</v>
      </c>
      <c r="O123" s="324"/>
      <c r="P123" s="387"/>
    </row>
    <row r="124" ht="12.75" customHeight="1">
      <c r="A124" s="322"/>
      <c r="B124" s="348"/>
      <c r="C124" s="346"/>
      <c r="D124" s="373"/>
      <c r="E124" s="67">
        <f t="shared" si="17"/>
        <v>0</v>
      </c>
      <c r="F124" s="324"/>
      <c r="G124" s="324"/>
      <c r="H124" s="387"/>
      <c r="I124" s="387"/>
      <c r="J124" s="322"/>
      <c r="K124" s="348"/>
      <c r="L124" s="346"/>
      <c r="M124" s="373"/>
      <c r="N124" s="67">
        <f t="shared" si="18"/>
        <v>0</v>
      </c>
      <c r="O124" s="324"/>
      <c r="P124" s="387"/>
    </row>
    <row r="125" ht="12.75" customHeight="1">
      <c r="A125" s="322"/>
      <c r="B125" s="354"/>
      <c r="C125" s="355"/>
      <c r="D125" s="356"/>
      <c r="E125" s="67">
        <f t="shared" si="17"/>
        <v>0</v>
      </c>
      <c r="F125" s="324"/>
      <c r="G125" s="324"/>
      <c r="H125" s="387"/>
      <c r="I125" s="387"/>
      <c r="J125" s="322"/>
      <c r="K125" s="354"/>
      <c r="L125" s="355"/>
      <c r="M125" s="356"/>
      <c r="N125" s="67">
        <f t="shared" si="18"/>
        <v>0</v>
      </c>
      <c r="O125" s="324"/>
      <c r="P125" s="387"/>
    </row>
    <row r="126" ht="12.75" customHeight="1">
      <c r="A126" s="322"/>
      <c r="B126" s="362" t="s">
        <v>84</v>
      </c>
      <c r="C126" s="374"/>
      <c r="D126" s="374"/>
      <c r="E126" s="375">
        <f>IF(SUM(E116:E125)=0,"",SUM(E116:E125))</f>
        <v>17479.5</v>
      </c>
      <c r="F126" s="324"/>
      <c r="G126" s="324"/>
      <c r="H126" s="441">
        <f>E126/$C$99</f>
        <v>0.5425175023</v>
      </c>
      <c r="I126" s="387"/>
      <c r="J126" s="322"/>
      <c r="K126" s="362" t="s">
        <v>84</v>
      </c>
      <c r="L126" s="374"/>
      <c r="M126" s="374"/>
      <c r="N126" s="375">
        <f>IF(SUM(N116:N125)=0,"",SUM(N116:N125))</f>
        <v>17582.48549</v>
      </c>
      <c r="O126" s="324"/>
      <c r="P126" s="387"/>
    </row>
    <row r="127" ht="12.75" customHeight="1">
      <c r="A127" s="322"/>
      <c r="B127" s="360"/>
      <c r="C127" s="360"/>
      <c r="D127" s="360"/>
      <c r="E127" s="361"/>
      <c r="F127" s="324"/>
      <c r="G127" s="324"/>
      <c r="H127" s="387"/>
      <c r="I127" s="387"/>
      <c r="J127" s="322"/>
      <c r="K127" s="360"/>
      <c r="L127" s="360"/>
      <c r="M127" s="360"/>
      <c r="N127" s="361"/>
      <c r="O127" s="324"/>
      <c r="P127" s="387"/>
    </row>
    <row r="128" ht="12.75" customHeight="1">
      <c r="A128" s="322"/>
      <c r="B128" s="34" t="s">
        <v>17</v>
      </c>
      <c r="C128" s="35"/>
      <c r="D128" s="35"/>
      <c r="E128" s="35"/>
      <c r="F128" s="324"/>
      <c r="G128" s="324"/>
      <c r="H128" s="387"/>
      <c r="I128" s="387"/>
      <c r="J128" s="322"/>
      <c r="K128" s="34" t="s">
        <v>17</v>
      </c>
      <c r="L128" s="35"/>
      <c r="M128" s="35"/>
      <c r="N128" s="35"/>
      <c r="O128" s="324"/>
      <c r="P128" s="387"/>
    </row>
    <row r="129" ht="12.75" customHeight="1">
      <c r="A129" s="322"/>
      <c r="B129" s="52" t="s">
        <v>42</v>
      </c>
      <c r="C129" s="54"/>
      <c r="D129" s="54"/>
      <c r="E129" s="56" t="s">
        <v>35</v>
      </c>
      <c r="F129" s="324"/>
      <c r="G129" s="324"/>
      <c r="H129" s="387"/>
      <c r="I129" s="387"/>
      <c r="J129" s="322"/>
      <c r="K129" s="52" t="s">
        <v>42</v>
      </c>
      <c r="L129" s="54"/>
      <c r="M129" s="54"/>
      <c r="N129" s="56" t="s">
        <v>35</v>
      </c>
      <c r="O129" s="324"/>
      <c r="P129" s="387"/>
    </row>
    <row r="130" ht="12.75" customHeight="1">
      <c r="A130" s="322"/>
      <c r="B130" s="60" t="s">
        <v>40</v>
      </c>
      <c r="C130" s="343">
        <f>'UTL COST'!$B$3</f>
        <v>369000</v>
      </c>
      <c r="D130" s="379">
        <f>'UTL COST'!$C$3</f>
        <v>0.0075</v>
      </c>
      <c r="E130" s="67">
        <v>0.0</v>
      </c>
      <c r="F130" s="324"/>
      <c r="G130" s="324"/>
      <c r="H130" s="387"/>
      <c r="I130" s="387"/>
      <c r="J130" s="322"/>
      <c r="K130" s="60" t="s">
        <v>40</v>
      </c>
      <c r="L130" s="343">
        <f>'UTL COST'!$B$3</f>
        <v>369000</v>
      </c>
      <c r="M130" s="379">
        <f>'UTL COST'!$C$3</f>
        <v>0.0075</v>
      </c>
      <c r="N130" s="67">
        <v>0.0</v>
      </c>
      <c r="O130" s="324"/>
      <c r="P130" s="387"/>
    </row>
    <row r="131" ht="12.75" customHeight="1">
      <c r="A131" s="322"/>
      <c r="B131" s="75" t="str">
        <f>'UTL COST'!$A$7</f>
        <v>Gas Pizza</v>
      </c>
      <c r="C131" s="371" t="str">
        <f>'UTL COST'!$B$7</f>
        <v>#REF!</v>
      </c>
      <c r="D131" s="409">
        <f>'UTL COST'!$C$7</f>
        <v>450</v>
      </c>
      <c r="E131" s="76" t="str">
        <f>'UTL COST'!$D$7</f>
        <v>#REF!</v>
      </c>
      <c r="F131" s="324"/>
      <c r="G131" s="324"/>
      <c r="H131" s="387"/>
      <c r="I131" s="387"/>
      <c r="J131" s="322"/>
      <c r="K131" s="75" t="str">
        <f>'UTL COST'!$A$7</f>
        <v>Gas Pizza</v>
      </c>
      <c r="L131" s="371" t="str">
        <f>'UTL COST'!$B$7</f>
        <v>#REF!</v>
      </c>
      <c r="M131" s="409">
        <f>'UTL COST'!$C$7</f>
        <v>450</v>
      </c>
      <c r="N131" s="76" t="str">
        <f>'UTL COST'!$D$7</f>
        <v>#REF!</v>
      </c>
      <c r="O131" s="324"/>
      <c r="P131" s="387"/>
    </row>
    <row r="132" ht="12.75" customHeight="1">
      <c r="A132" s="322"/>
      <c r="B132" s="75" t="s">
        <v>59</v>
      </c>
      <c r="C132" s="371" t="str">
        <f>'UTL COST'!$B$5</f>
        <v>#REF!</v>
      </c>
      <c r="D132" s="382">
        <f>'UTL COST'!$C$5</f>
        <v>45000</v>
      </c>
      <c r="E132" s="76" t="str">
        <f>'UTL COST'!$D$5</f>
        <v>#REF!</v>
      </c>
      <c r="F132" s="324"/>
      <c r="G132" s="324"/>
      <c r="H132" s="387"/>
      <c r="I132" s="387"/>
      <c r="J132" s="322"/>
      <c r="K132" s="75" t="s">
        <v>59</v>
      </c>
      <c r="L132" s="371" t="str">
        <f>'UTL COST'!$B$5</f>
        <v>#REF!</v>
      </c>
      <c r="M132" s="382">
        <f>'UTL COST'!$C$5</f>
        <v>45000</v>
      </c>
      <c r="N132" s="76" t="str">
        <f>'UTL COST'!$D$5</f>
        <v>#REF!</v>
      </c>
      <c r="O132" s="324"/>
      <c r="P132" s="387"/>
    </row>
    <row r="133" ht="12.75" customHeight="1">
      <c r="A133" s="322"/>
      <c r="B133" s="87" t="s">
        <v>64</v>
      </c>
      <c r="C133" s="371" t="str">
        <f>'UTL COST'!$B$6</f>
        <v>#REF!</v>
      </c>
      <c r="D133" s="383">
        <f>'UTL COST'!$C$6</f>
        <v>525</v>
      </c>
      <c r="E133" s="89"/>
      <c r="F133" s="324"/>
      <c r="G133" s="324"/>
      <c r="H133" s="387"/>
      <c r="I133" s="387"/>
      <c r="J133" s="322"/>
      <c r="K133" s="87" t="s">
        <v>64</v>
      </c>
      <c r="L133" s="371" t="str">
        <f>'UTL COST'!$B$6</f>
        <v>#REF!</v>
      </c>
      <c r="M133" s="383">
        <f>'UTL COST'!$C$6</f>
        <v>525</v>
      </c>
      <c r="N133" s="89"/>
      <c r="O133" s="324"/>
      <c r="P133" s="387"/>
    </row>
    <row r="134" ht="12.75" customHeight="1">
      <c r="A134" s="322"/>
      <c r="B134" s="34" t="s">
        <v>84</v>
      </c>
      <c r="C134" s="102"/>
      <c r="D134" s="102"/>
      <c r="E134" s="430"/>
      <c r="F134" s="324"/>
      <c r="G134" s="324"/>
      <c r="H134" s="441">
        <f>E134/$C$99</f>
        <v>0</v>
      </c>
      <c r="I134" s="387"/>
      <c r="J134" s="322"/>
      <c r="K134" s="34" t="s">
        <v>84</v>
      </c>
      <c r="L134" s="102"/>
      <c r="M134" s="102"/>
      <c r="N134" s="104" t="str">
        <f>IF(SUM(N130:N133)=0,"",SUM(N130:N133))</f>
        <v>#REF!</v>
      </c>
      <c r="O134" s="324"/>
      <c r="P134" s="387"/>
    </row>
    <row r="135" ht="12.75" customHeight="1">
      <c r="A135" s="322"/>
      <c r="B135" s="360"/>
      <c r="C135" s="360"/>
      <c r="D135" s="360"/>
      <c r="E135" s="361"/>
      <c r="F135" s="324"/>
      <c r="G135" s="324"/>
      <c r="H135" s="387"/>
      <c r="I135" s="387"/>
      <c r="J135" s="322"/>
      <c r="K135" s="360"/>
      <c r="L135" s="360"/>
      <c r="M135" s="360"/>
      <c r="N135" s="361"/>
      <c r="O135" s="324"/>
      <c r="P135" s="387"/>
    </row>
    <row r="136" ht="12.75" customHeight="1">
      <c r="A136" s="387"/>
      <c r="B136" s="387"/>
      <c r="C136" s="387"/>
      <c r="D136" s="387"/>
      <c r="E136" s="418"/>
      <c r="F136" s="387"/>
      <c r="G136" s="387"/>
      <c r="H136" s="387"/>
      <c r="I136" s="387"/>
      <c r="J136" s="387"/>
      <c r="K136" s="387"/>
      <c r="L136" s="387"/>
      <c r="M136" s="387"/>
      <c r="N136" s="387"/>
      <c r="O136" s="387"/>
      <c r="P136" s="387"/>
    </row>
    <row r="137" ht="12.75" customHeight="1">
      <c r="A137" s="387"/>
      <c r="B137" s="387"/>
      <c r="C137" s="387"/>
      <c r="D137" s="387"/>
      <c r="E137" s="418"/>
      <c r="F137" s="387"/>
      <c r="G137" s="387"/>
      <c r="H137" s="387"/>
      <c r="I137" s="387"/>
      <c r="J137" s="387"/>
      <c r="K137" s="387"/>
      <c r="L137" s="387"/>
      <c r="M137" s="387"/>
      <c r="N137" s="387"/>
      <c r="O137" s="387"/>
      <c r="P137" s="387"/>
    </row>
    <row r="138" ht="12.75" customHeight="1">
      <c r="A138" s="387"/>
      <c r="B138" s="387"/>
      <c r="C138" s="387"/>
      <c r="D138" s="387"/>
      <c r="E138" s="418"/>
      <c r="F138" s="387"/>
      <c r="G138" s="387"/>
      <c r="H138" s="387"/>
      <c r="I138" s="387"/>
      <c r="J138" s="387"/>
      <c r="K138" s="387"/>
      <c r="L138" s="387"/>
      <c r="M138" s="387"/>
      <c r="N138" s="387"/>
      <c r="O138" s="387"/>
      <c r="P138" s="387"/>
    </row>
    <row r="139" ht="12.75" customHeight="1">
      <c r="A139" s="387"/>
      <c r="B139" s="387"/>
      <c r="C139" s="387"/>
      <c r="D139" s="387"/>
      <c r="E139" s="418"/>
      <c r="F139" s="387"/>
      <c r="G139" s="387"/>
      <c r="H139" s="387"/>
      <c r="I139" s="387"/>
      <c r="J139" s="387"/>
      <c r="K139" s="387"/>
      <c r="L139" s="387"/>
      <c r="M139" s="387"/>
      <c r="N139" s="387"/>
      <c r="O139" s="387"/>
      <c r="P139" s="387"/>
    </row>
    <row r="140" ht="12.75" customHeight="1">
      <c r="A140" s="322"/>
      <c r="B140" s="322"/>
      <c r="C140" s="322"/>
      <c r="D140" s="322"/>
      <c r="E140" s="323"/>
      <c r="F140" s="324"/>
      <c r="G140" s="324"/>
      <c r="H140" s="387"/>
      <c r="I140" s="388"/>
      <c r="J140" s="322"/>
      <c r="K140" s="322"/>
      <c r="L140" s="322"/>
      <c r="M140" s="322"/>
      <c r="N140" s="323"/>
      <c r="O140" s="324"/>
      <c r="P140" s="387"/>
    </row>
    <row r="141" ht="12.75" customHeight="1">
      <c r="A141" s="322"/>
      <c r="B141" s="325"/>
      <c r="C141" s="322"/>
      <c r="D141" s="322"/>
      <c r="E141" s="323"/>
      <c r="F141" s="326"/>
      <c r="G141" s="326"/>
      <c r="H141" s="404"/>
      <c r="I141" s="388"/>
      <c r="J141" s="322"/>
      <c r="K141" s="325"/>
      <c r="L141" s="322"/>
      <c r="M141" s="322"/>
      <c r="N141" s="323"/>
      <c r="O141" s="326"/>
      <c r="P141" s="387"/>
    </row>
    <row r="142" ht="12.75" customHeight="1">
      <c r="A142" s="322"/>
      <c r="B142" s="327" t="s">
        <v>931</v>
      </c>
      <c r="C142" s="328" t="s">
        <v>1101</v>
      </c>
      <c r="D142" s="329"/>
      <c r="E142" s="323"/>
      <c r="F142" s="326"/>
      <c r="G142" s="326"/>
      <c r="H142" s="404"/>
      <c r="I142" s="388"/>
      <c r="J142" s="322"/>
      <c r="K142" s="327" t="s">
        <v>931</v>
      </c>
      <c r="L142" s="330" t="s">
        <v>1102</v>
      </c>
      <c r="M142" s="329"/>
      <c r="N142" s="323"/>
      <c r="O142" s="326"/>
      <c r="P142" s="387"/>
    </row>
    <row r="143" ht="12.75" customHeight="1">
      <c r="A143" s="322"/>
      <c r="B143" s="325"/>
      <c r="C143" s="322"/>
      <c r="D143" s="322"/>
      <c r="E143" s="323"/>
      <c r="F143" s="326"/>
      <c r="G143" s="326"/>
      <c r="H143" s="404"/>
      <c r="I143" s="388"/>
      <c r="J143" s="322"/>
      <c r="K143" s="325"/>
      <c r="L143" s="322"/>
      <c r="M143" s="322"/>
      <c r="N143" s="323"/>
      <c r="O143" s="326"/>
      <c r="P143" s="387"/>
    </row>
    <row r="144" ht="12.75" customHeight="1">
      <c r="A144" s="322"/>
      <c r="B144" s="327" t="s">
        <v>935</v>
      </c>
      <c r="C144" s="440">
        <f>E144*90000</f>
        <v>1350000</v>
      </c>
      <c r="D144" s="329"/>
      <c r="E144" s="394">
        <v>15.0</v>
      </c>
      <c r="F144" s="326"/>
      <c r="G144" s="326"/>
      <c r="H144" s="404"/>
      <c r="I144" s="388"/>
      <c r="J144" s="322"/>
      <c r="K144" s="327" t="s">
        <v>935</v>
      </c>
      <c r="L144" s="331"/>
      <c r="M144" s="329"/>
      <c r="N144" s="323"/>
      <c r="O144" s="326"/>
      <c r="P144" s="387"/>
    </row>
    <row r="145" ht="12.75" customHeight="1">
      <c r="A145" s="322"/>
      <c r="B145" s="327"/>
      <c r="C145" s="332"/>
      <c r="D145" s="332"/>
      <c r="E145" s="323"/>
      <c r="F145" s="326"/>
      <c r="G145" s="326"/>
      <c r="H145" s="404"/>
      <c r="I145" s="388"/>
      <c r="J145" s="322"/>
      <c r="K145" s="327"/>
      <c r="L145" s="332"/>
      <c r="M145" s="332"/>
      <c r="N145" s="323"/>
      <c r="O145" s="326"/>
      <c r="P145" s="387"/>
    </row>
    <row r="146" ht="12.75" customHeight="1">
      <c r="A146" s="322"/>
      <c r="B146" s="327" t="s">
        <v>939</v>
      </c>
      <c r="C146" s="333" t="str">
        <f>IF(SUM(E158,E173,E181)=0,"",SUM(E158,E173,E181))</f>
        <v>#REF!</v>
      </c>
      <c r="D146" s="321"/>
      <c r="E146" s="323" t="str">
        <f>C146/90000</f>
        <v>#REF!</v>
      </c>
      <c r="F146" s="326"/>
      <c r="G146" s="326"/>
      <c r="H146" s="404"/>
      <c r="I146" s="388"/>
      <c r="J146" s="322"/>
      <c r="K146" s="327" t="s">
        <v>939</v>
      </c>
      <c r="L146" s="333" t="str">
        <f>IF(SUM(N158,N173,N181)=0,"",SUM(N158,N173,N181))</f>
        <v>#REF!</v>
      </c>
      <c r="M146" s="321"/>
      <c r="N146" s="323"/>
      <c r="O146" s="326"/>
      <c r="P146" s="387"/>
    </row>
    <row r="147" ht="12.75" customHeight="1">
      <c r="A147" s="322"/>
      <c r="B147" s="327"/>
      <c r="C147" s="334"/>
      <c r="D147" s="334"/>
      <c r="E147" s="323"/>
      <c r="F147" s="326"/>
      <c r="G147" s="326"/>
      <c r="H147" s="404"/>
      <c r="I147" s="388"/>
      <c r="J147" s="322"/>
      <c r="K147" s="327"/>
      <c r="L147" s="334"/>
      <c r="M147" s="334"/>
      <c r="N147" s="323"/>
      <c r="O147" s="326"/>
      <c r="P147" s="387"/>
    </row>
    <row r="148" ht="12.75" customHeight="1">
      <c r="A148" s="322"/>
      <c r="B148" s="327" t="s">
        <v>946</v>
      </c>
      <c r="C148" s="335" t="str">
        <f>IF(C146="","",IF(ISBLANK(C144),"",C146/C144))</f>
        <v>#REF!</v>
      </c>
      <c r="D148" s="321"/>
      <c r="E148" s="323"/>
      <c r="F148" s="326"/>
      <c r="G148" s="326"/>
      <c r="H148" s="404"/>
      <c r="I148" s="388"/>
      <c r="J148" s="322"/>
      <c r="K148" s="327" t="s">
        <v>946</v>
      </c>
      <c r="L148" s="335" t="str">
        <f>IF(L146="","",IF(ISBLANK(L144),"",L146/L144))</f>
        <v>#REF!</v>
      </c>
      <c r="M148" s="321"/>
      <c r="N148" s="323"/>
      <c r="O148" s="326"/>
      <c r="P148" s="387"/>
    </row>
    <row r="149" ht="12.75" customHeight="1">
      <c r="A149" s="322"/>
      <c r="B149" s="327"/>
      <c r="C149" s="334"/>
      <c r="D149" s="334"/>
      <c r="E149" s="323"/>
      <c r="F149" s="326"/>
      <c r="G149" s="326"/>
      <c r="H149" s="404"/>
      <c r="I149" s="388"/>
      <c r="J149" s="322"/>
      <c r="K149" s="327"/>
      <c r="L149" s="334"/>
      <c r="M149" s="334"/>
      <c r="N149" s="323"/>
      <c r="O149" s="326"/>
      <c r="P149" s="387"/>
    </row>
    <row r="150" ht="12.75" customHeight="1">
      <c r="A150" s="322"/>
      <c r="B150" s="327" t="s">
        <v>950</v>
      </c>
      <c r="C150" s="333" t="str">
        <f>C144-C146</f>
        <v>#REF!</v>
      </c>
      <c r="D150" s="321"/>
      <c r="E150" s="323"/>
      <c r="F150" s="326"/>
      <c r="G150" s="326"/>
      <c r="H150" s="404"/>
      <c r="I150" s="388"/>
      <c r="J150" s="322"/>
      <c r="K150" s="327" t="s">
        <v>950</v>
      </c>
      <c r="L150" s="333" t="str">
        <f>L144-L146</f>
        <v>#REF!</v>
      </c>
      <c r="M150" s="321"/>
      <c r="N150" s="323"/>
      <c r="O150" s="326"/>
      <c r="P150" s="387"/>
    </row>
    <row r="151" ht="12.75" customHeight="1">
      <c r="A151" s="322"/>
      <c r="B151" s="322"/>
      <c r="C151" s="322"/>
      <c r="D151" s="322"/>
      <c r="E151" s="323"/>
      <c r="F151" s="324"/>
      <c r="G151" s="324"/>
      <c r="H151" s="404"/>
      <c r="I151" s="388"/>
      <c r="J151" s="322"/>
      <c r="K151" s="322"/>
      <c r="L151" s="322"/>
      <c r="M151" s="322"/>
      <c r="N151" s="323"/>
      <c r="O151" s="324"/>
      <c r="P151" s="387"/>
    </row>
    <row r="152" ht="12.75" customHeight="1">
      <c r="A152" s="322"/>
      <c r="B152" s="322"/>
      <c r="C152" s="322"/>
      <c r="D152" s="322"/>
      <c r="E152" s="337"/>
      <c r="F152" s="324"/>
      <c r="G152" s="324"/>
      <c r="H152" s="387"/>
      <c r="I152" s="388"/>
      <c r="J152" s="322"/>
      <c r="K152" s="322"/>
      <c r="L152" s="322"/>
      <c r="M152" s="322"/>
      <c r="N152" s="337"/>
      <c r="O152" s="324"/>
      <c r="P152" s="387"/>
    </row>
    <row r="153" ht="12.75" customHeight="1">
      <c r="A153" s="322"/>
      <c r="B153" s="338" t="s">
        <v>951</v>
      </c>
      <c r="C153" s="339"/>
      <c r="D153" s="339"/>
      <c r="E153" s="339"/>
      <c r="F153" s="324"/>
      <c r="G153" s="324"/>
      <c r="H153" s="410"/>
      <c r="I153" s="388"/>
      <c r="J153" s="322"/>
      <c r="K153" s="338" t="s">
        <v>951</v>
      </c>
      <c r="L153" s="339"/>
      <c r="M153" s="339"/>
      <c r="N153" s="339"/>
      <c r="O153" s="324"/>
      <c r="P153" s="387"/>
    </row>
    <row r="154" ht="12.75" customHeight="1">
      <c r="A154" s="322"/>
      <c r="B154" s="340" t="s">
        <v>953</v>
      </c>
      <c r="C154" s="341" t="s">
        <v>954</v>
      </c>
      <c r="D154" s="341" t="s">
        <v>955</v>
      </c>
      <c r="E154" s="341" t="s">
        <v>35</v>
      </c>
      <c r="F154" s="324"/>
      <c r="G154" s="324"/>
      <c r="H154" s="387"/>
      <c r="I154" s="388"/>
      <c r="J154" s="322"/>
      <c r="K154" s="340" t="s">
        <v>953</v>
      </c>
      <c r="L154" s="341" t="s">
        <v>954</v>
      </c>
      <c r="M154" s="341" t="s">
        <v>955</v>
      </c>
      <c r="N154" s="341" t="s">
        <v>35</v>
      </c>
      <c r="O154" s="324"/>
      <c r="P154" s="387"/>
    </row>
    <row r="155" ht="12.75" customHeight="1">
      <c r="A155" s="322"/>
      <c r="B155" s="60" t="s">
        <v>850</v>
      </c>
      <c r="C155" s="344">
        <v>0.2</v>
      </c>
      <c r="D155" s="343">
        <f>'F&amp;B'!$F$98</f>
        <v>76500</v>
      </c>
      <c r="E155" s="67">
        <f t="shared" ref="E155:E157" si="19">IF(OR(ISBLANK(C155),ISBLANK(D155)),"",D155*C155)</f>
        <v>15300</v>
      </c>
      <c r="F155" s="324"/>
      <c r="G155" s="324"/>
      <c r="H155" s="387"/>
      <c r="I155" s="388"/>
      <c r="J155" s="322"/>
      <c r="K155" s="60" t="s">
        <v>850</v>
      </c>
      <c r="L155" s="342">
        <v>0.2</v>
      </c>
      <c r="M155" s="343">
        <f>'F&amp;B'!$F$98</f>
        <v>76500</v>
      </c>
      <c r="N155" s="67">
        <f t="shared" ref="N155:N157" si="20">IF(OR(ISBLANK(L155),ISBLANK(M155)),"",M155*L155)</f>
        <v>15300</v>
      </c>
      <c r="O155" s="324"/>
      <c r="P155" s="387"/>
    </row>
    <row r="156" ht="12.75" customHeight="1">
      <c r="A156" s="322"/>
      <c r="B156" s="75" t="s">
        <v>1104</v>
      </c>
      <c r="C156" s="398">
        <v>0.1</v>
      </c>
      <c r="D156" s="347">
        <f>SAUCES!D185</f>
        <v>170896.125</v>
      </c>
      <c r="E156" s="67">
        <f t="shared" si="19"/>
        <v>17089.6125</v>
      </c>
      <c r="F156" s="324"/>
      <c r="G156" s="324"/>
      <c r="H156" s="387"/>
      <c r="I156" s="388"/>
      <c r="J156" s="322"/>
      <c r="K156" s="228" t="s">
        <v>718</v>
      </c>
      <c r="L156" s="398">
        <v>0.12</v>
      </c>
      <c r="M156" s="347">
        <f>SAUCES!D172</f>
        <v>65027.16346</v>
      </c>
      <c r="N156" s="67">
        <f t="shared" si="20"/>
        <v>7803.259615</v>
      </c>
      <c r="O156" s="324"/>
      <c r="P156" s="387"/>
    </row>
    <row r="157" ht="12.75" customHeight="1">
      <c r="A157" s="322"/>
      <c r="B157" s="87" t="s">
        <v>200</v>
      </c>
      <c r="C157" s="412">
        <v>1.0</v>
      </c>
      <c r="D157" s="371">
        <f>D21</f>
        <v>900.9230769</v>
      </c>
      <c r="E157" s="67">
        <f t="shared" si="19"/>
        <v>900.9230769</v>
      </c>
      <c r="F157" s="324"/>
      <c r="G157" s="324"/>
      <c r="H157" s="387"/>
      <c r="I157" s="388"/>
      <c r="J157" s="322"/>
      <c r="K157" s="87" t="s">
        <v>200</v>
      </c>
      <c r="L157" s="355">
        <v>1.0</v>
      </c>
      <c r="M157" s="347">
        <f>D21</f>
        <v>900.9230769</v>
      </c>
      <c r="N157" s="67">
        <f t="shared" si="20"/>
        <v>900.9230769</v>
      </c>
      <c r="O157" s="324"/>
      <c r="P157" s="387"/>
    </row>
    <row r="158" ht="12.75" customHeight="1">
      <c r="A158" s="322"/>
      <c r="B158" s="338" t="s">
        <v>84</v>
      </c>
      <c r="C158" s="358"/>
      <c r="D158" s="358"/>
      <c r="E158" s="359">
        <f>IF(SUM(E155:E157)=0,"",SUM(E155:E157))</f>
        <v>33290.53558</v>
      </c>
      <c r="F158" s="324"/>
      <c r="G158" s="324"/>
      <c r="H158" s="387"/>
      <c r="I158" s="388"/>
      <c r="J158" s="322"/>
      <c r="K158" s="338" t="s">
        <v>84</v>
      </c>
      <c r="L158" s="358"/>
      <c r="M158" s="358"/>
      <c r="N158" s="359">
        <f>IF(SUM(N155:N157)=0,"",SUM(N155:N157))</f>
        <v>24004.18269</v>
      </c>
      <c r="O158" s="324"/>
      <c r="P158" s="387"/>
    </row>
    <row r="159" ht="12.75" customHeight="1">
      <c r="A159" s="322"/>
      <c r="B159" s="360"/>
      <c r="C159" s="360"/>
      <c r="D159" s="360"/>
      <c r="E159" s="361"/>
      <c r="F159" s="324"/>
      <c r="G159" s="324"/>
      <c r="H159" s="387"/>
      <c r="I159" s="388"/>
      <c r="J159" s="322"/>
      <c r="K159" s="360"/>
      <c r="L159" s="360"/>
      <c r="M159" s="360"/>
      <c r="N159" s="361"/>
      <c r="O159" s="324"/>
      <c r="P159" s="387"/>
    </row>
    <row r="160" ht="12.75" customHeight="1">
      <c r="A160" s="322"/>
      <c r="B160" s="362" t="s">
        <v>972</v>
      </c>
      <c r="C160" s="363"/>
      <c r="D160" s="363"/>
      <c r="E160" s="363"/>
      <c r="F160" s="324"/>
      <c r="G160" s="324"/>
      <c r="H160" s="387"/>
      <c r="I160" s="388"/>
      <c r="J160" s="322"/>
      <c r="K160" s="362" t="s">
        <v>972</v>
      </c>
      <c r="L160" s="363"/>
      <c r="M160" s="363"/>
      <c r="N160" s="363"/>
      <c r="O160" s="324"/>
      <c r="P160" s="387"/>
    </row>
    <row r="161" ht="12.75" customHeight="1">
      <c r="A161" s="322"/>
      <c r="B161" s="365" t="s">
        <v>953</v>
      </c>
      <c r="C161" s="366" t="s">
        <v>3</v>
      </c>
      <c r="D161" s="366" t="s">
        <v>975</v>
      </c>
      <c r="E161" s="367" t="s">
        <v>35</v>
      </c>
      <c r="F161" s="324"/>
      <c r="G161" s="324"/>
      <c r="H161" s="387"/>
      <c r="I161" s="388"/>
      <c r="J161" s="322"/>
      <c r="K161" s="365" t="s">
        <v>953</v>
      </c>
      <c r="L161" s="366" t="s">
        <v>3</v>
      </c>
      <c r="M161" s="366" t="s">
        <v>975</v>
      </c>
      <c r="N161" s="367" t="s">
        <v>35</v>
      </c>
      <c r="O161" s="324"/>
      <c r="P161" s="387"/>
    </row>
    <row r="162" ht="12.75" customHeight="1">
      <c r="A162" s="322"/>
      <c r="B162" s="368"/>
      <c r="C162" s="366"/>
      <c r="D162" s="366"/>
      <c r="E162" s="368"/>
      <c r="F162" s="324"/>
      <c r="G162" s="324"/>
      <c r="H162" s="387"/>
      <c r="I162" s="388"/>
      <c r="J162" s="322"/>
      <c r="K162" s="368"/>
      <c r="L162" s="366"/>
      <c r="M162" s="366"/>
      <c r="N162" s="368"/>
      <c r="O162" s="324"/>
      <c r="P162" s="387"/>
    </row>
    <row r="163" ht="12.75" customHeight="1">
      <c r="A163" s="322"/>
      <c r="B163" s="60" t="s">
        <v>1098</v>
      </c>
      <c r="C163" s="342">
        <v>0.25</v>
      </c>
      <c r="D163" s="343">
        <f>'F&amp;B'!$F$280</f>
        <v>2970</v>
      </c>
      <c r="E163" s="67">
        <f t="shared" ref="E163:E172" si="21">D163*C163</f>
        <v>742.5</v>
      </c>
      <c r="F163" s="324"/>
      <c r="G163" s="324"/>
      <c r="H163" s="387"/>
      <c r="I163" s="388"/>
      <c r="J163" s="322"/>
      <c r="K163" s="139" t="s">
        <v>1106</v>
      </c>
      <c r="L163" s="344">
        <v>0.2</v>
      </c>
      <c r="M163" s="343">
        <f>'F&amp;B'!F274</f>
        <v>94500</v>
      </c>
      <c r="N163" s="67">
        <f t="shared" ref="N163:N172" si="22">M163*L163</f>
        <v>18900</v>
      </c>
      <c r="O163" s="324"/>
      <c r="P163" s="387"/>
    </row>
    <row r="164" ht="12.75" customHeight="1">
      <c r="A164" s="322"/>
      <c r="B164" s="75" t="s">
        <v>60</v>
      </c>
      <c r="C164" s="405">
        <v>0.05</v>
      </c>
      <c r="D164" s="371">
        <f>'F&amp;B'!$F$103</f>
        <v>148500</v>
      </c>
      <c r="E164" s="67">
        <f t="shared" si="21"/>
        <v>7425</v>
      </c>
      <c r="F164" s="324"/>
      <c r="G164" s="324"/>
      <c r="H164" s="387"/>
      <c r="I164" s="388"/>
      <c r="J164" s="322"/>
      <c r="K164" s="75"/>
      <c r="L164" s="370"/>
      <c r="M164" s="371"/>
      <c r="N164" s="67">
        <f t="shared" si="22"/>
        <v>0</v>
      </c>
      <c r="O164" s="324"/>
      <c r="P164" s="387"/>
    </row>
    <row r="165" ht="12.75" customHeight="1">
      <c r="A165" s="322"/>
      <c r="B165" s="75"/>
      <c r="C165" s="370"/>
      <c r="D165" s="371"/>
      <c r="E165" s="67">
        <f t="shared" si="21"/>
        <v>0</v>
      </c>
      <c r="F165" s="324"/>
      <c r="G165" s="324"/>
      <c r="H165" s="387"/>
      <c r="I165" s="388"/>
      <c r="J165" s="322"/>
      <c r="K165" s="75"/>
      <c r="L165" s="372"/>
      <c r="M165" s="371"/>
      <c r="N165" s="67">
        <f t="shared" si="22"/>
        <v>0</v>
      </c>
      <c r="O165" s="324"/>
      <c r="P165" s="387"/>
    </row>
    <row r="166" ht="12.75" customHeight="1">
      <c r="A166" s="322"/>
      <c r="B166" s="75"/>
      <c r="C166" s="346"/>
      <c r="D166" s="371"/>
      <c r="E166" s="67">
        <f t="shared" si="21"/>
        <v>0</v>
      </c>
      <c r="F166" s="324"/>
      <c r="G166" s="324"/>
      <c r="H166" s="387"/>
      <c r="I166" s="388"/>
      <c r="J166" s="322"/>
      <c r="K166" s="75"/>
      <c r="L166" s="346"/>
      <c r="M166" s="371"/>
      <c r="N166" s="67">
        <f t="shared" si="22"/>
        <v>0</v>
      </c>
      <c r="O166" s="324"/>
      <c r="P166" s="387"/>
    </row>
    <row r="167" ht="12.75" customHeight="1">
      <c r="A167" s="322"/>
      <c r="B167" s="75"/>
      <c r="C167" s="346"/>
      <c r="D167" s="371"/>
      <c r="E167" s="67">
        <f t="shared" si="21"/>
        <v>0</v>
      </c>
      <c r="F167" s="324"/>
      <c r="G167" s="324"/>
      <c r="H167" s="387"/>
      <c r="I167" s="388"/>
      <c r="J167" s="322"/>
      <c r="K167" s="75"/>
      <c r="L167" s="346"/>
      <c r="M167" s="371"/>
      <c r="N167" s="67">
        <f t="shared" si="22"/>
        <v>0</v>
      </c>
      <c r="O167" s="324"/>
      <c r="P167" s="387"/>
    </row>
    <row r="168" ht="12.75" customHeight="1">
      <c r="A168" s="322"/>
      <c r="B168" s="75"/>
      <c r="C168" s="346"/>
      <c r="D168" s="373"/>
      <c r="E168" s="67">
        <f t="shared" si="21"/>
        <v>0</v>
      </c>
      <c r="F168" s="324"/>
      <c r="G168" s="324"/>
      <c r="H168" s="387"/>
      <c r="I168" s="388"/>
      <c r="J168" s="322"/>
      <c r="K168" s="75"/>
      <c r="L168" s="370"/>
      <c r="M168" s="371"/>
      <c r="N168" s="67">
        <f t="shared" si="22"/>
        <v>0</v>
      </c>
      <c r="O168" s="324"/>
      <c r="P168" s="387"/>
    </row>
    <row r="169" ht="12.75" customHeight="1">
      <c r="A169" s="322"/>
      <c r="B169" s="348"/>
      <c r="C169" s="346"/>
      <c r="D169" s="373"/>
      <c r="E169" s="67">
        <f t="shared" si="21"/>
        <v>0</v>
      </c>
      <c r="F169" s="324"/>
      <c r="G169" s="324"/>
      <c r="H169" s="387"/>
      <c r="I169" s="388"/>
      <c r="J169" s="322"/>
      <c r="K169" s="348"/>
      <c r="L169" s="346"/>
      <c r="M169" s="373"/>
      <c r="N169" s="67">
        <f t="shared" si="22"/>
        <v>0</v>
      </c>
      <c r="O169" s="324"/>
      <c r="P169" s="387"/>
    </row>
    <row r="170" ht="12.75" customHeight="1">
      <c r="A170" s="322"/>
      <c r="B170" s="348"/>
      <c r="C170" s="346"/>
      <c r="D170" s="373"/>
      <c r="E170" s="67">
        <f t="shared" si="21"/>
        <v>0</v>
      </c>
      <c r="F170" s="324"/>
      <c r="G170" s="324"/>
      <c r="H170" s="387"/>
      <c r="I170" s="388"/>
      <c r="J170" s="322"/>
      <c r="K170" s="348"/>
      <c r="L170" s="346"/>
      <c r="M170" s="373"/>
      <c r="N170" s="67">
        <f t="shared" si="22"/>
        <v>0</v>
      </c>
      <c r="O170" s="324"/>
      <c r="P170" s="387"/>
    </row>
    <row r="171" ht="12.75" customHeight="1">
      <c r="A171" s="322"/>
      <c r="B171" s="348"/>
      <c r="C171" s="346"/>
      <c r="D171" s="373"/>
      <c r="E171" s="67">
        <f t="shared" si="21"/>
        <v>0</v>
      </c>
      <c r="F171" s="324"/>
      <c r="G171" s="324"/>
      <c r="H171" s="387"/>
      <c r="I171" s="388"/>
      <c r="J171" s="322"/>
      <c r="K171" s="348"/>
      <c r="L171" s="346"/>
      <c r="M171" s="373"/>
      <c r="N171" s="67">
        <f t="shared" si="22"/>
        <v>0</v>
      </c>
      <c r="O171" s="324"/>
      <c r="P171" s="387"/>
    </row>
    <row r="172" ht="12.75" customHeight="1">
      <c r="A172" s="322"/>
      <c r="B172" s="354"/>
      <c r="C172" s="355"/>
      <c r="D172" s="356"/>
      <c r="E172" s="67">
        <f t="shared" si="21"/>
        <v>0</v>
      </c>
      <c r="F172" s="324"/>
      <c r="G172" s="324"/>
      <c r="H172" s="387"/>
      <c r="I172" s="388"/>
      <c r="J172" s="322"/>
      <c r="K172" s="354"/>
      <c r="L172" s="355"/>
      <c r="M172" s="356"/>
      <c r="N172" s="67">
        <f t="shared" si="22"/>
        <v>0</v>
      </c>
      <c r="O172" s="324"/>
      <c r="P172" s="387"/>
    </row>
    <row r="173" ht="12.75" customHeight="1">
      <c r="A173" s="322"/>
      <c r="B173" s="362" t="s">
        <v>84</v>
      </c>
      <c r="C173" s="374"/>
      <c r="D173" s="374"/>
      <c r="E173" s="375">
        <f>IF(SUM(E163:E172)=0,"",SUM(E163:E172))</f>
        <v>8167.5</v>
      </c>
      <c r="F173" s="324"/>
      <c r="G173" s="324"/>
      <c r="H173" s="387"/>
      <c r="I173" s="388"/>
      <c r="J173" s="322"/>
      <c r="K173" s="362" t="s">
        <v>84</v>
      </c>
      <c r="L173" s="374"/>
      <c r="M173" s="374"/>
      <c r="N173" s="375">
        <f>IF(SUM(N163:N172)=0,"",SUM(N163:N172))</f>
        <v>18900</v>
      </c>
      <c r="O173" s="324"/>
      <c r="P173" s="387"/>
    </row>
    <row r="174" ht="12.75" customHeight="1">
      <c r="A174" s="322"/>
      <c r="B174" s="360"/>
      <c r="C174" s="360"/>
      <c r="D174" s="360"/>
      <c r="E174" s="361"/>
      <c r="F174" s="324"/>
      <c r="G174" s="324"/>
      <c r="H174" s="387"/>
      <c r="I174" s="388"/>
      <c r="J174" s="322"/>
      <c r="K174" s="360"/>
      <c r="L174" s="360"/>
      <c r="M174" s="360"/>
      <c r="N174" s="361"/>
      <c r="O174" s="324"/>
      <c r="P174" s="387"/>
    </row>
    <row r="175" ht="12.75" customHeight="1">
      <c r="A175" s="322"/>
      <c r="B175" s="34" t="s">
        <v>17</v>
      </c>
      <c r="C175" s="35"/>
      <c r="D175" s="35"/>
      <c r="E175" s="35"/>
      <c r="F175" s="324"/>
      <c r="G175" s="324"/>
      <c r="H175" s="387"/>
      <c r="I175" s="388"/>
      <c r="J175" s="322"/>
      <c r="K175" s="34" t="s">
        <v>17</v>
      </c>
      <c r="L175" s="35"/>
      <c r="M175" s="35"/>
      <c r="N175" s="35"/>
      <c r="O175" s="324"/>
      <c r="P175" s="387"/>
    </row>
    <row r="176" ht="12.75" customHeight="1">
      <c r="A176" s="322"/>
      <c r="B176" s="52" t="s">
        <v>42</v>
      </c>
      <c r="C176" s="54"/>
      <c r="D176" s="54"/>
      <c r="E176" s="56" t="s">
        <v>35</v>
      </c>
      <c r="F176" s="324"/>
      <c r="G176" s="324"/>
      <c r="H176" s="387"/>
      <c r="I176" s="388"/>
      <c r="J176" s="322"/>
      <c r="K176" s="52" t="s">
        <v>42</v>
      </c>
      <c r="L176" s="54"/>
      <c r="M176" s="54"/>
      <c r="N176" s="56" t="s">
        <v>35</v>
      </c>
      <c r="O176" s="324"/>
      <c r="P176" s="387"/>
    </row>
    <row r="177" ht="12.75" customHeight="1">
      <c r="A177" s="322"/>
      <c r="B177" s="60" t="s">
        <v>40</v>
      </c>
      <c r="C177" s="343">
        <f>'UTL COST'!$B$3</f>
        <v>369000</v>
      </c>
      <c r="D177" s="379">
        <f>'UTL COST'!$C$3</f>
        <v>0.0075</v>
      </c>
      <c r="E177" s="67">
        <v>0.0</v>
      </c>
      <c r="F177" s="324"/>
      <c r="G177" s="324"/>
      <c r="H177" s="387"/>
      <c r="I177" s="388"/>
      <c r="J177" s="322"/>
      <c r="K177" s="60" t="s">
        <v>40</v>
      </c>
      <c r="L177" s="343">
        <f>'UTL COST'!$B$3</f>
        <v>369000</v>
      </c>
      <c r="M177" s="379">
        <f>'UTL COST'!$C$3</f>
        <v>0.0075</v>
      </c>
      <c r="N177" s="67">
        <v>0.0</v>
      </c>
      <c r="O177" s="324"/>
      <c r="P177" s="387"/>
    </row>
    <row r="178" ht="12.75" customHeight="1">
      <c r="A178" s="322"/>
      <c r="B178" s="75" t="str">
        <f>'UTL COST'!$A$7</f>
        <v>Gas Pizza</v>
      </c>
      <c r="C178" s="371" t="str">
        <f>'UTL COST'!$B$7</f>
        <v>#REF!</v>
      </c>
      <c r="D178" s="409">
        <f>'UTL COST'!$C$7</f>
        <v>450</v>
      </c>
      <c r="E178" s="76" t="str">
        <f>'UTL COST'!$D$7</f>
        <v>#REF!</v>
      </c>
      <c r="F178" s="324"/>
      <c r="G178" s="324"/>
      <c r="H178" s="387"/>
      <c r="I178" s="388"/>
      <c r="J178" s="322"/>
      <c r="K178" s="75" t="str">
        <f>'UTL COST'!$A$7</f>
        <v>Gas Pizza</v>
      </c>
      <c r="L178" s="371" t="str">
        <f>'UTL COST'!$B$7</f>
        <v>#REF!</v>
      </c>
      <c r="M178" s="409">
        <f>'UTL COST'!$C$7</f>
        <v>450</v>
      </c>
      <c r="N178" s="76" t="str">
        <f>'UTL COST'!$D$7</f>
        <v>#REF!</v>
      </c>
      <c r="O178" s="324"/>
      <c r="P178" s="387"/>
    </row>
    <row r="179" ht="12.75" customHeight="1">
      <c r="A179" s="322"/>
      <c r="B179" s="75" t="s">
        <v>59</v>
      </c>
      <c r="C179" s="371" t="str">
        <f>'UTL COST'!$B$5</f>
        <v>#REF!</v>
      </c>
      <c r="D179" s="382">
        <f>'UTL COST'!$C$5</f>
        <v>45000</v>
      </c>
      <c r="E179" s="76" t="str">
        <f>'UTL COST'!$D$5</f>
        <v>#REF!</v>
      </c>
      <c r="F179" s="324"/>
      <c r="G179" s="324"/>
      <c r="H179" s="387"/>
      <c r="I179" s="388"/>
      <c r="J179" s="322"/>
      <c r="K179" s="75" t="s">
        <v>59</v>
      </c>
      <c r="L179" s="371" t="str">
        <f>'UTL COST'!$B$5</f>
        <v>#REF!</v>
      </c>
      <c r="M179" s="382">
        <f>'UTL COST'!$C$5</f>
        <v>45000</v>
      </c>
      <c r="N179" s="76" t="str">
        <f>'UTL COST'!$D$5</f>
        <v>#REF!</v>
      </c>
      <c r="O179" s="324"/>
      <c r="P179" s="387"/>
    </row>
    <row r="180" ht="12.75" customHeight="1">
      <c r="A180" s="322"/>
      <c r="B180" s="87" t="s">
        <v>78</v>
      </c>
      <c r="C180" s="371" t="str">
        <f>'UTL COST'!$B$6</f>
        <v>#REF!</v>
      </c>
      <c r="D180" s="383">
        <f>'UTL COST'!$C$6</f>
        <v>525</v>
      </c>
      <c r="E180" s="89"/>
      <c r="F180" s="324"/>
      <c r="G180" s="324"/>
      <c r="H180" s="387"/>
      <c r="I180" s="388"/>
      <c r="J180" s="322"/>
      <c r="K180" s="87" t="s">
        <v>78</v>
      </c>
      <c r="L180" s="371" t="str">
        <f>'UTL COST'!$B$6</f>
        <v>#REF!</v>
      </c>
      <c r="M180" s="383">
        <f>'UTL COST'!$C$6</f>
        <v>525</v>
      </c>
      <c r="N180" s="89"/>
      <c r="O180" s="324"/>
      <c r="P180" s="387"/>
    </row>
    <row r="181" ht="12.75" customHeight="1">
      <c r="A181" s="322"/>
      <c r="B181" s="34" t="s">
        <v>84</v>
      </c>
      <c r="C181" s="102"/>
      <c r="D181" s="102"/>
      <c r="E181" s="104" t="str">
        <f>IF(SUM(E177:E180)=0,"",SUM(E177:E180))</f>
        <v>#REF!</v>
      </c>
      <c r="F181" s="324"/>
      <c r="G181" s="324"/>
      <c r="H181" s="387"/>
      <c r="I181" s="388"/>
      <c r="J181" s="322"/>
      <c r="K181" s="34" t="s">
        <v>84</v>
      </c>
      <c r="L181" s="102"/>
      <c r="M181" s="102"/>
      <c r="N181" s="104" t="str">
        <f>IF(SUM(N177:N180)=0,"",SUM(N177:N180))</f>
        <v>#REF!</v>
      </c>
      <c r="O181" s="324"/>
      <c r="P181" s="387"/>
    </row>
    <row r="182" ht="12.75" customHeight="1">
      <c r="A182" s="322"/>
      <c r="B182" s="360"/>
      <c r="C182" s="360"/>
      <c r="D182" s="360"/>
      <c r="E182" s="361"/>
      <c r="F182" s="324"/>
      <c r="G182" s="324"/>
      <c r="H182" s="387"/>
      <c r="I182" s="388"/>
      <c r="J182" s="322"/>
      <c r="K182" s="360"/>
      <c r="L182" s="360"/>
      <c r="M182" s="360"/>
      <c r="N182" s="361"/>
      <c r="O182" s="324"/>
      <c r="P182" s="387"/>
    </row>
    <row r="183" ht="12.75" customHeight="1">
      <c r="A183" s="388"/>
      <c r="B183" s="432"/>
      <c r="C183" s="432"/>
      <c r="D183" s="432"/>
      <c r="E183" s="433"/>
      <c r="F183" s="387"/>
      <c r="G183" s="387"/>
      <c r="H183" s="387"/>
      <c r="I183" s="388"/>
      <c r="J183" s="388"/>
      <c r="K183" s="432"/>
      <c r="L183" s="432"/>
      <c r="M183" s="432"/>
      <c r="N183" s="433"/>
      <c r="O183" s="387"/>
      <c r="P183" s="387"/>
    </row>
    <row r="184" ht="15.75" customHeight="1"/>
    <row r="185" ht="15.75" customHeight="1">
      <c r="A185" s="444"/>
      <c r="B185" s="444"/>
      <c r="C185" s="444"/>
      <c r="D185" s="444"/>
      <c r="E185" s="445"/>
      <c r="F185" s="446"/>
      <c r="G185" s="446"/>
      <c r="H185" s="387"/>
      <c r="I185" s="388"/>
      <c r="J185" s="447"/>
      <c r="K185" s="447"/>
      <c r="L185" s="447"/>
      <c r="M185" s="447"/>
      <c r="N185" s="448"/>
      <c r="O185" s="449"/>
    </row>
    <row r="186" ht="15.75" customHeight="1">
      <c r="A186" s="322"/>
      <c r="B186" s="325"/>
      <c r="C186" s="322"/>
      <c r="D186" s="322"/>
      <c r="E186" s="323"/>
      <c r="F186" s="326"/>
      <c r="G186" s="326"/>
      <c r="H186" s="404"/>
      <c r="I186" s="388"/>
      <c r="J186" s="322"/>
      <c r="K186" s="325"/>
      <c r="L186" s="322"/>
      <c r="M186" s="322"/>
      <c r="N186" s="323"/>
      <c r="O186" s="326"/>
    </row>
    <row r="187" ht="15.75" customHeight="1">
      <c r="A187" s="322"/>
      <c r="B187" s="327" t="s">
        <v>931</v>
      </c>
      <c r="C187" s="330" t="s">
        <v>1110</v>
      </c>
      <c r="D187" s="329"/>
      <c r="E187" s="323"/>
      <c r="F187" s="326"/>
      <c r="G187" s="326"/>
      <c r="H187" s="404"/>
      <c r="I187" s="388"/>
      <c r="J187" s="322"/>
      <c r="K187" s="327" t="s">
        <v>931</v>
      </c>
      <c r="L187" s="330" t="s">
        <v>1111</v>
      </c>
      <c r="M187" s="329"/>
      <c r="N187" s="323"/>
      <c r="O187" s="326"/>
    </row>
    <row r="188" ht="15.75" customHeight="1">
      <c r="A188" s="322"/>
      <c r="B188" s="325"/>
      <c r="C188" s="322"/>
      <c r="D188" s="322"/>
      <c r="E188" s="323"/>
      <c r="F188" s="326"/>
      <c r="G188" s="326"/>
      <c r="H188" s="404"/>
      <c r="I188" s="388"/>
      <c r="J188" s="322"/>
      <c r="K188" s="325"/>
      <c r="L188" s="322"/>
      <c r="M188" s="322"/>
      <c r="N188" s="323"/>
      <c r="O188" s="326"/>
    </row>
    <row r="189" ht="15.75" customHeight="1">
      <c r="A189" s="322"/>
      <c r="B189" s="327" t="s">
        <v>935</v>
      </c>
      <c r="C189" s="440">
        <v>1500000.0</v>
      </c>
      <c r="D189" s="329"/>
      <c r="E189" s="394">
        <f>C189/90000</f>
        <v>16.66666667</v>
      </c>
      <c r="F189" s="326"/>
      <c r="G189" s="326"/>
      <c r="H189" s="404"/>
      <c r="I189" s="388"/>
      <c r="J189" s="322"/>
      <c r="K189" s="327" t="s">
        <v>935</v>
      </c>
      <c r="L189" s="440">
        <v>1600000.0</v>
      </c>
      <c r="M189" s="329"/>
      <c r="N189" s="394">
        <f>L189/90000</f>
        <v>17.77777778</v>
      </c>
      <c r="O189" s="326"/>
    </row>
    <row r="190" ht="15.75" customHeight="1">
      <c r="A190" s="322"/>
      <c r="B190" s="327"/>
      <c r="C190" s="332"/>
      <c r="D190" s="332"/>
      <c r="E190" s="323"/>
      <c r="F190" s="326"/>
      <c r="G190" s="326"/>
      <c r="H190" s="404"/>
      <c r="I190" s="388"/>
      <c r="J190" s="322"/>
      <c r="K190" s="327"/>
      <c r="L190" s="332"/>
      <c r="M190" s="332"/>
      <c r="N190" s="323"/>
      <c r="O190" s="326"/>
    </row>
    <row r="191" ht="15.75" customHeight="1">
      <c r="A191" s="322"/>
      <c r="B191" s="327" t="s">
        <v>939</v>
      </c>
      <c r="C191" s="333" t="str">
        <f>IF(SUM(E203,E218,E226)=0,"",SUM(E203,E218,E226))</f>
        <v>#REF!</v>
      </c>
      <c r="D191" s="321"/>
      <c r="E191" s="323" t="str">
        <f>C191/90000</f>
        <v>#REF!</v>
      </c>
      <c r="F191" s="326"/>
      <c r="G191" s="326"/>
      <c r="H191" s="404"/>
      <c r="I191" s="388"/>
      <c r="J191" s="322"/>
      <c r="K191" s="327" t="s">
        <v>939</v>
      </c>
      <c r="L191" s="333" t="str">
        <f>IF(SUM(N203,N218,N226)=0,"",SUM(N203,N218,N226))</f>
        <v>#REF!</v>
      </c>
      <c r="M191" s="321"/>
      <c r="N191" s="323" t="str">
        <f>L191/90000</f>
        <v>#REF!</v>
      </c>
      <c r="O191" s="326"/>
    </row>
    <row r="192" ht="15.75" customHeight="1">
      <c r="A192" s="322"/>
      <c r="B192" s="327"/>
      <c r="C192" s="334"/>
      <c r="D192" s="334"/>
      <c r="E192" s="323"/>
      <c r="F192" s="326"/>
      <c r="G192" s="326"/>
      <c r="H192" s="404"/>
      <c r="I192" s="388"/>
      <c r="J192" s="322"/>
      <c r="K192" s="327"/>
      <c r="L192" s="334"/>
      <c r="M192" s="334"/>
      <c r="N192" s="323"/>
      <c r="O192" s="326"/>
    </row>
    <row r="193" ht="15.75" customHeight="1">
      <c r="A193" s="322"/>
      <c r="B193" s="327" t="s">
        <v>946</v>
      </c>
      <c r="C193" s="335" t="str">
        <f>IF(C191="","",IF(ISBLANK(C189),"",C191/C189))</f>
        <v>#REF!</v>
      </c>
      <c r="D193" s="321"/>
      <c r="E193" s="323"/>
      <c r="F193" s="326"/>
      <c r="G193" s="326"/>
      <c r="H193" s="404"/>
      <c r="I193" s="388"/>
      <c r="J193" s="322"/>
      <c r="K193" s="327" t="s">
        <v>946</v>
      </c>
      <c r="L193" s="335" t="str">
        <f>IF(L191="","",IF(ISBLANK(L189),"",L191/L189))</f>
        <v>#REF!</v>
      </c>
      <c r="M193" s="321"/>
      <c r="N193" s="323"/>
      <c r="O193" s="326"/>
    </row>
    <row r="194" ht="15.75" customHeight="1">
      <c r="A194" s="322"/>
      <c r="B194" s="327"/>
      <c r="C194" s="334"/>
      <c r="D194" s="334"/>
      <c r="E194" s="323"/>
      <c r="F194" s="326"/>
      <c r="G194" s="326"/>
      <c r="H194" s="404"/>
      <c r="I194" s="388"/>
      <c r="J194" s="322"/>
      <c r="K194" s="327"/>
      <c r="L194" s="334"/>
      <c r="M194" s="334"/>
      <c r="N194" s="323"/>
      <c r="O194" s="326"/>
    </row>
    <row r="195" ht="15.75" customHeight="1">
      <c r="A195" s="322"/>
      <c r="B195" s="327" t="s">
        <v>950</v>
      </c>
      <c r="C195" s="333" t="str">
        <f>C189-C191</f>
        <v>#REF!</v>
      </c>
      <c r="D195" s="321"/>
      <c r="E195" s="323"/>
      <c r="F195" s="326"/>
      <c r="G195" s="326"/>
      <c r="H195" s="404"/>
      <c r="I195" s="388"/>
      <c r="J195" s="322"/>
      <c r="K195" s="327" t="s">
        <v>950</v>
      </c>
      <c r="L195" s="333" t="str">
        <f>L189-L191</f>
        <v>#REF!</v>
      </c>
      <c r="M195" s="321"/>
      <c r="N195" s="323"/>
      <c r="O195" s="326"/>
    </row>
    <row r="196" ht="15.75" customHeight="1">
      <c r="A196" s="322"/>
      <c r="B196" s="322"/>
      <c r="C196" s="322"/>
      <c r="D196" s="322"/>
      <c r="E196" s="323"/>
      <c r="F196" s="324"/>
      <c r="G196" s="324"/>
      <c r="H196" s="404"/>
      <c r="I196" s="388"/>
      <c r="J196" s="322"/>
      <c r="K196" s="322"/>
      <c r="L196" s="322"/>
      <c r="M196" s="322"/>
      <c r="N196" s="323"/>
      <c r="O196" s="324"/>
    </row>
    <row r="197" ht="15.75" customHeight="1">
      <c r="A197" s="322"/>
      <c r="B197" s="322"/>
      <c r="C197" s="322"/>
      <c r="D197" s="322"/>
      <c r="E197" s="337"/>
      <c r="F197" s="324"/>
      <c r="G197" s="324"/>
      <c r="H197" s="387"/>
      <c r="I197" s="388"/>
      <c r="J197" s="322"/>
      <c r="K197" s="322"/>
      <c r="L197" s="322"/>
      <c r="M197" s="322"/>
      <c r="N197" s="337"/>
      <c r="O197" s="324"/>
    </row>
    <row r="198" ht="15.75" customHeight="1">
      <c r="A198" s="322"/>
      <c r="B198" s="338" t="s">
        <v>951</v>
      </c>
      <c r="C198" s="339"/>
      <c r="D198" s="339"/>
      <c r="E198" s="339"/>
      <c r="F198" s="324"/>
      <c r="G198" s="324"/>
      <c r="H198" s="410"/>
      <c r="I198" s="388"/>
      <c r="J198" s="322"/>
      <c r="K198" s="338" t="s">
        <v>951</v>
      </c>
      <c r="L198" s="339"/>
      <c r="M198" s="339"/>
      <c r="N198" s="339"/>
      <c r="O198" s="324"/>
    </row>
    <row r="199" ht="15.75" customHeight="1">
      <c r="A199" s="322"/>
      <c r="B199" s="340" t="s">
        <v>953</v>
      </c>
      <c r="C199" s="341" t="s">
        <v>954</v>
      </c>
      <c r="D199" s="341" t="s">
        <v>955</v>
      </c>
      <c r="E199" s="341" t="s">
        <v>35</v>
      </c>
      <c r="F199" s="324"/>
      <c r="G199" s="324"/>
      <c r="H199" s="387"/>
      <c r="I199" s="388"/>
      <c r="J199" s="322"/>
      <c r="K199" s="340" t="s">
        <v>953</v>
      </c>
      <c r="L199" s="341" t="s">
        <v>954</v>
      </c>
      <c r="M199" s="341" t="s">
        <v>955</v>
      </c>
      <c r="N199" s="341" t="s">
        <v>35</v>
      </c>
      <c r="O199" s="324"/>
    </row>
    <row r="200" ht="15.75" customHeight="1">
      <c r="A200" s="322"/>
      <c r="B200" s="60" t="s">
        <v>850</v>
      </c>
      <c r="C200" s="344">
        <v>0.2</v>
      </c>
      <c r="D200" s="343">
        <f>'F&amp;B'!$F$98</f>
        <v>76500</v>
      </c>
      <c r="E200" s="67">
        <f t="shared" ref="E200:E202" si="23">IF(OR(ISBLANK(C200),ISBLANK(D200)),"",D200*C200)</f>
        <v>15300</v>
      </c>
      <c r="F200" s="324"/>
      <c r="G200" s="324"/>
      <c r="H200" s="387"/>
      <c r="I200" s="388"/>
      <c r="J200" s="322"/>
      <c r="K200" s="60" t="s">
        <v>850</v>
      </c>
      <c r="L200" s="342">
        <v>0.2</v>
      </c>
      <c r="M200" s="343">
        <f>'F&amp;B'!$F$98</f>
        <v>76500</v>
      </c>
      <c r="N200" s="67">
        <f t="shared" ref="N200:N202" si="24">IF(OR(ISBLANK(L200),ISBLANK(M200)),"",M200*L200)</f>
        <v>15300</v>
      </c>
      <c r="O200" s="324"/>
    </row>
    <row r="201" ht="15.75" customHeight="1">
      <c r="A201" s="322"/>
      <c r="B201" s="228" t="s">
        <v>1118</v>
      </c>
      <c r="C201" s="398">
        <v>0.05</v>
      </c>
      <c r="D201" s="371">
        <f>SAUCES!L79</f>
        <v>55154.89442</v>
      </c>
      <c r="E201" s="67">
        <f t="shared" si="23"/>
        <v>2757.744721</v>
      </c>
      <c r="F201" s="324"/>
      <c r="G201" s="324"/>
      <c r="H201" s="387"/>
      <c r="I201" s="388"/>
      <c r="J201" s="322"/>
      <c r="K201" s="228" t="s">
        <v>257</v>
      </c>
      <c r="L201" s="398">
        <v>0.12</v>
      </c>
      <c r="M201" s="347">
        <f>D109</f>
        <v>19698.44963</v>
      </c>
      <c r="N201" s="67">
        <f t="shared" si="24"/>
        <v>2363.813955</v>
      </c>
      <c r="O201" s="324"/>
    </row>
    <row r="202" ht="15.75" customHeight="1">
      <c r="A202" s="322"/>
      <c r="B202" s="87" t="s">
        <v>200</v>
      </c>
      <c r="C202" s="412">
        <v>1.0</v>
      </c>
      <c r="D202" s="371">
        <f>D21</f>
        <v>900.9230769</v>
      </c>
      <c r="E202" s="67">
        <f t="shared" si="23"/>
        <v>900.9230769</v>
      </c>
      <c r="F202" s="324"/>
      <c r="G202" s="324"/>
      <c r="H202" s="387"/>
      <c r="I202" s="388"/>
      <c r="J202" s="322"/>
      <c r="K202" s="87" t="s">
        <v>200</v>
      </c>
      <c r="L202" s="355">
        <v>1.0</v>
      </c>
      <c r="M202" s="347">
        <f>D21</f>
        <v>900.9230769</v>
      </c>
      <c r="N202" s="67">
        <f t="shared" si="24"/>
        <v>900.9230769</v>
      </c>
      <c r="O202" s="324"/>
    </row>
    <row r="203" ht="15.75" customHeight="1">
      <c r="A203" s="322"/>
      <c r="B203" s="338" t="s">
        <v>84</v>
      </c>
      <c r="C203" s="358"/>
      <c r="D203" s="358"/>
      <c r="E203" s="359">
        <f>IF(SUM(E200:E202)=0,"",SUM(E200:E202))</f>
        <v>18958.6678</v>
      </c>
      <c r="F203" s="324"/>
      <c r="G203" s="324"/>
      <c r="H203" s="387"/>
      <c r="I203" s="388"/>
      <c r="J203" s="322"/>
      <c r="K203" s="338" t="s">
        <v>84</v>
      </c>
      <c r="L203" s="358"/>
      <c r="M203" s="358"/>
      <c r="N203" s="359">
        <f>IF(SUM(N200:N202)=0,"",SUM(N200:N202))</f>
        <v>18564.73703</v>
      </c>
      <c r="O203" s="324"/>
    </row>
    <row r="204" ht="15.75" customHeight="1">
      <c r="A204" s="322"/>
      <c r="B204" s="360"/>
      <c r="C204" s="360"/>
      <c r="D204" s="360"/>
      <c r="E204" s="361"/>
      <c r="F204" s="324"/>
      <c r="G204" s="324"/>
      <c r="H204" s="387"/>
      <c r="I204" s="388"/>
      <c r="J204" s="322"/>
      <c r="K204" s="360"/>
      <c r="L204" s="360"/>
      <c r="M204" s="360"/>
      <c r="N204" s="361"/>
      <c r="O204" s="324"/>
    </row>
    <row r="205" ht="15.75" customHeight="1">
      <c r="A205" s="322"/>
      <c r="B205" s="362" t="s">
        <v>972</v>
      </c>
      <c r="C205" s="363"/>
      <c r="D205" s="363"/>
      <c r="E205" s="363"/>
      <c r="F205" s="324"/>
      <c r="G205" s="324"/>
      <c r="H205" s="387"/>
      <c r="I205" s="388"/>
      <c r="J205" s="322"/>
      <c r="K205" s="362" t="s">
        <v>972</v>
      </c>
      <c r="L205" s="363"/>
      <c r="M205" s="363"/>
      <c r="N205" s="363"/>
      <c r="O205" s="324"/>
    </row>
    <row r="206" ht="15.75" customHeight="1">
      <c r="A206" s="322"/>
      <c r="B206" s="365" t="s">
        <v>953</v>
      </c>
      <c r="C206" s="366" t="s">
        <v>3</v>
      </c>
      <c r="D206" s="366" t="s">
        <v>975</v>
      </c>
      <c r="E206" s="367" t="s">
        <v>35</v>
      </c>
      <c r="F206" s="324"/>
      <c r="G206" s="324"/>
      <c r="H206" s="387"/>
      <c r="I206" s="388"/>
      <c r="J206" s="322"/>
      <c r="K206" s="365" t="s">
        <v>953</v>
      </c>
      <c r="L206" s="366" t="s">
        <v>3</v>
      </c>
      <c r="M206" s="366" t="s">
        <v>975</v>
      </c>
      <c r="N206" s="367" t="s">
        <v>35</v>
      </c>
      <c r="O206" s="324"/>
    </row>
    <row r="207" ht="15.75" customHeight="1">
      <c r="A207" s="322"/>
      <c r="B207" s="368"/>
      <c r="C207" s="366"/>
      <c r="D207" s="366"/>
      <c r="E207" s="368"/>
      <c r="F207" s="324"/>
      <c r="G207" s="324"/>
      <c r="H207" s="387"/>
      <c r="I207" s="388"/>
      <c r="J207" s="322"/>
      <c r="K207" s="368"/>
      <c r="L207" s="366"/>
      <c r="M207" s="366"/>
      <c r="N207" s="368"/>
      <c r="O207" s="324"/>
    </row>
    <row r="208" ht="15.75" customHeight="1">
      <c r="A208" s="322"/>
      <c r="B208" s="139" t="s">
        <v>703</v>
      </c>
      <c r="C208" s="344">
        <v>0.14</v>
      </c>
      <c r="D208" s="343">
        <f>M116</f>
        <v>81000</v>
      </c>
      <c r="E208" s="67">
        <f t="shared" ref="E208:E217" si="25">D208*C208</f>
        <v>11340</v>
      </c>
      <c r="F208" s="324"/>
      <c r="G208" s="324"/>
      <c r="H208" s="387"/>
      <c r="I208" s="388"/>
      <c r="J208" s="322"/>
      <c r="K208" s="139" t="s">
        <v>1111</v>
      </c>
      <c r="L208" s="344">
        <v>0.1</v>
      </c>
      <c r="M208" s="343">
        <f>'F&amp;B'!F77</f>
        <v>141300</v>
      </c>
      <c r="N208" s="67">
        <f t="shared" ref="N208:N217" si="26">M208*L208</f>
        <v>14130</v>
      </c>
      <c r="O208" s="324"/>
    </row>
    <row r="209" ht="15.75" customHeight="1">
      <c r="A209" s="322"/>
      <c r="B209" s="228" t="s">
        <v>214</v>
      </c>
      <c r="C209" s="405">
        <v>0.025</v>
      </c>
      <c r="D209" s="371">
        <f>'F&amp;B'!F290</f>
        <v>6300</v>
      </c>
      <c r="E209" s="67">
        <f t="shared" si="25"/>
        <v>157.5</v>
      </c>
      <c r="F209" s="324"/>
      <c r="G209" s="324"/>
      <c r="H209" s="387"/>
      <c r="I209" s="388"/>
      <c r="J209" s="322"/>
      <c r="K209" s="228" t="s">
        <v>1119</v>
      </c>
      <c r="L209" s="405">
        <v>0.02</v>
      </c>
      <c r="M209" s="371">
        <f>'F&amp;B'!F44</f>
        <v>234000</v>
      </c>
      <c r="N209" s="67">
        <f t="shared" si="26"/>
        <v>4680</v>
      </c>
      <c r="O209" s="324"/>
    </row>
    <row r="210" ht="15.75" customHeight="1">
      <c r="A210" s="322"/>
      <c r="B210" s="228" t="s">
        <v>1033</v>
      </c>
      <c r="C210" s="405">
        <v>0.03</v>
      </c>
      <c r="D210" s="371">
        <f>'F&amp;B'!F278</f>
        <v>103500</v>
      </c>
      <c r="E210" s="67">
        <f t="shared" si="25"/>
        <v>3105</v>
      </c>
      <c r="F210" s="324"/>
      <c r="G210" s="324"/>
      <c r="H210" s="387"/>
      <c r="I210" s="388"/>
      <c r="J210" s="322"/>
      <c r="K210" s="228" t="s">
        <v>1120</v>
      </c>
      <c r="L210" s="405">
        <v>0.05</v>
      </c>
      <c r="M210" s="371">
        <f>'F&amp;B'!F315</f>
        <v>2970</v>
      </c>
      <c r="N210" s="67">
        <f t="shared" si="26"/>
        <v>148.5</v>
      </c>
      <c r="O210" s="324"/>
    </row>
    <row r="211" ht="15.75" customHeight="1">
      <c r="A211" s="322"/>
      <c r="B211" s="228" t="s">
        <v>1121</v>
      </c>
      <c r="C211" s="398">
        <v>0.025</v>
      </c>
      <c r="D211" s="371">
        <f>'F&amp;B'!F85</f>
        <v>129150</v>
      </c>
      <c r="E211" s="67">
        <f t="shared" si="25"/>
        <v>3228.75</v>
      </c>
      <c r="F211" s="324"/>
      <c r="G211" s="324"/>
      <c r="H211" s="387"/>
      <c r="I211" s="388"/>
      <c r="J211" s="322"/>
      <c r="K211" s="228" t="s">
        <v>723</v>
      </c>
      <c r="L211" s="398">
        <v>0.01</v>
      </c>
      <c r="M211" s="371">
        <f>'F&amp;B'!F298</f>
        <v>2970</v>
      </c>
      <c r="N211" s="67">
        <f t="shared" si="26"/>
        <v>29.7</v>
      </c>
      <c r="O211" s="324"/>
    </row>
    <row r="212" ht="15.75" customHeight="1">
      <c r="A212" s="322"/>
      <c r="B212" s="75"/>
      <c r="C212" s="346"/>
      <c r="D212" s="371"/>
      <c r="E212" s="67">
        <f t="shared" si="25"/>
        <v>0</v>
      </c>
      <c r="F212" s="324"/>
      <c r="G212" s="324"/>
      <c r="H212" s="387"/>
      <c r="I212" s="388"/>
      <c r="J212" s="322"/>
      <c r="K212" s="75"/>
      <c r="L212" s="346"/>
      <c r="M212" s="371"/>
      <c r="N212" s="67">
        <f t="shared" si="26"/>
        <v>0</v>
      </c>
      <c r="O212" s="324"/>
    </row>
    <row r="213" ht="15.75" customHeight="1">
      <c r="A213" s="322"/>
      <c r="B213" s="75"/>
      <c r="C213" s="346"/>
      <c r="D213" s="373"/>
      <c r="E213" s="67">
        <f t="shared" si="25"/>
        <v>0</v>
      </c>
      <c r="F213" s="324"/>
      <c r="G213" s="324"/>
      <c r="H213" s="387"/>
      <c r="I213" s="388"/>
      <c r="J213" s="322"/>
      <c r="K213" s="75"/>
      <c r="L213" s="370"/>
      <c r="M213" s="371"/>
      <c r="N213" s="67">
        <f t="shared" si="26"/>
        <v>0</v>
      </c>
      <c r="O213" s="324"/>
    </row>
    <row r="214" ht="15.75" customHeight="1">
      <c r="A214" s="322"/>
      <c r="B214" s="348"/>
      <c r="C214" s="346"/>
      <c r="D214" s="373"/>
      <c r="E214" s="67">
        <f t="shared" si="25"/>
        <v>0</v>
      </c>
      <c r="F214" s="324"/>
      <c r="G214" s="324"/>
      <c r="H214" s="387"/>
      <c r="I214" s="388"/>
      <c r="J214" s="322"/>
      <c r="K214" s="348"/>
      <c r="L214" s="346"/>
      <c r="M214" s="373"/>
      <c r="N214" s="67">
        <f t="shared" si="26"/>
        <v>0</v>
      </c>
      <c r="O214" s="324"/>
    </row>
    <row r="215" ht="15.75" customHeight="1">
      <c r="A215" s="322"/>
      <c r="B215" s="348"/>
      <c r="C215" s="346"/>
      <c r="D215" s="373"/>
      <c r="E215" s="67">
        <f t="shared" si="25"/>
        <v>0</v>
      </c>
      <c r="F215" s="324"/>
      <c r="G215" s="324"/>
      <c r="H215" s="387"/>
      <c r="I215" s="388"/>
      <c r="J215" s="322"/>
      <c r="K215" s="348"/>
      <c r="L215" s="346"/>
      <c r="M215" s="373"/>
      <c r="N215" s="67">
        <f t="shared" si="26"/>
        <v>0</v>
      </c>
      <c r="O215" s="324"/>
    </row>
    <row r="216" ht="15.75" customHeight="1">
      <c r="A216" s="322"/>
      <c r="B216" s="348"/>
      <c r="C216" s="346"/>
      <c r="D216" s="373"/>
      <c r="E216" s="67">
        <f t="shared" si="25"/>
        <v>0</v>
      </c>
      <c r="F216" s="324"/>
      <c r="G216" s="324"/>
      <c r="H216" s="387"/>
      <c r="I216" s="388"/>
      <c r="J216" s="322"/>
      <c r="K216" s="348"/>
      <c r="L216" s="346"/>
      <c r="M216" s="373"/>
      <c r="N216" s="67">
        <f t="shared" si="26"/>
        <v>0</v>
      </c>
      <c r="O216" s="324"/>
    </row>
    <row r="217" ht="15.75" customHeight="1">
      <c r="A217" s="322"/>
      <c r="B217" s="354"/>
      <c r="C217" s="355"/>
      <c r="D217" s="356"/>
      <c r="E217" s="67">
        <f t="shared" si="25"/>
        <v>0</v>
      </c>
      <c r="F217" s="324"/>
      <c r="G217" s="324"/>
      <c r="H217" s="387"/>
      <c r="I217" s="388"/>
      <c r="J217" s="322"/>
      <c r="K217" s="354"/>
      <c r="L217" s="355"/>
      <c r="M217" s="356"/>
      <c r="N217" s="67">
        <f t="shared" si="26"/>
        <v>0</v>
      </c>
      <c r="O217" s="324"/>
    </row>
    <row r="218" ht="15.75" customHeight="1">
      <c r="A218" s="322"/>
      <c r="B218" s="362" t="s">
        <v>84</v>
      </c>
      <c r="C218" s="374"/>
      <c r="D218" s="374"/>
      <c r="E218" s="375">
        <f>IF(SUM(E208:E217)=0,"",SUM(E208:E217))</f>
        <v>17831.25</v>
      </c>
      <c r="F218" s="324"/>
      <c r="G218" s="324"/>
      <c r="H218" s="387"/>
      <c r="I218" s="388"/>
      <c r="J218" s="322"/>
      <c r="K218" s="362" t="s">
        <v>84</v>
      </c>
      <c r="L218" s="374"/>
      <c r="M218" s="374"/>
      <c r="N218" s="375">
        <f>IF(SUM(N208:N217)=0,"",SUM(N208:N217))</f>
        <v>18988.2</v>
      </c>
      <c r="O218" s="324"/>
    </row>
    <row r="219" ht="15.75" customHeight="1">
      <c r="A219" s="322"/>
      <c r="B219" s="360"/>
      <c r="C219" s="360"/>
      <c r="D219" s="360"/>
      <c r="E219" s="361"/>
      <c r="F219" s="324"/>
      <c r="G219" s="324"/>
      <c r="H219" s="387"/>
      <c r="I219" s="388"/>
      <c r="J219" s="322"/>
      <c r="K219" s="360"/>
      <c r="L219" s="360"/>
      <c r="M219" s="360"/>
      <c r="N219" s="361"/>
      <c r="O219" s="324"/>
    </row>
    <row r="220" ht="15.75" customHeight="1">
      <c r="A220" s="322"/>
      <c r="B220" s="34" t="s">
        <v>17</v>
      </c>
      <c r="C220" s="35"/>
      <c r="D220" s="35"/>
      <c r="E220" s="35"/>
      <c r="F220" s="324"/>
      <c r="G220" s="324"/>
      <c r="H220" s="387"/>
      <c r="I220" s="388"/>
      <c r="J220" s="322"/>
      <c r="K220" s="34" t="s">
        <v>17</v>
      </c>
      <c r="L220" s="35"/>
      <c r="M220" s="35"/>
      <c r="N220" s="35"/>
      <c r="O220" s="324"/>
    </row>
    <row r="221" ht="15.75" customHeight="1">
      <c r="A221" s="322"/>
      <c r="B221" s="52" t="s">
        <v>42</v>
      </c>
      <c r="C221" s="54"/>
      <c r="D221" s="54"/>
      <c r="E221" s="56" t="s">
        <v>35</v>
      </c>
      <c r="F221" s="324"/>
      <c r="G221" s="324"/>
      <c r="H221" s="387"/>
      <c r="I221" s="388"/>
      <c r="J221" s="322"/>
      <c r="K221" s="52" t="s">
        <v>42</v>
      </c>
      <c r="L221" s="54"/>
      <c r="M221" s="54"/>
      <c r="N221" s="56" t="s">
        <v>35</v>
      </c>
      <c r="O221" s="324"/>
    </row>
    <row r="222" ht="15.75" customHeight="1">
      <c r="A222" s="322"/>
      <c r="B222" s="60" t="s">
        <v>40</v>
      </c>
      <c r="C222" s="343">
        <f>'UTL COST'!$B$3</f>
        <v>369000</v>
      </c>
      <c r="D222" s="379">
        <f>'UTL COST'!$C$3</f>
        <v>0.0075</v>
      </c>
      <c r="E222" s="67">
        <v>0.0</v>
      </c>
      <c r="F222" s="324"/>
      <c r="G222" s="324"/>
      <c r="H222" s="387"/>
      <c r="I222" s="388"/>
      <c r="J222" s="322"/>
      <c r="K222" s="60" t="s">
        <v>40</v>
      </c>
      <c r="L222" s="343">
        <f>'UTL COST'!$B$3</f>
        <v>369000</v>
      </c>
      <c r="M222" s="379">
        <f>'UTL COST'!$C$3</f>
        <v>0.0075</v>
      </c>
      <c r="N222" s="67">
        <v>0.0</v>
      </c>
      <c r="O222" s="324"/>
    </row>
    <row r="223" ht="15.75" customHeight="1">
      <c r="A223" s="322"/>
      <c r="B223" s="75" t="str">
        <f>'UTL COST'!$A$7</f>
        <v>Gas Pizza</v>
      </c>
      <c r="C223" s="371" t="str">
        <f>'UTL COST'!$B$7</f>
        <v>#REF!</v>
      </c>
      <c r="D223" s="409">
        <f>'UTL COST'!$C$7</f>
        <v>450</v>
      </c>
      <c r="E223" s="76" t="str">
        <f>'UTL COST'!$D$7</f>
        <v>#REF!</v>
      </c>
      <c r="F223" s="324"/>
      <c r="G223" s="324"/>
      <c r="H223" s="387"/>
      <c r="I223" s="388"/>
      <c r="J223" s="322"/>
      <c r="K223" s="75" t="str">
        <f>'UTL COST'!$A$7</f>
        <v>Gas Pizza</v>
      </c>
      <c r="L223" s="371" t="str">
        <f>'UTL COST'!$B$7</f>
        <v>#REF!</v>
      </c>
      <c r="M223" s="409">
        <f>'UTL COST'!$C$7</f>
        <v>450</v>
      </c>
      <c r="N223" s="76" t="str">
        <f>'UTL COST'!$D$7</f>
        <v>#REF!</v>
      </c>
      <c r="O223" s="324"/>
    </row>
    <row r="224" ht="15.75" customHeight="1">
      <c r="A224" s="322"/>
      <c r="B224" s="75" t="s">
        <v>59</v>
      </c>
      <c r="C224" s="371" t="str">
        <f>'UTL COST'!$B$5</f>
        <v>#REF!</v>
      </c>
      <c r="D224" s="382">
        <f>'UTL COST'!$C$5</f>
        <v>45000</v>
      </c>
      <c r="E224" s="76" t="str">
        <f>'UTL COST'!$D$5</f>
        <v>#REF!</v>
      </c>
      <c r="F224" s="324"/>
      <c r="G224" s="324"/>
      <c r="H224" s="387"/>
      <c r="I224" s="388"/>
      <c r="J224" s="322"/>
      <c r="K224" s="75" t="s">
        <v>59</v>
      </c>
      <c r="L224" s="371" t="str">
        <f>'UTL COST'!$B$5</f>
        <v>#REF!</v>
      </c>
      <c r="M224" s="382">
        <f>'UTL COST'!$C$5</f>
        <v>45000</v>
      </c>
      <c r="N224" s="76" t="str">
        <f>'UTL COST'!$D$5</f>
        <v>#REF!</v>
      </c>
      <c r="O224" s="324"/>
    </row>
    <row r="225" ht="15.75" customHeight="1">
      <c r="A225" s="322"/>
      <c r="B225" s="87" t="s">
        <v>78</v>
      </c>
      <c r="C225" s="371" t="str">
        <f>'UTL COST'!$B$6</f>
        <v>#REF!</v>
      </c>
      <c r="D225" s="383">
        <f>'UTL COST'!$C$6</f>
        <v>525</v>
      </c>
      <c r="E225" s="89"/>
      <c r="F225" s="324"/>
      <c r="G225" s="324"/>
      <c r="H225" s="387"/>
      <c r="I225" s="388"/>
      <c r="J225" s="322"/>
      <c r="K225" s="87" t="s">
        <v>78</v>
      </c>
      <c r="L225" s="371" t="str">
        <f>'UTL COST'!$B$6</f>
        <v>#REF!</v>
      </c>
      <c r="M225" s="383">
        <f>'UTL COST'!$C$6</f>
        <v>525</v>
      </c>
      <c r="N225" s="89"/>
      <c r="O225" s="324"/>
    </row>
    <row r="226" ht="15.75" customHeight="1">
      <c r="A226" s="322"/>
      <c r="B226" s="34" t="s">
        <v>84</v>
      </c>
      <c r="C226" s="102"/>
      <c r="D226" s="102"/>
      <c r="E226" s="104" t="str">
        <f>IF(SUM(E222:E225)=0,"",SUM(E222:E225))</f>
        <v>#REF!</v>
      </c>
      <c r="F226" s="324"/>
      <c r="G226" s="324"/>
      <c r="H226" s="387"/>
      <c r="I226" s="388"/>
      <c r="J226" s="322"/>
      <c r="K226" s="34" t="s">
        <v>84</v>
      </c>
      <c r="L226" s="102"/>
      <c r="M226" s="102"/>
      <c r="N226" s="104" t="str">
        <f>IF(SUM(N222:N225)=0,"",SUM(N222:N225))</f>
        <v>#REF!</v>
      </c>
      <c r="O226" s="324"/>
    </row>
    <row r="227" ht="15.75" customHeight="1">
      <c r="A227" s="322"/>
      <c r="B227" s="360"/>
      <c r="C227" s="360"/>
      <c r="D227" s="360"/>
      <c r="E227" s="361"/>
      <c r="F227" s="324"/>
      <c r="G227" s="324"/>
      <c r="H227" s="387"/>
      <c r="I227" s="388"/>
      <c r="J227" s="322"/>
      <c r="K227" s="360"/>
      <c r="L227" s="360"/>
      <c r="M227" s="360"/>
      <c r="N227" s="361"/>
      <c r="O227" s="324"/>
    </row>
    <row r="228" ht="15.75" customHeight="1"/>
    <row r="229" ht="15.75" customHeight="1"/>
    <row r="230" ht="15.75" customHeight="1">
      <c r="A230" s="444"/>
      <c r="B230" s="444"/>
      <c r="C230" s="444"/>
      <c r="D230" s="444"/>
      <c r="E230" s="445"/>
      <c r="F230" s="446"/>
      <c r="G230" s="446"/>
      <c r="H230" s="387"/>
      <c r="I230" s="388"/>
      <c r="J230" s="447"/>
      <c r="K230" s="447"/>
      <c r="L230" s="447"/>
      <c r="M230" s="447"/>
      <c r="N230" s="448"/>
      <c r="O230" s="449"/>
    </row>
    <row r="231" ht="15.75" customHeight="1">
      <c r="A231" s="322"/>
      <c r="B231" s="325"/>
      <c r="C231" s="322"/>
      <c r="D231" s="322"/>
      <c r="E231" s="323"/>
      <c r="F231" s="326"/>
      <c r="G231" s="326"/>
      <c r="H231" s="404"/>
      <c r="I231" s="388"/>
      <c r="J231" s="322"/>
      <c r="K231" s="325"/>
      <c r="L231" s="322"/>
      <c r="M231" s="322"/>
      <c r="N231" s="323"/>
      <c r="O231" s="326"/>
    </row>
    <row r="232" ht="15.75" customHeight="1">
      <c r="A232" s="322"/>
      <c r="B232" s="327" t="s">
        <v>931</v>
      </c>
      <c r="C232" s="330" t="s">
        <v>1126</v>
      </c>
      <c r="D232" s="329"/>
      <c r="E232" s="323"/>
      <c r="F232" s="326"/>
      <c r="G232" s="326"/>
      <c r="H232" s="404"/>
      <c r="I232" s="388"/>
      <c r="J232" s="322"/>
      <c r="K232" s="327" t="s">
        <v>931</v>
      </c>
      <c r="L232" s="330" t="s">
        <v>1127</v>
      </c>
      <c r="M232" s="329"/>
      <c r="N232" s="323"/>
      <c r="O232" s="326"/>
    </row>
    <row r="233" ht="15.75" customHeight="1">
      <c r="A233" s="322"/>
      <c r="B233" s="325"/>
      <c r="C233" s="322"/>
      <c r="D233" s="322"/>
      <c r="E233" s="323"/>
      <c r="F233" s="326"/>
      <c r="G233" s="326"/>
      <c r="H233" s="404"/>
      <c r="I233" s="388"/>
      <c r="J233" s="322"/>
      <c r="K233" s="325"/>
      <c r="L233" s="322"/>
      <c r="M233" s="322"/>
      <c r="N233" s="323"/>
      <c r="O233" s="326"/>
    </row>
    <row r="234" ht="15.75" customHeight="1">
      <c r="A234" s="322"/>
      <c r="B234" s="327" t="s">
        <v>935</v>
      </c>
      <c r="C234" s="440">
        <v>1900000.0</v>
      </c>
      <c r="D234" s="329"/>
      <c r="E234" s="394">
        <f>C234/90000</f>
        <v>21.11111111</v>
      </c>
      <c r="F234" s="326"/>
      <c r="G234" s="326"/>
      <c r="H234" s="404"/>
      <c r="I234" s="388"/>
      <c r="J234" s="322"/>
      <c r="K234" s="327" t="s">
        <v>935</v>
      </c>
      <c r="L234" s="440">
        <v>1400000.0</v>
      </c>
      <c r="M234" s="329"/>
      <c r="N234" s="394">
        <f>L234/90000</f>
        <v>15.55555556</v>
      </c>
      <c r="O234" s="326"/>
    </row>
    <row r="235" ht="15.75" customHeight="1">
      <c r="A235" s="322"/>
      <c r="B235" s="327"/>
      <c r="C235" s="332"/>
      <c r="D235" s="332"/>
      <c r="E235" s="323"/>
      <c r="F235" s="326"/>
      <c r="G235" s="326"/>
      <c r="H235" s="404"/>
      <c r="I235" s="388"/>
      <c r="J235" s="322"/>
      <c r="K235" s="327"/>
      <c r="L235" s="332"/>
      <c r="M235" s="332"/>
      <c r="N235" s="323"/>
      <c r="O235" s="326"/>
    </row>
    <row r="236" ht="15.75" customHeight="1">
      <c r="A236" s="322"/>
      <c r="B236" s="327" t="s">
        <v>939</v>
      </c>
      <c r="C236" s="333" t="str">
        <f>IF(SUM(E248,E263,E271)=0,"",SUM(E248,E263,E271))</f>
        <v>#REF!</v>
      </c>
      <c r="D236" s="321"/>
      <c r="E236" s="323" t="str">
        <f>C236/90000</f>
        <v>#REF!</v>
      </c>
      <c r="F236" s="326"/>
      <c r="G236" s="326"/>
      <c r="H236" s="404"/>
      <c r="I236" s="388"/>
      <c r="J236" s="322"/>
      <c r="K236" s="327" t="s">
        <v>939</v>
      </c>
      <c r="L236" s="333" t="str">
        <f>IF(SUM(N248,N263,N271)=0,"",SUM(N248,N263,N271))</f>
        <v>#REF!</v>
      </c>
      <c r="M236" s="321"/>
      <c r="N236" s="323" t="str">
        <f>L236/90000</f>
        <v>#REF!</v>
      </c>
      <c r="O236" s="326"/>
    </row>
    <row r="237" ht="15.75" customHeight="1">
      <c r="A237" s="322"/>
      <c r="B237" s="327"/>
      <c r="C237" s="334"/>
      <c r="D237" s="334"/>
      <c r="E237" s="323"/>
      <c r="F237" s="326"/>
      <c r="G237" s="326"/>
      <c r="H237" s="404"/>
      <c r="I237" s="388"/>
      <c r="J237" s="322"/>
      <c r="K237" s="327"/>
      <c r="L237" s="334"/>
      <c r="M237" s="334"/>
      <c r="N237" s="323"/>
      <c r="O237" s="326"/>
    </row>
    <row r="238" ht="15.75" customHeight="1">
      <c r="A238" s="322"/>
      <c r="B238" s="327" t="s">
        <v>946</v>
      </c>
      <c r="C238" s="335" t="str">
        <f>IF(C236="","",IF(ISBLANK(C234),"",C236/C234))</f>
        <v>#REF!</v>
      </c>
      <c r="D238" s="321"/>
      <c r="E238" s="323"/>
      <c r="F238" s="326"/>
      <c r="G238" s="326"/>
      <c r="H238" s="404"/>
      <c r="I238" s="388"/>
      <c r="J238" s="322"/>
      <c r="K238" s="327" t="s">
        <v>946</v>
      </c>
      <c r="L238" s="335" t="str">
        <f>IF(L236="","",IF(ISBLANK(L234),"",L236/L234))</f>
        <v>#REF!</v>
      </c>
      <c r="M238" s="321"/>
      <c r="N238" s="323"/>
      <c r="O238" s="326"/>
    </row>
    <row r="239" ht="15.75" customHeight="1">
      <c r="A239" s="322"/>
      <c r="B239" s="327"/>
      <c r="C239" s="334"/>
      <c r="D239" s="334"/>
      <c r="E239" s="323"/>
      <c r="F239" s="326"/>
      <c r="G239" s="326"/>
      <c r="H239" s="404"/>
      <c r="I239" s="388"/>
      <c r="J239" s="322"/>
      <c r="K239" s="327"/>
      <c r="L239" s="334"/>
      <c r="M239" s="334"/>
      <c r="N239" s="323"/>
      <c r="O239" s="326"/>
    </row>
    <row r="240" ht="15.75" customHeight="1">
      <c r="A240" s="322"/>
      <c r="B240" s="327" t="s">
        <v>950</v>
      </c>
      <c r="C240" s="333" t="str">
        <f>C234-C236</f>
        <v>#REF!</v>
      </c>
      <c r="D240" s="321"/>
      <c r="E240" s="323"/>
      <c r="F240" s="326"/>
      <c r="G240" s="326"/>
      <c r="H240" s="404"/>
      <c r="I240" s="388"/>
      <c r="J240" s="322"/>
      <c r="K240" s="327" t="s">
        <v>950</v>
      </c>
      <c r="L240" s="333" t="str">
        <f>L234-L236</f>
        <v>#REF!</v>
      </c>
      <c r="M240" s="321"/>
      <c r="N240" s="323"/>
      <c r="O240" s="326"/>
    </row>
    <row r="241" ht="15.75" customHeight="1">
      <c r="A241" s="322"/>
      <c r="B241" s="322"/>
      <c r="C241" s="322"/>
      <c r="D241" s="322"/>
      <c r="E241" s="323"/>
      <c r="F241" s="324"/>
      <c r="G241" s="324"/>
      <c r="H241" s="404"/>
      <c r="I241" s="388"/>
      <c r="J241" s="322"/>
      <c r="K241" s="322"/>
      <c r="L241" s="322"/>
      <c r="M241" s="322"/>
      <c r="N241" s="323"/>
      <c r="O241" s="324"/>
    </row>
    <row r="242" ht="15.75" customHeight="1">
      <c r="A242" s="322"/>
      <c r="B242" s="322"/>
      <c r="C242" s="322"/>
      <c r="D242" s="322"/>
      <c r="E242" s="337"/>
      <c r="F242" s="324"/>
      <c r="G242" s="324"/>
      <c r="H242" s="387"/>
      <c r="I242" s="388"/>
      <c r="J242" s="322"/>
      <c r="K242" s="322"/>
      <c r="L242" s="322"/>
      <c r="M242" s="322"/>
      <c r="N242" s="337"/>
      <c r="O242" s="324"/>
    </row>
    <row r="243" ht="15.75" customHeight="1">
      <c r="A243" s="322"/>
      <c r="B243" s="338" t="s">
        <v>951</v>
      </c>
      <c r="C243" s="339"/>
      <c r="D243" s="339"/>
      <c r="E243" s="339"/>
      <c r="F243" s="324"/>
      <c r="G243" s="324"/>
      <c r="H243" s="410"/>
      <c r="I243" s="388"/>
      <c r="J243" s="322"/>
      <c r="K243" s="338" t="s">
        <v>951</v>
      </c>
      <c r="L243" s="339"/>
      <c r="M243" s="339"/>
      <c r="N243" s="339"/>
      <c r="O243" s="324"/>
    </row>
    <row r="244" ht="15.75" customHeight="1">
      <c r="A244" s="322"/>
      <c r="B244" s="340" t="s">
        <v>953</v>
      </c>
      <c r="C244" s="341" t="s">
        <v>954</v>
      </c>
      <c r="D244" s="341" t="s">
        <v>955</v>
      </c>
      <c r="E244" s="341" t="s">
        <v>35</v>
      </c>
      <c r="F244" s="324"/>
      <c r="G244" s="324"/>
      <c r="H244" s="387"/>
      <c r="I244" s="388"/>
      <c r="J244" s="322"/>
      <c r="K244" s="340" t="s">
        <v>953</v>
      </c>
      <c r="L244" s="341" t="s">
        <v>954</v>
      </c>
      <c r="M244" s="341" t="s">
        <v>955</v>
      </c>
      <c r="N244" s="341" t="s">
        <v>35</v>
      </c>
      <c r="O244" s="324"/>
    </row>
    <row r="245" ht="15.75" customHeight="1">
      <c r="A245" s="322"/>
      <c r="B245" s="60" t="s">
        <v>850</v>
      </c>
      <c r="C245" s="344">
        <v>0.2</v>
      </c>
      <c r="D245" s="343">
        <f>'F&amp;B'!$F$98</f>
        <v>76500</v>
      </c>
      <c r="E245" s="67">
        <f t="shared" ref="E245:E247" si="27">IF(OR(ISBLANK(C245),ISBLANK(D245)),"",D245*C245)</f>
        <v>15300</v>
      </c>
      <c r="F245" s="324"/>
      <c r="G245" s="324"/>
      <c r="H245" s="387"/>
      <c r="I245" s="388"/>
      <c r="J245" s="322"/>
      <c r="K245" s="60" t="s">
        <v>850</v>
      </c>
      <c r="L245" s="344">
        <v>0.12</v>
      </c>
      <c r="M245" s="343">
        <f>'F&amp;B'!$F$98</f>
        <v>76500</v>
      </c>
      <c r="N245" s="67">
        <f t="shared" ref="N245:N247" si="28">IF(OR(ISBLANK(L245),ISBLANK(M245)),"",M245*L245)</f>
        <v>9180</v>
      </c>
      <c r="O245" s="324"/>
    </row>
    <row r="246" ht="15.75" customHeight="1">
      <c r="A246" s="322"/>
      <c r="B246" s="228" t="s">
        <v>1134</v>
      </c>
      <c r="C246" s="398">
        <v>0.05</v>
      </c>
      <c r="D246" s="347">
        <f>SAUCES!L79</f>
        <v>55154.89442</v>
      </c>
      <c r="E246" s="67">
        <f t="shared" si="27"/>
        <v>2757.744721</v>
      </c>
      <c r="F246" s="324"/>
      <c r="G246" s="324"/>
      <c r="H246" s="387"/>
      <c r="I246" s="388"/>
      <c r="J246" s="322"/>
      <c r="K246" s="228" t="s">
        <v>718</v>
      </c>
      <c r="L246" s="398">
        <v>0.07</v>
      </c>
      <c r="M246" s="347">
        <f>M156</f>
        <v>65027.16346</v>
      </c>
      <c r="N246" s="67">
        <f t="shared" si="28"/>
        <v>4551.901442</v>
      </c>
      <c r="O246" s="324"/>
    </row>
    <row r="247" ht="15.75" customHeight="1">
      <c r="A247" s="322"/>
      <c r="B247" s="87" t="s">
        <v>200</v>
      </c>
      <c r="C247" s="412">
        <v>1.0</v>
      </c>
      <c r="D247" s="371">
        <f>D21</f>
        <v>900.9230769</v>
      </c>
      <c r="E247" s="67">
        <f t="shared" si="27"/>
        <v>900.9230769</v>
      </c>
      <c r="F247" s="324"/>
      <c r="G247" s="324"/>
      <c r="H247" s="387"/>
      <c r="I247" s="388"/>
      <c r="J247" s="322"/>
      <c r="K247" s="87" t="s">
        <v>200</v>
      </c>
      <c r="L247" s="355">
        <v>1.0</v>
      </c>
      <c r="M247" s="347">
        <f>D21</f>
        <v>900.9230769</v>
      </c>
      <c r="N247" s="67">
        <f t="shared" si="28"/>
        <v>900.9230769</v>
      </c>
      <c r="O247" s="324"/>
    </row>
    <row r="248" ht="15.75" customHeight="1">
      <c r="A248" s="322"/>
      <c r="B248" s="338" t="s">
        <v>84</v>
      </c>
      <c r="C248" s="358"/>
      <c r="D248" s="358"/>
      <c r="E248" s="359">
        <f>IF(SUM(E245:E247)=0,"",SUM(E245:E247))</f>
        <v>18958.6678</v>
      </c>
      <c r="F248" s="324"/>
      <c r="G248" s="324"/>
      <c r="H248" s="387"/>
      <c r="I248" s="388"/>
      <c r="J248" s="322"/>
      <c r="K248" s="338" t="s">
        <v>84</v>
      </c>
      <c r="L248" s="358"/>
      <c r="M248" s="358"/>
      <c r="N248" s="359">
        <f>IF(SUM(N245:N247)=0,"",SUM(N245:N247))</f>
        <v>14632.82452</v>
      </c>
      <c r="O248" s="324"/>
    </row>
    <row r="249" ht="15.75" customHeight="1">
      <c r="A249" s="322"/>
      <c r="B249" s="360"/>
      <c r="C249" s="360"/>
      <c r="D249" s="360"/>
      <c r="E249" s="361"/>
      <c r="F249" s="324"/>
      <c r="G249" s="324"/>
      <c r="H249" s="387"/>
      <c r="I249" s="388"/>
      <c r="J249" s="322"/>
      <c r="K249" s="360"/>
      <c r="L249" s="360"/>
      <c r="M249" s="360"/>
      <c r="N249" s="361"/>
      <c r="O249" s="324"/>
    </row>
    <row r="250" ht="15.75" customHeight="1">
      <c r="A250" s="322"/>
      <c r="B250" s="362" t="s">
        <v>972</v>
      </c>
      <c r="C250" s="363"/>
      <c r="D250" s="363"/>
      <c r="E250" s="363"/>
      <c r="F250" s="324"/>
      <c r="G250" s="324"/>
      <c r="H250" s="387"/>
      <c r="I250" s="388"/>
      <c r="J250" s="322"/>
      <c r="K250" s="362" t="s">
        <v>972</v>
      </c>
      <c r="L250" s="363"/>
      <c r="M250" s="363"/>
      <c r="N250" s="363"/>
      <c r="O250" s="324"/>
    </row>
    <row r="251" ht="15.75" customHeight="1">
      <c r="A251" s="322"/>
      <c r="B251" s="365" t="s">
        <v>953</v>
      </c>
      <c r="C251" s="366" t="s">
        <v>3</v>
      </c>
      <c r="D251" s="366" t="s">
        <v>975</v>
      </c>
      <c r="E251" s="367" t="s">
        <v>35</v>
      </c>
      <c r="F251" s="324"/>
      <c r="G251" s="324"/>
      <c r="H251" s="387"/>
      <c r="I251" s="388"/>
      <c r="J251" s="322"/>
      <c r="K251" s="365" t="s">
        <v>953</v>
      </c>
      <c r="L251" s="366" t="s">
        <v>3</v>
      </c>
      <c r="M251" s="366" t="s">
        <v>975</v>
      </c>
      <c r="N251" s="367" t="s">
        <v>35</v>
      </c>
      <c r="O251" s="324"/>
    </row>
    <row r="252" ht="15.75" customHeight="1">
      <c r="A252" s="322"/>
      <c r="B252" s="368"/>
      <c r="C252" s="366"/>
      <c r="D252" s="366"/>
      <c r="E252" s="368"/>
      <c r="F252" s="324"/>
      <c r="G252" s="324"/>
      <c r="H252" s="387"/>
      <c r="I252" s="388"/>
      <c r="J252" s="322"/>
      <c r="K252" s="368"/>
      <c r="L252" s="366"/>
      <c r="M252" s="366"/>
      <c r="N252" s="368"/>
      <c r="O252" s="324"/>
    </row>
    <row r="253" ht="15.75" customHeight="1">
      <c r="A253" s="322"/>
      <c r="B253" s="139" t="s">
        <v>1016</v>
      </c>
      <c r="C253" s="344">
        <v>0.05</v>
      </c>
      <c r="D253" s="343">
        <f>D109</f>
        <v>19698.44963</v>
      </c>
      <c r="E253" s="67">
        <f t="shared" ref="E253:E262" si="29">D253*C253</f>
        <v>984.9224814</v>
      </c>
      <c r="F253" s="324"/>
      <c r="G253" s="324"/>
      <c r="H253" s="387"/>
      <c r="I253" s="388"/>
      <c r="J253" s="322"/>
      <c r="K253" s="139" t="s">
        <v>1099</v>
      </c>
      <c r="L253" s="344">
        <v>0.2</v>
      </c>
      <c r="M253" s="343">
        <f>M163</f>
        <v>94500</v>
      </c>
      <c r="N253" s="67">
        <f t="shared" ref="N253:N262" si="30">M253*L253</f>
        <v>18900</v>
      </c>
      <c r="O253" s="324"/>
    </row>
    <row r="254" ht="15.75" customHeight="1">
      <c r="A254" s="322"/>
      <c r="B254" s="228" t="s">
        <v>1142</v>
      </c>
      <c r="C254" s="405">
        <v>0.1</v>
      </c>
      <c r="D254" s="371">
        <f>'F&amp;B'!F269</f>
        <v>414000</v>
      </c>
      <c r="E254" s="67">
        <f t="shared" si="29"/>
        <v>41400</v>
      </c>
      <c r="F254" s="324"/>
      <c r="G254" s="324"/>
      <c r="H254" s="387"/>
      <c r="I254" s="388"/>
      <c r="J254" s="322"/>
      <c r="K254" s="228" t="s">
        <v>1016</v>
      </c>
      <c r="L254" s="405">
        <v>0.03</v>
      </c>
      <c r="M254" s="371">
        <f>D253</f>
        <v>19698.44963</v>
      </c>
      <c r="N254" s="67">
        <f t="shared" si="30"/>
        <v>590.9534888</v>
      </c>
      <c r="O254" s="324"/>
    </row>
    <row r="255" ht="15.75" customHeight="1">
      <c r="A255" s="322"/>
      <c r="B255" s="228" t="s">
        <v>1143</v>
      </c>
      <c r="C255" s="405">
        <v>0.03</v>
      </c>
      <c r="D255" s="371">
        <f>'F&amp;B'!F280</f>
        <v>2970</v>
      </c>
      <c r="E255" s="67">
        <f t="shared" si="29"/>
        <v>89.1</v>
      </c>
      <c r="F255" s="324"/>
      <c r="G255" s="324"/>
      <c r="H255" s="387"/>
      <c r="I255" s="388"/>
      <c r="J255" s="322"/>
      <c r="K255" s="228"/>
      <c r="L255" s="405"/>
      <c r="M255" s="371"/>
      <c r="N255" s="67">
        <f t="shared" si="30"/>
        <v>0</v>
      </c>
      <c r="O255" s="324"/>
    </row>
    <row r="256" ht="15.75" customHeight="1">
      <c r="A256" s="322"/>
      <c r="B256" s="228" t="s">
        <v>1144</v>
      </c>
      <c r="C256" s="398">
        <v>0.005</v>
      </c>
      <c r="D256" s="371">
        <f>'F&amp;B'!F36</f>
        <v>94050</v>
      </c>
      <c r="E256" s="67">
        <f t="shared" si="29"/>
        <v>470.25</v>
      </c>
      <c r="F256" s="324"/>
      <c r="G256" s="324"/>
      <c r="H256" s="387"/>
      <c r="I256" s="388"/>
      <c r="J256" s="322"/>
      <c r="K256" s="75"/>
      <c r="L256" s="346"/>
      <c r="M256" s="371"/>
      <c r="N256" s="67">
        <f t="shared" si="30"/>
        <v>0</v>
      </c>
      <c r="O256" s="324"/>
    </row>
    <row r="257" ht="15.75" customHeight="1">
      <c r="A257" s="322"/>
      <c r="B257" s="75"/>
      <c r="C257" s="346"/>
      <c r="D257" s="371"/>
      <c r="E257" s="67">
        <f t="shared" si="29"/>
        <v>0</v>
      </c>
      <c r="F257" s="324"/>
      <c r="G257" s="324"/>
      <c r="H257" s="387"/>
      <c r="I257" s="388"/>
      <c r="J257" s="322"/>
      <c r="K257" s="75"/>
      <c r="L257" s="346"/>
      <c r="M257" s="371"/>
      <c r="N257" s="67">
        <f t="shared" si="30"/>
        <v>0</v>
      </c>
      <c r="O257" s="324"/>
    </row>
    <row r="258" ht="15.75" customHeight="1">
      <c r="A258" s="322"/>
      <c r="B258" s="75"/>
      <c r="C258" s="346"/>
      <c r="D258" s="373"/>
      <c r="E258" s="67">
        <f t="shared" si="29"/>
        <v>0</v>
      </c>
      <c r="F258" s="324"/>
      <c r="G258" s="324"/>
      <c r="H258" s="387"/>
      <c r="I258" s="388"/>
      <c r="J258" s="322"/>
      <c r="K258" s="75"/>
      <c r="L258" s="370"/>
      <c r="M258" s="371"/>
      <c r="N258" s="67">
        <f t="shared" si="30"/>
        <v>0</v>
      </c>
      <c r="O258" s="324"/>
    </row>
    <row r="259" ht="15.75" customHeight="1">
      <c r="A259" s="322"/>
      <c r="B259" s="348"/>
      <c r="C259" s="346"/>
      <c r="D259" s="373"/>
      <c r="E259" s="67">
        <f t="shared" si="29"/>
        <v>0</v>
      </c>
      <c r="F259" s="324"/>
      <c r="G259" s="324"/>
      <c r="H259" s="387"/>
      <c r="I259" s="388"/>
      <c r="J259" s="322"/>
      <c r="K259" s="348"/>
      <c r="L259" s="346"/>
      <c r="M259" s="373"/>
      <c r="N259" s="67">
        <f t="shared" si="30"/>
        <v>0</v>
      </c>
      <c r="O259" s="324"/>
    </row>
    <row r="260" ht="15.75" customHeight="1">
      <c r="A260" s="322"/>
      <c r="B260" s="348"/>
      <c r="C260" s="346"/>
      <c r="D260" s="373"/>
      <c r="E260" s="67">
        <f t="shared" si="29"/>
        <v>0</v>
      </c>
      <c r="F260" s="324"/>
      <c r="G260" s="324"/>
      <c r="H260" s="387"/>
      <c r="I260" s="388"/>
      <c r="J260" s="322"/>
      <c r="K260" s="348"/>
      <c r="L260" s="346"/>
      <c r="M260" s="373"/>
      <c r="N260" s="67">
        <f t="shared" si="30"/>
        <v>0</v>
      </c>
      <c r="O260" s="324"/>
    </row>
    <row r="261" ht="15.75" customHeight="1">
      <c r="A261" s="322"/>
      <c r="B261" s="348"/>
      <c r="C261" s="346"/>
      <c r="D261" s="373"/>
      <c r="E261" s="67">
        <f t="shared" si="29"/>
        <v>0</v>
      </c>
      <c r="F261" s="324"/>
      <c r="G261" s="324"/>
      <c r="H261" s="387"/>
      <c r="I261" s="388"/>
      <c r="J261" s="322"/>
      <c r="K261" s="348"/>
      <c r="L261" s="346"/>
      <c r="M261" s="373"/>
      <c r="N261" s="67">
        <f t="shared" si="30"/>
        <v>0</v>
      </c>
      <c r="O261" s="324"/>
    </row>
    <row r="262" ht="15.75" customHeight="1">
      <c r="A262" s="322"/>
      <c r="B262" s="354"/>
      <c r="C262" s="355"/>
      <c r="D262" s="356"/>
      <c r="E262" s="67">
        <f t="shared" si="29"/>
        <v>0</v>
      </c>
      <c r="F262" s="324"/>
      <c r="G262" s="324"/>
      <c r="H262" s="387"/>
      <c r="I262" s="388"/>
      <c r="J262" s="322"/>
      <c r="K262" s="354"/>
      <c r="L262" s="355"/>
      <c r="M262" s="356"/>
      <c r="N262" s="67">
        <f t="shared" si="30"/>
        <v>0</v>
      </c>
      <c r="O262" s="324"/>
    </row>
    <row r="263" ht="15.75" customHeight="1">
      <c r="A263" s="322"/>
      <c r="B263" s="362" t="s">
        <v>84</v>
      </c>
      <c r="C263" s="374"/>
      <c r="D263" s="374"/>
      <c r="E263" s="375">
        <f>IF(SUM(E253:E262)=0,"",SUM(E253:E262))</f>
        <v>42944.27248</v>
      </c>
      <c r="F263" s="324"/>
      <c r="G263" s="324"/>
      <c r="H263" s="387"/>
      <c r="I263" s="388"/>
      <c r="J263" s="322"/>
      <c r="K263" s="362" t="s">
        <v>84</v>
      </c>
      <c r="L263" s="374"/>
      <c r="M263" s="374"/>
      <c r="N263" s="375">
        <f>IF(SUM(N253:N262)=0,"",SUM(N253:N262))</f>
        <v>19490.95349</v>
      </c>
      <c r="O263" s="324"/>
    </row>
    <row r="264" ht="15.75" customHeight="1">
      <c r="A264" s="322"/>
      <c r="B264" s="360"/>
      <c r="C264" s="360"/>
      <c r="D264" s="360"/>
      <c r="E264" s="361"/>
      <c r="F264" s="324"/>
      <c r="G264" s="324"/>
      <c r="H264" s="387"/>
      <c r="I264" s="388"/>
      <c r="J264" s="322"/>
      <c r="K264" s="360"/>
      <c r="L264" s="360"/>
      <c r="M264" s="360"/>
      <c r="N264" s="361"/>
      <c r="O264" s="324"/>
    </row>
    <row r="265" ht="15.75" customHeight="1">
      <c r="A265" s="322"/>
      <c r="B265" s="34" t="s">
        <v>17</v>
      </c>
      <c r="C265" s="35"/>
      <c r="D265" s="35"/>
      <c r="E265" s="35"/>
      <c r="F265" s="324"/>
      <c r="G265" s="324"/>
      <c r="H265" s="387"/>
      <c r="I265" s="388"/>
      <c r="J265" s="322"/>
      <c r="K265" s="34" t="s">
        <v>17</v>
      </c>
      <c r="L265" s="35"/>
      <c r="M265" s="35"/>
      <c r="N265" s="35"/>
      <c r="O265" s="324"/>
    </row>
    <row r="266" ht="15.75" customHeight="1">
      <c r="A266" s="322"/>
      <c r="B266" s="52" t="s">
        <v>42</v>
      </c>
      <c r="C266" s="54"/>
      <c r="D266" s="54"/>
      <c r="E266" s="56" t="s">
        <v>35</v>
      </c>
      <c r="F266" s="324"/>
      <c r="G266" s="324"/>
      <c r="H266" s="387"/>
      <c r="I266" s="388"/>
      <c r="J266" s="322"/>
      <c r="K266" s="52" t="s">
        <v>42</v>
      </c>
      <c r="L266" s="54"/>
      <c r="M266" s="54"/>
      <c r="N266" s="56" t="s">
        <v>35</v>
      </c>
      <c r="O266" s="324"/>
    </row>
    <row r="267" ht="15.75" customHeight="1">
      <c r="A267" s="322"/>
      <c r="B267" s="60" t="s">
        <v>40</v>
      </c>
      <c r="C267" s="343">
        <f>'UTL COST'!$B$3</f>
        <v>369000</v>
      </c>
      <c r="D267" s="379">
        <f>'UTL COST'!$C$3</f>
        <v>0.0075</v>
      </c>
      <c r="E267" s="67">
        <v>0.0</v>
      </c>
      <c r="F267" s="324"/>
      <c r="G267" s="324"/>
      <c r="H267" s="387"/>
      <c r="I267" s="388"/>
      <c r="J267" s="322"/>
      <c r="K267" s="60" t="s">
        <v>40</v>
      </c>
      <c r="L267" s="343">
        <f>'UTL COST'!$B$3</f>
        <v>369000</v>
      </c>
      <c r="M267" s="379">
        <f>'UTL COST'!$C$3</f>
        <v>0.0075</v>
      </c>
      <c r="N267" s="67">
        <v>0.0</v>
      </c>
      <c r="O267" s="324"/>
    </row>
    <row r="268" ht="15.75" customHeight="1">
      <c r="A268" s="322"/>
      <c r="B268" s="75" t="str">
        <f>'UTL COST'!$A$7</f>
        <v>Gas Pizza</v>
      </c>
      <c r="C268" s="371" t="str">
        <f>'UTL COST'!$B$7</f>
        <v>#REF!</v>
      </c>
      <c r="D268" s="409">
        <f>'UTL COST'!$C$7</f>
        <v>450</v>
      </c>
      <c r="E268" s="76" t="str">
        <f>'UTL COST'!$D$7</f>
        <v>#REF!</v>
      </c>
      <c r="F268" s="324"/>
      <c r="G268" s="324"/>
      <c r="H268" s="387"/>
      <c r="I268" s="388"/>
      <c r="J268" s="322"/>
      <c r="K268" s="75" t="str">
        <f>'UTL COST'!$A$7</f>
        <v>Gas Pizza</v>
      </c>
      <c r="L268" s="371" t="str">
        <f>'UTL COST'!$B$7</f>
        <v>#REF!</v>
      </c>
      <c r="M268" s="409">
        <f>'UTL COST'!$C$7</f>
        <v>450</v>
      </c>
      <c r="N268" s="76" t="str">
        <f>'UTL COST'!$D$7</f>
        <v>#REF!</v>
      </c>
      <c r="O268" s="324"/>
    </row>
    <row r="269" ht="15.75" customHeight="1">
      <c r="A269" s="322"/>
      <c r="B269" s="75" t="s">
        <v>59</v>
      </c>
      <c r="C269" s="371" t="str">
        <f>'UTL COST'!$B$5</f>
        <v>#REF!</v>
      </c>
      <c r="D269" s="382">
        <f>'UTL COST'!$C$5</f>
        <v>45000</v>
      </c>
      <c r="E269" s="76" t="str">
        <f>'UTL COST'!$D$5</f>
        <v>#REF!</v>
      </c>
      <c r="F269" s="324"/>
      <c r="G269" s="324"/>
      <c r="H269" s="387"/>
      <c r="I269" s="388"/>
      <c r="J269" s="322"/>
      <c r="K269" s="75" t="s">
        <v>59</v>
      </c>
      <c r="L269" s="371" t="str">
        <f>'UTL COST'!$B$5</f>
        <v>#REF!</v>
      </c>
      <c r="M269" s="382">
        <f>'UTL COST'!$C$5</f>
        <v>45000</v>
      </c>
      <c r="N269" s="76" t="str">
        <f>'UTL COST'!$D$5</f>
        <v>#REF!</v>
      </c>
      <c r="O269" s="324"/>
    </row>
    <row r="270" ht="15.75" customHeight="1">
      <c r="A270" s="322"/>
      <c r="B270" s="87" t="s">
        <v>78</v>
      </c>
      <c r="C270" s="371" t="str">
        <f>'UTL COST'!$B$6</f>
        <v>#REF!</v>
      </c>
      <c r="D270" s="383">
        <f>'UTL COST'!$C$6</f>
        <v>525</v>
      </c>
      <c r="E270" s="89" t="str">
        <f>E134</f>
        <v/>
      </c>
      <c r="F270" s="324"/>
      <c r="G270" s="324"/>
      <c r="H270" s="387"/>
      <c r="I270" s="388"/>
      <c r="J270" s="322"/>
      <c r="K270" s="87" t="s">
        <v>78</v>
      </c>
      <c r="L270" s="371" t="str">
        <f>'UTL COST'!$B$6</f>
        <v>#REF!</v>
      </c>
      <c r="M270" s="383">
        <f>'UTL COST'!$C$6</f>
        <v>525</v>
      </c>
      <c r="N270" s="89" t="str">
        <f>E134</f>
        <v/>
      </c>
      <c r="O270" s="324"/>
    </row>
    <row r="271" ht="15.75" customHeight="1">
      <c r="A271" s="322"/>
      <c r="B271" s="34" t="s">
        <v>84</v>
      </c>
      <c r="C271" s="102"/>
      <c r="D271" s="102"/>
      <c r="E271" s="104" t="str">
        <f>IF(SUM(E267:E270)=0,"",SUM(E267:E270))</f>
        <v>#REF!</v>
      </c>
      <c r="F271" s="324"/>
      <c r="G271" s="324"/>
      <c r="H271" s="387"/>
      <c r="I271" s="388"/>
      <c r="J271" s="322"/>
      <c r="K271" s="34" t="s">
        <v>84</v>
      </c>
      <c r="L271" s="102"/>
      <c r="M271" s="102"/>
      <c r="N271" s="104" t="str">
        <f>IF(SUM(N267:N270)=0,"",SUM(N267:N270))</f>
        <v>#REF!</v>
      </c>
      <c r="O271" s="324"/>
    </row>
    <row r="272" ht="15.75" customHeight="1">
      <c r="A272" s="322"/>
      <c r="B272" s="360"/>
      <c r="C272" s="360"/>
      <c r="D272" s="360"/>
      <c r="E272" s="361"/>
      <c r="F272" s="324"/>
      <c r="G272" s="324"/>
      <c r="H272" s="387"/>
      <c r="I272" s="388"/>
      <c r="J272" s="322"/>
      <c r="K272" s="360"/>
      <c r="L272" s="360"/>
      <c r="M272" s="360"/>
      <c r="N272" s="361"/>
      <c r="O272" s="324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5">
    <mergeCell ref="L52:M52"/>
    <mergeCell ref="L54:M54"/>
    <mergeCell ref="L56:M56"/>
    <mergeCell ref="L58:M58"/>
    <mergeCell ref="K69:K70"/>
    <mergeCell ref="N69:N70"/>
    <mergeCell ref="L95:M95"/>
    <mergeCell ref="L97:M97"/>
    <mergeCell ref="L99:M99"/>
    <mergeCell ref="L101:M101"/>
    <mergeCell ref="L103:M103"/>
    <mergeCell ref="K114:K115"/>
    <mergeCell ref="N114:N115"/>
    <mergeCell ref="L142:M142"/>
    <mergeCell ref="L189:M189"/>
    <mergeCell ref="L191:M191"/>
    <mergeCell ref="L144:M144"/>
    <mergeCell ref="L146:M146"/>
    <mergeCell ref="L148:M148"/>
    <mergeCell ref="L150:M150"/>
    <mergeCell ref="K161:K162"/>
    <mergeCell ref="N161:N162"/>
    <mergeCell ref="L187:M187"/>
    <mergeCell ref="C95:D95"/>
    <mergeCell ref="C97:D97"/>
    <mergeCell ref="C99:D99"/>
    <mergeCell ref="C101:D101"/>
    <mergeCell ref="C103:D103"/>
    <mergeCell ref="B114:B115"/>
    <mergeCell ref="E114:E115"/>
    <mergeCell ref="C142:D142"/>
    <mergeCell ref="C144:D144"/>
    <mergeCell ref="C146:D146"/>
    <mergeCell ref="C148:D148"/>
    <mergeCell ref="C150:D150"/>
    <mergeCell ref="B161:B162"/>
    <mergeCell ref="E161:E162"/>
    <mergeCell ref="L10:M10"/>
    <mergeCell ref="L12:M12"/>
    <mergeCell ref="A1:F1"/>
    <mergeCell ref="C6:D6"/>
    <mergeCell ref="L6:M6"/>
    <mergeCell ref="C8:D8"/>
    <mergeCell ref="L8:M8"/>
    <mergeCell ref="C10:D10"/>
    <mergeCell ref="C12:D12"/>
    <mergeCell ref="C14:D14"/>
    <mergeCell ref="L14:M14"/>
    <mergeCell ref="B25:B26"/>
    <mergeCell ref="E25:E26"/>
    <mergeCell ref="K25:K26"/>
    <mergeCell ref="N25:N26"/>
    <mergeCell ref="L50:M50"/>
    <mergeCell ref="C50:D50"/>
    <mergeCell ref="C52:D52"/>
    <mergeCell ref="C54:D54"/>
    <mergeCell ref="C56:D56"/>
    <mergeCell ref="C58:D58"/>
    <mergeCell ref="B69:B70"/>
    <mergeCell ref="E69:E70"/>
    <mergeCell ref="C187:D187"/>
    <mergeCell ref="C189:D189"/>
    <mergeCell ref="C191:D191"/>
    <mergeCell ref="C193:D193"/>
    <mergeCell ref="L193:M193"/>
    <mergeCell ref="C195:D195"/>
    <mergeCell ref="L195:M195"/>
    <mergeCell ref="C232:D232"/>
    <mergeCell ref="C234:D234"/>
    <mergeCell ref="C236:D236"/>
    <mergeCell ref="C238:D238"/>
    <mergeCell ref="C240:D240"/>
    <mergeCell ref="B251:B252"/>
    <mergeCell ref="E251:E252"/>
    <mergeCell ref="L238:M238"/>
    <mergeCell ref="L240:M240"/>
    <mergeCell ref="K251:K252"/>
    <mergeCell ref="N251:N252"/>
    <mergeCell ref="B206:B207"/>
    <mergeCell ref="E206:E207"/>
    <mergeCell ref="K206:K207"/>
    <mergeCell ref="N206:N207"/>
    <mergeCell ref="L232:M232"/>
    <mergeCell ref="L234:M234"/>
    <mergeCell ref="L236:M236"/>
  </mergeCells>
  <printOptions/>
  <pageMargins bottom="0.75" footer="0.0" header="0.0" left="0.7" right="0.7" top="0.75"/>
  <pageSetup orientation="portrait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0"/>
    <col customWidth="1" min="4" max="4" width="11.88"/>
    <col customWidth="1" min="5" max="5" width="12.63"/>
    <col customWidth="1" min="6" max="7" width="3.0"/>
    <col customWidth="1" min="8" max="10" width="7.75"/>
    <col customWidth="1" min="11" max="11" width="24.38"/>
    <col customWidth="1" min="12" max="12" width="12.0"/>
    <col customWidth="1" min="13" max="13" width="11.13"/>
    <col customWidth="1" min="14" max="14" width="10.88"/>
    <col customWidth="1" min="15" max="16" width="7.75"/>
    <col customWidth="1" min="17" max="26" width="14.38"/>
  </cols>
  <sheetData>
    <row r="1" ht="46.5" customHeight="1">
      <c r="A1" s="399" t="s">
        <v>1105</v>
      </c>
      <c r="B1" s="321"/>
      <c r="C1" s="321"/>
      <c r="D1" s="321"/>
      <c r="E1" s="321"/>
      <c r="F1" s="321"/>
      <c r="G1" s="402"/>
      <c r="H1" s="387"/>
      <c r="I1" s="387"/>
      <c r="J1" s="387"/>
      <c r="K1" s="387"/>
      <c r="L1" s="387"/>
      <c r="M1" s="387"/>
      <c r="N1" s="387"/>
      <c r="O1" s="387"/>
      <c r="P1" s="387"/>
    </row>
    <row r="2" ht="18.0" customHeight="1">
      <c r="A2" s="388"/>
      <c r="B2" s="388"/>
      <c r="C2" s="388"/>
      <c r="D2" s="388"/>
      <c r="E2" s="389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</row>
    <row r="3" ht="6.75" customHeight="1">
      <c r="A3" s="388"/>
      <c r="B3" s="388"/>
      <c r="C3" s="388"/>
      <c r="D3" s="388"/>
      <c r="E3" s="389"/>
      <c r="F3" s="387"/>
      <c r="G3" s="387"/>
      <c r="H3" s="387"/>
      <c r="I3" s="387"/>
      <c r="J3" s="387"/>
      <c r="K3" s="387"/>
      <c r="L3" s="387"/>
      <c r="M3" s="387"/>
      <c r="N3" s="387"/>
      <c r="O3" s="387"/>
      <c r="P3" s="387"/>
    </row>
    <row r="4" ht="15.0" customHeight="1">
      <c r="A4" s="322"/>
      <c r="B4" s="322"/>
      <c r="C4" s="322"/>
      <c r="D4" s="322"/>
      <c r="E4" s="323"/>
      <c r="F4" s="324"/>
      <c r="G4" s="324"/>
      <c r="H4" s="387"/>
      <c r="I4" s="388"/>
      <c r="J4" s="322"/>
      <c r="K4" s="322"/>
      <c r="L4" s="322"/>
      <c r="M4" s="322"/>
      <c r="N4" s="323"/>
      <c r="O4" s="324"/>
      <c r="P4" s="387"/>
    </row>
    <row r="5" ht="4.5" customHeight="1">
      <c r="A5" s="322"/>
      <c r="B5" s="325"/>
      <c r="C5" s="322"/>
      <c r="D5" s="322"/>
      <c r="E5" s="323"/>
      <c r="F5" s="326"/>
      <c r="G5" s="326"/>
      <c r="H5" s="404"/>
      <c r="I5" s="388"/>
      <c r="J5" s="322"/>
      <c r="K5" s="325"/>
      <c r="L5" s="322"/>
      <c r="M5" s="322"/>
      <c r="N5" s="323"/>
      <c r="O5" s="326"/>
      <c r="P5" s="387"/>
    </row>
    <row r="6" ht="18.0" customHeight="1">
      <c r="A6" s="322"/>
      <c r="B6" s="327" t="s">
        <v>931</v>
      </c>
      <c r="C6" s="328" t="s">
        <v>194</v>
      </c>
      <c r="D6" s="329"/>
      <c r="E6" s="323"/>
      <c r="F6" s="326"/>
      <c r="G6" s="326"/>
      <c r="H6" s="404"/>
      <c r="I6" s="388"/>
      <c r="J6" s="322"/>
      <c r="K6" s="327" t="s">
        <v>931</v>
      </c>
      <c r="L6" s="328" t="s">
        <v>217</v>
      </c>
      <c r="M6" s="329"/>
      <c r="N6" s="323"/>
      <c r="O6" s="326"/>
      <c r="P6" s="387"/>
    </row>
    <row r="7" ht="4.5" customHeight="1">
      <c r="A7" s="322"/>
      <c r="B7" s="325"/>
      <c r="C7" s="322"/>
      <c r="D7" s="322"/>
      <c r="E7" s="323"/>
      <c r="F7" s="326"/>
      <c r="G7" s="326"/>
      <c r="H7" s="404"/>
      <c r="I7" s="388"/>
      <c r="J7" s="322"/>
      <c r="K7" s="325"/>
      <c r="L7" s="322"/>
      <c r="M7" s="322"/>
      <c r="N7" s="323"/>
      <c r="O7" s="326"/>
      <c r="P7" s="387"/>
    </row>
    <row r="8" ht="18.0" customHeight="1">
      <c r="A8" s="322"/>
      <c r="B8" s="327" t="s">
        <v>935</v>
      </c>
      <c r="C8" s="331">
        <v>140000.0</v>
      </c>
      <c r="D8" s="329"/>
      <c r="E8" s="323"/>
      <c r="F8" s="326"/>
      <c r="G8" s="326"/>
      <c r="H8" s="404"/>
      <c r="I8" s="388"/>
      <c r="J8" s="322"/>
      <c r="K8" s="327" t="s">
        <v>935</v>
      </c>
      <c r="L8" s="331">
        <v>140000.0</v>
      </c>
      <c r="M8" s="329"/>
      <c r="N8" s="323"/>
      <c r="O8" s="326"/>
      <c r="P8" s="387"/>
    </row>
    <row r="9" ht="4.5" customHeight="1">
      <c r="A9" s="322"/>
      <c r="B9" s="327"/>
      <c r="C9" s="332"/>
      <c r="D9" s="332"/>
      <c r="E9" s="323"/>
      <c r="F9" s="326"/>
      <c r="G9" s="326"/>
      <c r="H9" s="404"/>
      <c r="I9" s="388"/>
      <c r="J9" s="322"/>
      <c r="K9" s="327"/>
      <c r="L9" s="332"/>
      <c r="M9" s="332"/>
      <c r="N9" s="323"/>
      <c r="O9" s="326"/>
      <c r="P9" s="387"/>
    </row>
    <row r="10" ht="18.0" customHeight="1">
      <c r="A10" s="322"/>
      <c r="B10" s="327" t="s">
        <v>939</v>
      </c>
      <c r="C10" s="333" t="str">
        <f>IF(SUM(E22,E37,E45)=0,"",SUM(E22,E37,E45))</f>
        <v>#REF!</v>
      </c>
      <c r="D10" s="321"/>
      <c r="E10" s="323" t="str">
        <f>C10/90000</f>
        <v>#REF!</v>
      </c>
      <c r="F10" s="326"/>
      <c r="G10" s="326"/>
      <c r="H10" s="404"/>
      <c r="I10" s="388"/>
      <c r="J10" s="322"/>
      <c r="K10" s="327" t="s">
        <v>939</v>
      </c>
      <c r="L10" s="333" t="str">
        <f>IF(SUM(N22,N37,N45)=0,"",SUM(N22,N37,N45))</f>
        <v>#REF!</v>
      </c>
      <c r="M10" s="321"/>
      <c r="N10" s="323"/>
      <c r="O10" s="326"/>
      <c r="P10" s="387"/>
    </row>
    <row r="11" ht="4.5" customHeight="1">
      <c r="A11" s="322"/>
      <c r="B11" s="327"/>
      <c r="C11" s="334"/>
      <c r="D11" s="334"/>
      <c r="E11" s="323"/>
      <c r="F11" s="326"/>
      <c r="G11" s="326"/>
      <c r="H11" s="404"/>
      <c r="I11" s="388"/>
      <c r="J11" s="322"/>
      <c r="K11" s="327"/>
      <c r="L11" s="334"/>
      <c r="M11" s="334"/>
      <c r="N11" s="323"/>
      <c r="O11" s="326"/>
      <c r="P11" s="387"/>
    </row>
    <row r="12" ht="18.0" customHeight="1">
      <c r="A12" s="322"/>
      <c r="B12" s="327" t="s">
        <v>946</v>
      </c>
      <c r="C12" s="335" t="str">
        <f>IF(C10="","",IF(ISBLANK(C8),"",C10/C8))</f>
        <v>#REF!</v>
      </c>
      <c r="D12" s="321"/>
      <c r="E12" s="323"/>
      <c r="F12" s="326"/>
      <c r="G12" s="326"/>
      <c r="H12" s="404"/>
      <c r="I12" s="388"/>
      <c r="J12" s="322"/>
      <c r="K12" s="327" t="s">
        <v>946</v>
      </c>
      <c r="L12" s="335" t="str">
        <f>IF(L10="","",IF(ISBLANK(L8),"",L10/L8))</f>
        <v>#REF!</v>
      </c>
      <c r="M12" s="321"/>
      <c r="N12" s="323"/>
      <c r="O12" s="326"/>
      <c r="P12" s="387"/>
    </row>
    <row r="13" ht="4.5" customHeight="1">
      <c r="A13" s="322"/>
      <c r="B13" s="327"/>
      <c r="C13" s="334"/>
      <c r="D13" s="334"/>
      <c r="E13" s="323"/>
      <c r="F13" s="326"/>
      <c r="G13" s="326"/>
      <c r="H13" s="404"/>
      <c r="I13" s="388"/>
      <c r="J13" s="322"/>
      <c r="K13" s="327"/>
      <c r="L13" s="334"/>
      <c r="M13" s="334"/>
      <c r="N13" s="323"/>
      <c r="O13" s="326"/>
      <c r="P13" s="387"/>
    </row>
    <row r="14" ht="18.0" customHeight="1">
      <c r="A14" s="322"/>
      <c r="B14" s="327" t="s">
        <v>950</v>
      </c>
      <c r="C14" s="333" t="str">
        <f>C8-C10</f>
        <v>#REF!</v>
      </c>
      <c r="D14" s="321"/>
      <c r="E14" s="323"/>
      <c r="F14" s="326"/>
      <c r="G14" s="326"/>
      <c r="H14" s="404"/>
      <c r="I14" s="388"/>
      <c r="J14" s="322"/>
      <c r="K14" s="327" t="s">
        <v>950</v>
      </c>
      <c r="L14" s="333" t="str">
        <f>L8-L10</f>
        <v>#REF!</v>
      </c>
      <c r="M14" s="321"/>
      <c r="N14" s="323"/>
      <c r="O14" s="326"/>
      <c r="P14" s="387"/>
    </row>
    <row r="15" ht="15.0" customHeight="1">
      <c r="A15" s="322"/>
      <c r="B15" s="322"/>
      <c r="C15" s="322"/>
      <c r="D15" s="322"/>
      <c r="E15" s="323"/>
      <c r="F15" s="324"/>
      <c r="G15" s="324"/>
      <c r="H15" s="404"/>
      <c r="I15" s="388"/>
      <c r="J15" s="322"/>
      <c r="K15" s="322"/>
      <c r="L15" s="322"/>
      <c r="M15" s="322"/>
      <c r="N15" s="323"/>
      <c r="O15" s="324"/>
      <c r="P15" s="387"/>
    </row>
    <row r="16" ht="12.75" customHeight="1">
      <c r="A16" s="322"/>
      <c r="B16" s="322"/>
      <c r="C16" s="322"/>
      <c r="D16" s="322"/>
      <c r="E16" s="337"/>
      <c r="F16" s="324"/>
      <c r="G16" s="324"/>
      <c r="H16" s="387"/>
      <c r="I16" s="388"/>
      <c r="J16" s="322"/>
      <c r="K16" s="322"/>
      <c r="L16" s="322"/>
      <c r="M16" s="322"/>
      <c r="N16" s="337"/>
      <c r="O16" s="324"/>
      <c r="P16" s="387"/>
    </row>
    <row r="17" ht="12.75" customHeight="1">
      <c r="A17" s="322"/>
      <c r="B17" s="338" t="s">
        <v>951</v>
      </c>
      <c r="C17" s="339"/>
      <c r="D17" s="339"/>
      <c r="E17" s="339"/>
      <c r="F17" s="324"/>
      <c r="G17" s="324"/>
      <c r="H17" s="410"/>
      <c r="I17" s="388"/>
      <c r="J17" s="322"/>
      <c r="K17" s="338" t="s">
        <v>951</v>
      </c>
      <c r="L17" s="339"/>
      <c r="M17" s="339"/>
      <c r="N17" s="339"/>
      <c r="O17" s="324"/>
      <c r="P17" s="387"/>
    </row>
    <row r="18" ht="12.75" customHeight="1">
      <c r="A18" s="322"/>
      <c r="B18" s="340" t="s">
        <v>953</v>
      </c>
      <c r="C18" s="341" t="s">
        <v>954</v>
      </c>
      <c r="D18" s="341" t="s">
        <v>955</v>
      </c>
      <c r="E18" s="341" t="s">
        <v>35</v>
      </c>
      <c r="F18" s="324"/>
      <c r="G18" s="324"/>
      <c r="H18" s="387"/>
      <c r="I18" s="388"/>
      <c r="J18" s="322"/>
      <c r="K18" s="340" t="s">
        <v>953</v>
      </c>
      <c r="L18" s="341" t="s">
        <v>954</v>
      </c>
      <c r="M18" s="341" t="s">
        <v>955</v>
      </c>
      <c r="N18" s="341" t="s">
        <v>35</v>
      </c>
      <c r="O18" s="324"/>
      <c r="P18" s="387"/>
    </row>
    <row r="19" ht="12.75" customHeight="1">
      <c r="A19" s="322"/>
      <c r="B19" s="60" t="s">
        <v>60</v>
      </c>
      <c r="C19" s="342">
        <v>0.02</v>
      </c>
      <c r="D19" s="343">
        <f>'F&amp;B'!$F$103</f>
        <v>148500</v>
      </c>
      <c r="E19" s="67">
        <f t="shared" ref="E19:E21" si="1">IF(OR(ISBLANK(C19),ISBLANK(D19)),"",D19*C19)</f>
        <v>2970</v>
      </c>
      <c r="F19" s="324"/>
      <c r="G19" s="324"/>
      <c r="H19" s="387"/>
      <c r="I19" s="388"/>
      <c r="J19" s="322"/>
      <c r="K19" s="60" t="s">
        <v>1108</v>
      </c>
      <c r="L19" s="342">
        <v>0.07</v>
      </c>
      <c r="M19" s="343">
        <f>'F&amp;B'!$F$86</f>
        <v>44550</v>
      </c>
      <c r="N19" s="67">
        <f t="shared" ref="N19:N21" si="2">IF(OR(ISBLANK(L19),ISBLANK(M19)),"",M19*L19)</f>
        <v>3118.5</v>
      </c>
      <c r="O19" s="324"/>
      <c r="P19" s="387"/>
    </row>
    <row r="20" ht="12.75" customHeight="1">
      <c r="A20" s="322"/>
      <c r="B20" s="75" t="s">
        <v>1109</v>
      </c>
      <c r="C20" s="370">
        <v>1.0</v>
      </c>
      <c r="D20" s="371">
        <f>SAUCES!$L$133</f>
        <v>1303.660727</v>
      </c>
      <c r="E20" s="67">
        <f t="shared" si="1"/>
        <v>1303.660727</v>
      </c>
      <c r="F20" s="324"/>
      <c r="G20" s="324"/>
      <c r="H20" s="387"/>
      <c r="I20" s="388"/>
      <c r="J20" s="322"/>
      <c r="K20" s="75" t="s">
        <v>1109</v>
      </c>
      <c r="L20" s="370">
        <v>1.0</v>
      </c>
      <c r="M20" s="371">
        <f>D20</f>
        <v>1303.660727</v>
      </c>
      <c r="N20" s="67">
        <f t="shared" si="2"/>
        <v>1303.660727</v>
      </c>
      <c r="O20" s="324"/>
      <c r="P20" s="387"/>
    </row>
    <row r="21" ht="12.75" customHeight="1">
      <c r="A21" s="322"/>
      <c r="B21" s="354"/>
      <c r="C21" s="355"/>
      <c r="D21" s="356"/>
      <c r="E21" s="67" t="str">
        <f t="shared" si="1"/>
        <v/>
      </c>
      <c r="F21" s="324"/>
      <c r="G21" s="324"/>
      <c r="H21" s="387"/>
      <c r="I21" s="388"/>
      <c r="J21" s="322"/>
      <c r="K21" s="354"/>
      <c r="L21" s="355"/>
      <c r="M21" s="356"/>
      <c r="N21" s="357" t="str">
        <f t="shared" si="2"/>
        <v/>
      </c>
      <c r="O21" s="324"/>
      <c r="P21" s="387"/>
    </row>
    <row r="22" ht="12.75" customHeight="1">
      <c r="A22" s="322"/>
      <c r="B22" s="338" t="s">
        <v>84</v>
      </c>
      <c r="C22" s="358"/>
      <c r="D22" s="358"/>
      <c r="E22" s="359">
        <f>IF(SUM(E19:E21)=0,"",SUM(E19:E21))</f>
        <v>4273.660727</v>
      </c>
      <c r="F22" s="324"/>
      <c r="G22" s="324"/>
      <c r="H22" s="387"/>
      <c r="I22" s="388"/>
      <c r="J22" s="322"/>
      <c r="K22" s="338" t="s">
        <v>84</v>
      </c>
      <c r="L22" s="358"/>
      <c r="M22" s="358"/>
      <c r="N22" s="359">
        <f>IF(SUM(N19:N21)=0,"",SUM(N19:N21))</f>
        <v>4422.160727</v>
      </c>
      <c r="O22" s="324"/>
      <c r="P22" s="387"/>
    </row>
    <row r="23" ht="12.75" customHeight="1">
      <c r="A23" s="322"/>
      <c r="B23" s="360"/>
      <c r="C23" s="360"/>
      <c r="D23" s="360"/>
      <c r="E23" s="361"/>
      <c r="F23" s="324"/>
      <c r="G23" s="324"/>
      <c r="H23" s="387"/>
      <c r="I23" s="388"/>
      <c r="J23" s="322"/>
      <c r="K23" s="360"/>
      <c r="L23" s="360"/>
      <c r="M23" s="360"/>
      <c r="N23" s="361"/>
      <c r="O23" s="324"/>
      <c r="P23" s="387"/>
    </row>
    <row r="24" ht="12.75" customHeight="1">
      <c r="A24" s="322"/>
      <c r="B24" s="362" t="s">
        <v>972</v>
      </c>
      <c r="C24" s="363"/>
      <c r="D24" s="363"/>
      <c r="E24" s="363"/>
      <c r="F24" s="324"/>
      <c r="G24" s="324"/>
      <c r="H24" s="387"/>
      <c r="I24" s="388"/>
      <c r="J24" s="322"/>
      <c r="K24" s="362" t="s">
        <v>972</v>
      </c>
      <c r="L24" s="363"/>
      <c r="M24" s="363"/>
      <c r="N24" s="363"/>
      <c r="O24" s="324"/>
      <c r="P24" s="387"/>
    </row>
    <row r="25" ht="12.75" customHeight="1">
      <c r="A25" s="322"/>
      <c r="B25" s="365" t="s">
        <v>953</v>
      </c>
      <c r="C25" s="366" t="s">
        <v>3</v>
      </c>
      <c r="D25" s="366" t="s">
        <v>975</v>
      </c>
      <c r="E25" s="367" t="s">
        <v>35</v>
      </c>
      <c r="F25" s="324"/>
      <c r="G25" s="324"/>
      <c r="H25" s="387"/>
      <c r="I25" s="388"/>
      <c r="J25" s="322"/>
      <c r="K25" s="365" t="s">
        <v>953</v>
      </c>
      <c r="L25" s="366" t="s">
        <v>3</v>
      </c>
      <c r="M25" s="366" t="s">
        <v>975</v>
      </c>
      <c r="N25" s="367" t="s">
        <v>35</v>
      </c>
      <c r="O25" s="324"/>
      <c r="P25" s="387"/>
    </row>
    <row r="26" ht="12.75" customHeight="1">
      <c r="A26" s="322"/>
      <c r="B26" s="368"/>
      <c r="C26" s="366"/>
      <c r="D26" s="366"/>
      <c r="E26" s="368"/>
      <c r="F26" s="324"/>
      <c r="G26" s="324"/>
      <c r="H26" s="387"/>
      <c r="I26" s="388"/>
      <c r="J26" s="322"/>
      <c r="K26" s="368"/>
      <c r="L26" s="366"/>
      <c r="M26" s="366"/>
      <c r="N26" s="368"/>
      <c r="O26" s="324"/>
      <c r="P26" s="387"/>
    </row>
    <row r="27" ht="12.75" customHeight="1">
      <c r="A27" s="322"/>
      <c r="B27" s="60" t="s">
        <v>1098</v>
      </c>
      <c r="C27" s="342">
        <v>1.0</v>
      </c>
      <c r="D27" s="343">
        <f>'F&amp;B'!$F$280</f>
        <v>2970</v>
      </c>
      <c r="E27" s="67">
        <f t="shared" ref="E27:E36" si="3">D27*C27</f>
        <v>2970</v>
      </c>
      <c r="F27" s="324"/>
      <c r="G27" s="324"/>
      <c r="H27" s="387"/>
      <c r="I27" s="388"/>
      <c r="J27" s="322"/>
      <c r="K27" s="60" t="s">
        <v>1000</v>
      </c>
      <c r="L27" s="342">
        <v>1.0</v>
      </c>
      <c r="M27" s="343">
        <f>'F&amp;B'!$F$277</f>
        <v>13500</v>
      </c>
      <c r="N27" s="67">
        <f t="shared" ref="N27:N34" si="4">M27*L27</f>
        <v>13500</v>
      </c>
      <c r="O27" s="324"/>
      <c r="P27" s="387"/>
    </row>
    <row r="28" ht="12.75" customHeight="1">
      <c r="A28" s="322"/>
      <c r="B28" s="75" t="s">
        <v>1033</v>
      </c>
      <c r="C28" s="370">
        <v>0.05</v>
      </c>
      <c r="D28" s="371">
        <f>'F&amp;B'!$F$278</f>
        <v>103500</v>
      </c>
      <c r="E28" s="67">
        <f t="shared" si="3"/>
        <v>5175</v>
      </c>
      <c r="F28" s="324"/>
      <c r="G28" s="324"/>
      <c r="H28" s="387"/>
      <c r="I28" s="388"/>
      <c r="J28" s="322"/>
      <c r="K28" s="75" t="s">
        <v>173</v>
      </c>
      <c r="L28" s="370">
        <v>0.03</v>
      </c>
      <c r="M28" s="371">
        <f>'F&amp;B'!$F$279</f>
        <v>7200</v>
      </c>
      <c r="N28" s="67">
        <f t="shared" si="4"/>
        <v>216</v>
      </c>
      <c r="O28" s="324"/>
      <c r="P28" s="387"/>
    </row>
    <row r="29" ht="12.75" customHeight="1">
      <c r="A29" s="322"/>
      <c r="B29" s="75" t="s">
        <v>273</v>
      </c>
      <c r="C29" s="370">
        <v>0.03</v>
      </c>
      <c r="D29" s="371">
        <f>'F&amp;B'!$F$283</f>
        <v>9000</v>
      </c>
      <c r="E29" s="67">
        <f t="shared" si="3"/>
        <v>270</v>
      </c>
      <c r="F29" s="324"/>
      <c r="G29" s="324"/>
      <c r="H29" s="387"/>
      <c r="I29" s="388"/>
      <c r="J29" s="322"/>
      <c r="K29" s="75" t="s">
        <v>1061</v>
      </c>
      <c r="L29" s="370">
        <v>0.12</v>
      </c>
      <c r="M29" s="371">
        <f>'F&amp;B'!$F$284</f>
        <v>7200</v>
      </c>
      <c r="N29" s="67">
        <f t="shared" si="4"/>
        <v>864</v>
      </c>
      <c r="O29" s="324"/>
      <c r="P29" s="387"/>
    </row>
    <row r="30" ht="12.75" customHeight="1">
      <c r="A30" s="322"/>
      <c r="B30" s="75" t="s">
        <v>769</v>
      </c>
      <c r="C30" s="346">
        <v>0.06</v>
      </c>
      <c r="D30" s="371">
        <f>SAUCES!$D$36</f>
        <v>21446.56361</v>
      </c>
      <c r="E30" s="67">
        <f t="shared" si="3"/>
        <v>1286.793816</v>
      </c>
      <c r="F30" s="324"/>
      <c r="G30" s="324"/>
      <c r="H30" s="387"/>
      <c r="I30" s="388"/>
      <c r="J30" s="322"/>
      <c r="K30" s="75" t="s">
        <v>1070</v>
      </c>
      <c r="L30" s="370">
        <v>0.02</v>
      </c>
      <c r="M30" s="371">
        <f>'F&amp;B'!$F$44/17</f>
        <v>13764.70588</v>
      </c>
      <c r="N30" s="67">
        <f t="shared" si="4"/>
        <v>275.2941176</v>
      </c>
      <c r="O30" s="324"/>
      <c r="P30" s="387"/>
    </row>
    <row r="31" ht="12.75" customHeight="1">
      <c r="A31" s="322"/>
      <c r="B31" s="75" t="s">
        <v>1113</v>
      </c>
      <c r="C31" s="370">
        <v>0.02</v>
      </c>
      <c r="D31" s="371">
        <f>'F&amp;B'!$F$146</f>
        <v>65250</v>
      </c>
      <c r="E31" s="67">
        <f t="shared" si="3"/>
        <v>1305</v>
      </c>
      <c r="F31" s="324"/>
      <c r="G31" s="324"/>
      <c r="H31" s="387"/>
      <c r="I31" s="388"/>
      <c r="J31" s="322"/>
      <c r="K31" s="75" t="s">
        <v>569</v>
      </c>
      <c r="L31" s="370">
        <v>0.001</v>
      </c>
      <c r="M31" s="371">
        <f>'F&amp;B'!$F$167</f>
        <v>37800</v>
      </c>
      <c r="N31" s="67">
        <f t="shared" si="4"/>
        <v>37.8</v>
      </c>
      <c r="O31" s="324"/>
      <c r="P31" s="387"/>
    </row>
    <row r="32" ht="12.75" customHeight="1">
      <c r="A32" s="322"/>
      <c r="B32" s="75" t="s">
        <v>1114</v>
      </c>
      <c r="C32" s="346">
        <v>0.01</v>
      </c>
      <c r="D32" s="371">
        <f>'F&amp;B'!$F$300</f>
        <v>13500</v>
      </c>
      <c r="E32" s="67">
        <f t="shared" si="3"/>
        <v>135</v>
      </c>
      <c r="F32" s="324"/>
      <c r="G32" s="324"/>
      <c r="H32" s="387"/>
      <c r="I32" s="388"/>
      <c r="J32" s="322"/>
      <c r="K32" s="75" t="s">
        <v>1115</v>
      </c>
      <c r="L32" s="370">
        <v>0.05</v>
      </c>
      <c r="M32" s="371">
        <f>D27</f>
        <v>2970</v>
      </c>
      <c r="N32" s="67">
        <f t="shared" si="4"/>
        <v>148.5</v>
      </c>
      <c r="O32" s="324"/>
      <c r="P32" s="387"/>
    </row>
    <row r="33" ht="12.75" customHeight="1">
      <c r="A33" s="322"/>
      <c r="B33" s="348"/>
      <c r="C33" s="346"/>
      <c r="D33" s="373"/>
      <c r="E33" s="67">
        <f t="shared" si="3"/>
        <v>0</v>
      </c>
      <c r="F33" s="324"/>
      <c r="G33" s="324"/>
      <c r="H33" s="387"/>
      <c r="I33" s="388"/>
      <c r="J33" s="322"/>
      <c r="K33" s="75" t="s">
        <v>1078</v>
      </c>
      <c r="L33" s="370">
        <v>0.02</v>
      </c>
      <c r="M33" s="371">
        <f>'F&amp;B'!$F$296</f>
        <v>9000</v>
      </c>
      <c r="N33" s="67">
        <f t="shared" si="4"/>
        <v>180</v>
      </c>
      <c r="O33" s="324"/>
      <c r="P33" s="387"/>
    </row>
    <row r="34" ht="12.75" customHeight="1">
      <c r="A34" s="322"/>
      <c r="B34" s="348"/>
      <c r="C34" s="346"/>
      <c r="D34" s="373"/>
      <c r="E34" s="67">
        <f t="shared" si="3"/>
        <v>0</v>
      </c>
      <c r="F34" s="324"/>
      <c r="G34" s="324"/>
      <c r="H34" s="387"/>
      <c r="I34" s="388"/>
      <c r="J34" s="322"/>
      <c r="K34" s="75" t="s">
        <v>1080</v>
      </c>
      <c r="L34" s="370">
        <v>0.03</v>
      </c>
      <c r="M34" s="371">
        <f>'F&amp;B'!$F$60*3</f>
        <v>29700</v>
      </c>
      <c r="N34" s="67">
        <f t="shared" si="4"/>
        <v>891</v>
      </c>
      <c r="O34" s="324"/>
      <c r="P34" s="387"/>
    </row>
    <row r="35" ht="12.75" customHeight="1">
      <c r="A35" s="322"/>
      <c r="B35" s="348"/>
      <c r="C35" s="346"/>
      <c r="D35" s="373"/>
      <c r="E35" s="67">
        <f t="shared" si="3"/>
        <v>0</v>
      </c>
      <c r="F35" s="324"/>
      <c r="G35" s="324"/>
      <c r="H35" s="387"/>
      <c r="I35" s="388"/>
      <c r="J35" s="322"/>
      <c r="K35" s="75"/>
      <c r="L35" s="370"/>
      <c r="M35" s="371"/>
      <c r="N35" s="67"/>
      <c r="O35" s="324"/>
      <c r="P35" s="387"/>
    </row>
    <row r="36" ht="12.75" customHeight="1">
      <c r="A36" s="322"/>
      <c r="B36" s="354"/>
      <c r="C36" s="355"/>
      <c r="D36" s="356"/>
      <c r="E36" s="67">
        <f t="shared" si="3"/>
        <v>0</v>
      </c>
      <c r="F36" s="324"/>
      <c r="G36" s="324"/>
      <c r="H36" s="387"/>
      <c r="I36" s="388"/>
      <c r="J36" s="322"/>
      <c r="K36" s="354"/>
      <c r="L36" s="355"/>
      <c r="M36" s="352"/>
      <c r="N36" s="67">
        <f>M36*L36</f>
        <v>0</v>
      </c>
      <c r="O36" s="324"/>
      <c r="P36" s="387"/>
    </row>
    <row r="37" ht="12.75" customHeight="1">
      <c r="A37" s="322"/>
      <c r="B37" s="362" t="s">
        <v>84</v>
      </c>
      <c r="C37" s="374"/>
      <c r="D37" s="374"/>
      <c r="E37" s="375">
        <f>IF(SUM(E27:E36)=0,"",SUM(E27:E36))</f>
        <v>11141.79382</v>
      </c>
      <c r="F37" s="324"/>
      <c r="G37" s="324"/>
      <c r="H37" s="387"/>
      <c r="I37" s="388"/>
      <c r="J37" s="322"/>
      <c r="K37" s="362" t="s">
        <v>84</v>
      </c>
      <c r="L37" s="374"/>
      <c r="M37" s="374"/>
      <c r="N37" s="375">
        <f>IF(SUM(N27:N36)=0,"",SUM(N27:N36))</f>
        <v>16112.59412</v>
      </c>
      <c r="O37" s="324"/>
      <c r="P37" s="387"/>
    </row>
    <row r="38" ht="12.75" customHeight="1">
      <c r="A38" s="322"/>
      <c r="B38" s="360"/>
      <c r="C38" s="360"/>
      <c r="D38" s="360"/>
      <c r="E38" s="361"/>
      <c r="F38" s="324"/>
      <c r="G38" s="324"/>
      <c r="H38" s="387"/>
      <c r="I38" s="388"/>
      <c r="J38" s="322"/>
      <c r="K38" s="360"/>
      <c r="L38" s="360"/>
      <c r="M38" s="360"/>
      <c r="N38" s="361"/>
      <c r="O38" s="324"/>
      <c r="P38" s="387"/>
    </row>
    <row r="39" ht="12.75" customHeight="1">
      <c r="A39" s="322"/>
      <c r="B39" s="34" t="s">
        <v>17</v>
      </c>
      <c r="C39" s="35"/>
      <c r="D39" s="35"/>
      <c r="E39" s="35"/>
      <c r="F39" s="324"/>
      <c r="G39" s="324"/>
      <c r="H39" s="387"/>
      <c r="I39" s="388"/>
      <c r="J39" s="322"/>
      <c r="K39" s="34" t="s">
        <v>17</v>
      </c>
      <c r="L39" s="35"/>
      <c r="M39" s="35"/>
      <c r="N39" s="35"/>
      <c r="O39" s="324"/>
      <c r="P39" s="387"/>
    </row>
    <row r="40" ht="12.75" customHeight="1">
      <c r="A40" s="322"/>
      <c r="B40" s="52" t="s">
        <v>42</v>
      </c>
      <c r="C40" s="54"/>
      <c r="D40" s="54"/>
      <c r="E40" s="56" t="s">
        <v>35</v>
      </c>
      <c r="F40" s="324"/>
      <c r="G40" s="324"/>
      <c r="H40" s="387"/>
      <c r="I40" s="388"/>
      <c r="J40" s="322"/>
      <c r="K40" s="52" t="s">
        <v>42</v>
      </c>
      <c r="L40" s="54"/>
      <c r="M40" s="54"/>
      <c r="N40" s="56" t="s">
        <v>35</v>
      </c>
      <c r="O40" s="324"/>
      <c r="P40" s="387"/>
    </row>
    <row r="41" ht="12.75" customHeight="1">
      <c r="A41" s="322"/>
      <c r="B41" s="60" t="s">
        <v>40</v>
      </c>
      <c r="C41" s="343">
        <f>'UTL COST'!$B$3</f>
        <v>369000</v>
      </c>
      <c r="D41" s="379">
        <f>'UTL COST'!$C$3</f>
        <v>0.0075</v>
      </c>
      <c r="E41" s="67">
        <v>0.0</v>
      </c>
      <c r="F41" s="324"/>
      <c r="G41" s="324"/>
      <c r="H41" s="387"/>
      <c r="I41" s="388"/>
      <c r="J41" s="322"/>
      <c r="K41" s="60" t="s">
        <v>40</v>
      </c>
      <c r="L41" s="343">
        <f>'UTL COST'!$B$3</f>
        <v>369000</v>
      </c>
      <c r="M41" s="379">
        <f>'UTL COST'!$C$3</f>
        <v>0.0075</v>
      </c>
      <c r="N41" s="67">
        <v>0.0</v>
      </c>
      <c r="O41" s="324"/>
      <c r="P41" s="387"/>
    </row>
    <row r="42" ht="12.75" customHeight="1">
      <c r="A42" s="322"/>
      <c r="B42" s="75" t="s">
        <v>51</v>
      </c>
      <c r="C42" s="371" t="str">
        <f>'UTL COST'!$B$4</f>
        <v>#REF!</v>
      </c>
      <c r="D42" s="382">
        <f>'UTL COST'!$C$4</f>
        <v>7000</v>
      </c>
      <c r="E42" s="76">
        <v>0.0</v>
      </c>
      <c r="F42" s="324"/>
      <c r="G42" s="324"/>
      <c r="H42" s="387"/>
      <c r="I42" s="388"/>
      <c r="J42" s="322"/>
      <c r="K42" s="75" t="s">
        <v>51</v>
      </c>
      <c r="L42" s="371" t="str">
        <f>'UTL COST'!$B$4</f>
        <v>#REF!</v>
      </c>
      <c r="M42" s="382">
        <f>'UTL COST'!$C$4</f>
        <v>7000</v>
      </c>
      <c r="N42" s="76">
        <v>0.0</v>
      </c>
      <c r="O42" s="324"/>
      <c r="P42" s="387"/>
    </row>
    <row r="43" ht="12.75" customHeight="1">
      <c r="A43" s="322"/>
      <c r="B43" s="75" t="s">
        <v>59</v>
      </c>
      <c r="C43" s="371" t="str">
        <f>'UTL COST'!$B$5</f>
        <v>#REF!</v>
      </c>
      <c r="D43" s="382">
        <f>'UTL COST'!$C$5</f>
        <v>45000</v>
      </c>
      <c r="E43" s="76" t="str">
        <f>'UTL COST'!$D$5</f>
        <v>#REF!</v>
      </c>
      <c r="F43" s="324"/>
      <c r="G43" s="324"/>
      <c r="H43" s="387"/>
      <c r="I43" s="388"/>
      <c r="J43" s="322"/>
      <c r="K43" s="75" t="s">
        <v>59</v>
      </c>
      <c r="L43" s="371" t="str">
        <f>'UTL COST'!$B$5</f>
        <v>#REF!</v>
      </c>
      <c r="M43" s="382">
        <f>'UTL COST'!$C$5</f>
        <v>45000</v>
      </c>
      <c r="N43" s="76" t="str">
        <f>'UTL COST'!$D$5</f>
        <v>#REF!</v>
      </c>
      <c r="O43" s="324"/>
      <c r="P43" s="387"/>
    </row>
    <row r="44" ht="12.75" customHeight="1">
      <c r="A44" s="322"/>
      <c r="B44" s="87" t="s">
        <v>78</v>
      </c>
      <c r="C44" s="371" t="str">
        <f>'UTL COST'!$B$6</f>
        <v>#REF!</v>
      </c>
      <c r="D44" s="383">
        <f>'UTL COST'!$C$6</f>
        <v>525</v>
      </c>
      <c r="E44" s="89">
        <v>0.1</v>
      </c>
      <c r="F44" s="324"/>
      <c r="G44" s="324"/>
      <c r="H44" s="387"/>
      <c r="I44" s="388"/>
      <c r="J44" s="322"/>
      <c r="K44" s="87" t="s">
        <v>78</v>
      </c>
      <c r="L44" s="371" t="str">
        <f>'UTL COST'!$B$6</f>
        <v>#REF!</v>
      </c>
      <c r="M44" s="383">
        <f>'UTL COST'!$C$6</f>
        <v>525</v>
      </c>
      <c r="N44" s="89">
        <v>0.1</v>
      </c>
      <c r="O44" s="324"/>
      <c r="P44" s="387"/>
    </row>
    <row r="45" ht="12.75" customHeight="1">
      <c r="A45" s="322"/>
      <c r="B45" s="34" t="s">
        <v>84</v>
      </c>
      <c r="C45" s="102"/>
      <c r="D45" s="102"/>
      <c r="E45" s="104" t="str">
        <f>IF(SUM(E41:E44)=0,"",SUM(E41:E44))</f>
        <v>#REF!</v>
      </c>
      <c r="F45" s="324"/>
      <c r="G45" s="324"/>
      <c r="H45" s="387"/>
      <c r="I45" s="388"/>
      <c r="J45" s="322"/>
      <c r="K45" s="34" t="s">
        <v>84</v>
      </c>
      <c r="L45" s="102"/>
      <c r="M45" s="102"/>
      <c r="N45" s="104" t="str">
        <f>IF(SUM(N41:N44)=0,"",SUM(N41:N44))</f>
        <v>#REF!</v>
      </c>
      <c r="O45" s="324"/>
      <c r="P45" s="387"/>
    </row>
    <row r="46" ht="12.75" customHeight="1">
      <c r="A46" s="322"/>
      <c r="B46" s="360"/>
      <c r="C46" s="360"/>
      <c r="D46" s="360"/>
      <c r="E46" s="361"/>
      <c r="F46" s="324"/>
      <c r="G46" s="324"/>
      <c r="H46" s="387"/>
      <c r="I46" s="388"/>
      <c r="J46" s="322"/>
      <c r="K46" s="360"/>
      <c r="L46" s="360"/>
      <c r="M46" s="360"/>
      <c r="N46" s="361"/>
      <c r="O46" s="324"/>
      <c r="P46" s="387"/>
    </row>
    <row r="47" ht="12.75" customHeight="1">
      <c r="A47" s="387"/>
      <c r="B47" s="387"/>
      <c r="C47" s="387"/>
      <c r="D47" s="387"/>
      <c r="E47" s="418"/>
      <c r="F47" s="387"/>
      <c r="G47" s="387"/>
      <c r="H47" s="387"/>
      <c r="I47" s="387"/>
      <c r="J47" s="387"/>
      <c r="K47" s="387"/>
      <c r="L47" s="387"/>
      <c r="M47" s="387"/>
      <c r="N47" s="387"/>
      <c r="O47" s="387"/>
      <c r="P47" s="387"/>
    </row>
    <row r="48" ht="12.75" customHeight="1">
      <c r="A48" s="322"/>
      <c r="B48" s="322"/>
      <c r="C48" s="322"/>
      <c r="D48" s="322"/>
      <c r="E48" s="323"/>
      <c r="F48" s="324"/>
      <c r="G48" s="324"/>
      <c r="H48" s="387"/>
      <c r="I48" s="388"/>
      <c r="J48" s="322"/>
      <c r="K48" s="322"/>
      <c r="L48" s="322"/>
      <c r="M48" s="322"/>
      <c r="N48" s="323"/>
      <c r="O48" s="324"/>
      <c r="P48" s="387"/>
    </row>
    <row r="49" ht="12.75" customHeight="1">
      <c r="A49" s="322"/>
      <c r="B49" s="325"/>
      <c r="C49" s="322"/>
      <c r="D49" s="322"/>
      <c r="E49" s="323"/>
      <c r="F49" s="326"/>
      <c r="G49" s="326"/>
      <c r="H49" s="404"/>
      <c r="I49" s="388"/>
      <c r="J49" s="322"/>
      <c r="K49" s="325"/>
      <c r="L49" s="322"/>
      <c r="M49" s="322"/>
      <c r="N49" s="323"/>
      <c r="O49" s="326"/>
      <c r="P49" s="387"/>
    </row>
    <row r="50" ht="12.75" customHeight="1">
      <c r="A50" s="322"/>
      <c r="B50" s="327" t="s">
        <v>931</v>
      </c>
      <c r="C50" s="328" t="s">
        <v>230</v>
      </c>
      <c r="D50" s="329"/>
      <c r="E50" s="323"/>
      <c r="F50" s="326"/>
      <c r="G50" s="326"/>
      <c r="H50" s="404"/>
      <c r="I50" s="388"/>
      <c r="J50" s="322"/>
      <c r="K50" s="327" t="s">
        <v>931</v>
      </c>
      <c r="L50" s="328" t="s">
        <v>1122</v>
      </c>
      <c r="M50" s="329"/>
      <c r="N50" s="323"/>
      <c r="O50" s="326"/>
      <c r="P50" s="387"/>
    </row>
    <row r="51" ht="12.75" customHeight="1">
      <c r="A51" s="322"/>
      <c r="B51" s="325"/>
      <c r="C51" s="322"/>
      <c r="D51" s="322"/>
      <c r="E51" s="323"/>
      <c r="F51" s="326"/>
      <c r="G51" s="326"/>
      <c r="H51" s="404"/>
      <c r="I51" s="388"/>
      <c r="J51" s="322"/>
      <c r="K51" s="325"/>
      <c r="L51" s="322"/>
      <c r="M51" s="322"/>
      <c r="N51" s="323"/>
      <c r="O51" s="326"/>
      <c r="P51" s="387"/>
    </row>
    <row r="52" ht="12.75" customHeight="1">
      <c r="A52" s="322"/>
      <c r="B52" s="327" t="s">
        <v>935</v>
      </c>
      <c r="C52" s="331">
        <v>145000.0</v>
      </c>
      <c r="D52" s="329"/>
      <c r="E52" s="323"/>
      <c r="F52" s="326"/>
      <c r="G52" s="326"/>
      <c r="H52" s="404"/>
      <c r="I52" s="388"/>
      <c r="J52" s="322"/>
      <c r="K52" s="327" t="s">
        <v>935</v>
      </c>
      <c r="L52" s="331">
        <v>180000.0</v>
      </c>
      <c r="M52" s="329"/>
      <c r="N52" s="323"/>
      <c r="O52" s="326"/>
      <c r="P52" s="387"/>
    </row>
    <row r="53" ht="12.75" customHeight="1">
      <c r="A53" s="322"/>
      <c r="B53" s="327"/>
      <c r="C53" s="332"/>
      <c r="D53" s="332"/>
      <c r="E53" s="323"/>
      <c r="F53" s="326"/>
      <c r="G53" s="326"/>
      <c r="H53" s="404"/>
      <c r="I53" s="388"/>
      <c r="J53" s="322"/>
      <c r="K53" s="327"/>
      <c r="L53" s="332"/>
      <c r="M53" s="332"/>
      <c r="N53" s="323"/>
      <c r="O53" s="326"/>
      <c r="P53" s="387"/>
    </row>
    <row r="54" ht="12.75" customHeight="1">
      <c r="A54" s="322"/>
      <c r="B54" s="327" t="s">
        <v>939</v>
      </c>
      <c r="C54" s="333" t="str">
        <f>IF(SUM(E66,E81,E89)=0,"",SUM(E66,E81,E89))</f>
        <v>#REF!</v>
      </c>
      <c r="D54" s="321"/>
      <c r="E54" s="323"/>
      <c r="F54" s="326"/>
      <c r="G54" s="326"/>
      <c r="H54" s="404"/>
      <c r="I54" s="388"/>
      <c r="J54" s="322"/>
      <c r="K54" s="327" t="s">
        <v>939</v>
      </c>
      <c r="L54" s="333" t="str">
        <f>IF(SUM(N66,N81,N89)=0,"",SUM(N66,N81,N89))</f>
        <v>#REF!</v>
      </c>
      <c r="M54" s="321"/>
      <c r="N54" s="323"/>
      <c r="O54" s="326"/>
      <c r="P54" s="387"/>
    </row>
    <row r="55" ht="12.75" customHeight="1">
      <c r="A55" s="322"/>
      <c r="B55" s="327"/>
      <c r="C55" s="334"/>
      <c r="D55" s="334"/>
      <c r="E55" s="323"/>
      <c r="F55" s="326"/>
      <c r="G55" s="326"/>
      <c r="H55" s="404"/>
      <c r="I55" s="388"/>
      <c r="J55" s="322"/>
      <c r="K55" s="327"/>
      <c r="L55" s="334"/>
      <c r="M55" s="334"/>
      <c r="N55" s="323"/>
      <c r="O55" s="326"/>
      <c r="P55" s="387"/>
    </row>
    <row r="56" ht="12.75" customHeight="1">
      <c r="A56" s="322"/>
      <c r="B56" s="327" t="s">
        <v>946</v>
      </c>
      <c r="C56" s="335" t="str">
        <f>IF(C54="","",IF(ISBLANK(C52),"",C54/C52))</f>
        <v>#REF!</v>
      </c>
      <c r="D56" s="321"/>
      <c r="E56" s="323"/>
      <c r="F56" s="326"/>
      <c r="G56" s="326"/>
      <c r="H56" s="404"/>
      <c r="I56" s="388"/>
      <c r="J56" s="322"/>
      <c r="K56" s="327" t="s">
        <v>946</v>
      </c>
      <c r="L56" s="335" t="str">
        <f>IF(L54="","",IF(ISBLANK(L52),"",L54/L52))</f>
        <v>#REF!</v>
      </c>
      <c r="M56" s="321"/>
      <c r="N56" s="323"/>
      <c r="O56" s="326"/>
      <c r="P56" s="387"/>
    </row>
    <row r="57" ht="12.75" customHeight="1">
      <c r="A57" s="322"/>
      <c r="B57" s="327"/>
      <c r="C57" s="334"/>
      <c r="D57" s="334"/>
      <c r="E57" s="323"/>
      <c r="F57" s="326"/>
      <c r="G57" s="326"/>
      <c r="H57" s="404"/>
      <c r="I57" s="388"/>
      <c r="J57" s="322"/>
      <c r="K57" s="327"/>
      <c r="L57" s="334"/>
      <c r="M57" s="334"/>
      <c r="N57" s="323"/>
      <c r="O57" s="326"/>
      <c r="P57" s="387"/>
    </row>
    <row r="58" ht="12.75" customHeight="1">
      <c r="A58" s="322"/>
      <c r="B58" s="327" t="s">
        <v>950</v>
      </c>
      <c r="C58" s="333" t="str">
        <f>C52-C54</f>
        <v>#REF!</v>
      </c>
      <c r="D58" s="321"/>
      <c r="E58" s="323"/>
      <c r="F58" s="326"/>
      <c r="G58" s="326"/>
      <c r="H58" s="404"/>
      <c r="I58" s="388"/>
      <c r="J58" s="322"/>
      <c r="K58" s="327" t="s">
        <v>950</v>
      </c>
      <c r="L58" s="333" t="str">
        <f>L52-L54</f>
        <v>#REF!</v>
      </c>
      <c r="M58" s="321"/>
      <c r="N58" s="323"/>
      <c r="O58" s="326"/>
      <c r="P58" s="387"/>
    </row>
    <row r="59" ht="12.75" customHeight="1">
      <c r="A59" s="322"/>
      <c r="B59" s="322"/>
      <c r="C59" s="322"/>
      <c r="D59" s="322"/>
      <c r="E59" s="323"/>
      <c r="F59" s="324"/>
      <c r="G59" s="324"/>
      <c r="H59" s="404"/>
      <c r="I59" s="388"/>
      <c r="J59" s="322"/>
      <c r="K59" s="322"/>
      <c r="L59" s="322"/>
      <c r="M59" s="322"/>
      <c r="N59" s="323"/>
      <c r="O59" s="324"/>
      <c r="P59" s="387"/>
    </row>
    <row r="60" ht="12.75" customHeight="1">
      <c r="A60" s="322"/>
      <c r="B60" s="322"/>
      <c r="C60" s="322"/>
      <c r="D60" s="322"/>
      <c r="E60" s="337"/>
      <c r="F60" s="324"/>
      <c r="G60" s="324"/>
      <c r="H60" s="387"/>
      <c r="I60" s="388"/>
      <c r="J60" s="322"/>
      <c r="K60" s="322"/>
      <c r="L60" s="322"/>
      <c r="M60" s="322"/>
      <c r="N60" s="337"/>
      <c r="O60" s="324"/>
      <c r="P60" s="387"/>
    </row>
    <row r="61" ht="12.75" customHeight="1">
      <c r="A61" s="322"/>
      <c r="B61" s="338" t="s">
        <v>951</v>
      </c>
      <c r="C61" s="339"/>
      <c r="D61" s="339"/>
      <c r="E61" s="339"/>
      <c r="F61" s="324"/>
      <c r="G61" s="324"/>
      <c r="H61" s="410"/>
      <c r="I61" s="388"/>
      <c r="J61" s="322"/>
      <c r="K61" s="338" t="s">
        <v>951</v>
      </c>
      <c r="L61" s="339"/>
      <c r="M61" s="339"/>
      <c r="N61" s="339"/>
      <c r="O61" s="324"/>
      <c r="P61" s="387"/>
    </row>
    <row r="62" ht="12.75" customHeight="1">
      <c r="A62" s="322"/>
      <c r="B62" s="340" t="s">
        <v>953</v>
      </c>
      <c r="C62" s="341" t="s">
        <v>954</v>
      </c>
      <c r="D62" s="341" t="s">
        <v>955</v>
      </c>
      <c r="E62" s="341" t="s">
        <v>35</v>
      </c>
      <c r="F62" s="324"/>
      <c r="G62" s="324"/>
      <c r="H62" s="387"/>
      <c r="I62" s="388"/>
      <c r="J62" s="322"/>
      <c r="K62" s="340" t="s">
        <v>953</v>
      </c>
      <c r="L62" s="341" t="s">
        <v>954</v>
      </c>
      <c r="M62" s="341" t="s">
        <v>955</v>
      </c>
      <c r="N62" s="341" t="s">
        <v>35</v>
      </c>
      <c r="O62" s="324"/>
      <c r="P62" s="387"/>
    </row>
    <row r="63" ht="12.75" customHeight="1">
      <c r="A63" s="322"/>
      <c r="B63" s="60" t="s">
        <v>60</v>
      </c>
      <c r="C63" s="342">
        <v>0.05</v>
      </c>
      <c r="D63" s="343">
        <f>D19</f>
        <v>148500</v>
      </c>
      <c r="E63" s="67">
        <f t="shared" ref="E63:E65" si="5">IF(OR(ISBLANK(C63),ISBLANK(D63)),"",D63*C63)</f>
        <v>7425</v>
      </c>
      <c r="F63" s="324"/>
      <c r="G63" s="324"/>
      <c r="H63" s="387"/>
      <c r="I63" s="388"/>
      <c r="J63" s="322"/>
      <c r="K63" s="60" t="s">
        <v>703</v>
      </c>
      <c r="L63" s="342">
        <v>0.16</v>
      </c>
      <c r="M63" s="343">
        <f>SANDWICHES!$D$19</f>
        <v>81000</v>
      </c>
      <c r="N63" s="67">
        <f t="shared" ref="N63:N64" si="6">IF(OR(ISBLANK(L63),ISBLANK(M63)),"",M63*L63)</f>
        <v>12960</v>
      </c>
      <c r="O63" s="324"/>
      <c r="P63" s="387"/>
    </row>
    <row r="64" ht="12.75" customHeight="1">
      <c r="A64" s="322"/>
      <c r="B64" s="75"/>
      <c r="C64" s="370"/>
      <c r="D64" s="371"/>
      <c r="E64" s="67" t="str">
        <f t="shared" si="5"/>
        <v/>
      </c>
      <c r="F64" s="324"/>
      <c r="G64" s="324"/>
      <c r="H64" s="387"/>
      <c r="I64" s="388"/>
      <c r="J64" s="322"/>
      <c r="K64" s="87" t="s">
        <v>60</v>
      </c>
      <c r="L64" s="412">
        <v>0.05</v>
      </c>
      <c r="M64" s="408">
        <f>D63</f>
        <v>148500</v>
      </c>
      <c r="N64" s="89">
        <f t="shared" si="6"/>
        <v>7425</v>
      </c>
      <c r="O64" s="324"/>
      <c r="P64" s="387"/>
    </row>
    <row r="65" ht="12.75" customHeight="1">
      <c r="A65" s="322"/>
      <c r="B65" s="354"/>
      <c r="C65" s="355"/>
      <c r="D65" s="356"/>
      <c r="E65" s="357" t="str">
        <f t="shared" si="5"/>
        <v/>
      </c>
      <c r="F65" s="324"/>
      <c r="G65" s="324"/>
      <c r="H65" s="387"/>
      <c r="I65" s="388"/>
      <c r="J65" s="322"/>
      <c r="K65" s="87"/>
      <c r="L65" s="412"/>
      <c r="M65" s="408"/>
      <c r="N65" s="89"/>
      <c r="O65" s="324"/>
      <c r="P65" s="387"/>
    </row>
    <row r="66" ht="12.75" customHeight="1">
      <c r="A66" s="322"/>
      <c r="B66" s="338" t="s">
        <v>84</v>
      </c>
      <c r="C66" s="358"/>
      <c r="D66" s="358"/>
      <c r="E66" s="359">
        <f>IF(SUM(E63:E65)=0,"",SUM(E63:E65))</f>
        <v>7425</v>
      </c>
      <c r="F66" s="324"/>
      <c r="G66" s="324"/>
      <c r="H66" s="387"/>
      <c r="I66" s="388"/>
      <c r="J66" s="322"/>
      <c r="K66" s="338" t="s">
        <v>84</v>
      </c>
      <c r="L66" s="358"/>
      <c r="M66" s="358"/>
      <c r="N66" s="359">
        <f>IF(SUM(N63:N65)=0,"",SUM(N63:N65))</f>
        <v>20385</v>
      </c>
      <c r="O66" s="324"/>
      <c r="P66" s="387"/>
    </row>
    <row r="67" ht="12.75" customHeight="1">
      <c r="A67" s="322"/>
      <c r="B67" s="360"/>
      <c r="C67" s="360"/>
      <c r="D67" s="360"/>
      <c r="E67" s="361"/>
      <c r="F67" s="324"/>
      <c r="G67" s="324"/>
      <c r="H67" s="387"/>
      <c r="I67" s="388"/>
      <c r="J67" s="322"/>
      <c r="K67" s="360"/>
      <c r="L67" s="360"/>
      <c r="M67" s="360"/>
      <c r="N67" s="361"/>
      <c r="O67" s="324"/>
      <c r="P67" s="387"/>
    </row>
    <row r="68" ht="12.75" customHeight="1">
      <c r="A68" s="322"/>
      <c r="B68" s="362" t="s">
        <v>972</v>
      </c>
      <c r="C68" s="363"/>
      <c r="D68" s="363"/>
      <c r="E68" s="363"/>
      <c r="F68" s="324"/>
      <c r="G68" s="324"/>
      <c r="H68" s="387"/>
      <c r="I68" s="388"/>
      <c r="J68" s="322"/>
      <c r="K68" s="362" t="s">
        <v>972</v>
      </c>
      <c r="L68" s="363"/>
      <c r="M68" s="363"/>
      <c r="N68" s="363"/>
      <c r="O68" s="324"/>
      <c r="P68" s="387"/>
    </row>
    <row r="69" ht="12.75" customHeight="1">
      <c r="A69" s="322"/>
      <c r="B69" s="365" t="s">
        <v>953</v>
      </c>
      <c r="C69" s="366" t="s">
        <v>3</v>
      </c>
      <c r="D69" s="366" t="s">
        <v>975</v>
      </c>
      <c r="E69" s="367" t="s">
        <v>35</v>
      </c>
      <c r="F69" s="324"/>
      <c r="G69" s="324"/>
      <c r="H69" s="387"/>
      <c r="I69" s="388"/>
      <c r="J69" s="322"/>
      <c r="K69" s="365" t="s">
        <v>953</v>
      </c>
      <c r="L69" s="366" t="s">
        <v>3</v>
      </c>
      <c r="M69" s="366" t="s">
        <v>975</v>
      </c>
      <c r="N69" s="367" t="s">
        <v>35</v>
      </c>
      <c r="O69" s="324"/>
      <c r="P69" s="387"/>
    </row>
    <row r="70" ht="12.75" customHeight="1">
      <c r="A70" s="322"/>
      <c r="B70" s="368"/>
      <c r="C70" s="366"/>
      <c r="D70" s="366"/>
      <c r="E70" s="368"/>
      <c r="F70" s="324"/>
      <c r="G70" s="324"/>
      <c r="H70" s="387"/>
      <c r="I70" s="388"/>
      <c r="J70" s="322"/>
      <c r="K70" s="368"/>
      <c r="L70" s="366"/>
      <c r="M70" s="366"/>
      <c r="N70" s="368"/>
      <c r="O70" s="324"/>
      <c r="P70" s="387"/>
    </row>
    <row r="71" ht="12.75" customHeight="1">
      <c r="A71" s="322"/>
      <c r="B71" s="60" t="s">
        <v>1000</v>
      </c>
      <c r="C71" s="342">
        <v>1.0</v>
      </c>
      <c r="D71" s="343">
        <f>M27</f>
        <v>13500</v>
      </c>
      <c r="E71" s="67">
        <f>D71*C71</f>
        <v>13500</v>
      </c>
      <c r="F71" s="324"/>
      <c r="G71" s="324"/>
      <c r="H71" s="387"/>
      <c r="I71" s="388"/>
      <c r="J71" s="322"/>
      <c r="K71" s="60" t="s">
        <v>1000</v>
      </c>
      <c r="L71" s="342">
        <v>1.0</v>
      </c>
      <c r="M71" s="343">
        <f t="shared" ref="M71:M73" si="7">D71</f>
        <v>13500</v>
      </c>
      <c r="N71" s="67">
        <f>M71*L71</f>
        <v>13500</v>
      </c>
      <c r="O71" s="324"/>
      <c r="P71" s="387"/>
    </row>
    <row r="72" ht="12.75" customHeight="1">
      <c r="A72" s="322"/>
      <c r="B72" s="429" t="s">
        <v>177</v>
      </c>
      <c r="C72" s="370">
        <v>0.02</v>
      </c>
      <c r="D72" s="371">
        <f>Prep!J80</f>
        <v>71480.65385</v>
      </c>
      <c r="E72" s="67">
        <v>5000.0</v>
      </c>
      <c r="F72" s="324"/>
      <c r="G72" s="324"/>
      <c r="H72" s="387"/>
      <c r="I72" s="388"/>
      <c r="J72" s="322"/>
      <c r="K72" s="75" t="s">
        <v>177</v>
      </c>
      <c r="L72" s="370">
        <v>0.02</v>
      </c>
      <c r="M72" s="371">
        <f t="shared" si="7"/>
        <v>71480.65385</v>
      </c>
      <c r="N72" s="67">
        <v>5000.0</v>
      </c>
      <c r="O72" s="324"/>
      <c r="P72" s="387"/>
    </row>
    <row r="73" ht="12.75" customHeight="1">
      <c r="A73" s="322"/>
      <c r="B73" s="75" t="s">
        <v>10</v>
      </c>
      <c r="C73" s="370">
        <v>1.0</v>
      </c>
      <c r="D73" s="371">
        <f>SAUCES!$D$16</f>
        <v>3406.947866</v>
      </c>
      <c r="E73" s="67">
        <f t="shared" ref="E73:E80" si="8">D73*C73</f>
        <v>3406.947866</v>
      </c>
      <c r="F73" s="324"/>
      <c r="G73" s="324"/>
      <c r="H73" s="387"/>
      <c r="I73" s="388"/>
      <c r="J73" s="322"/>
      <c r="K73" s="75" t="s">
        <v>10</v>
      </c>
      <c r="L73" s="370">
        <v>1.0</v>
      </c>
      <c r="M73" s="371">
        <f t="shared" si="7"/>
        <v>3406.947866</v>
      </c>
      <c r="N73" s="67">
        <f t="shared" ref="N73:N80" si="9">M73*L73</f>
        <v>3406.947866</v>
      </c>
      <c r="O73" s="324"/>
      <c r="P73" s="387"/>
    </row>
    <row r="74" ht="12.75" customHeight="1">
      <c r="A74" s="322"/>
      <c r="B74" s="75" t="s">
        <v>273</v>
      </c>
      <c r="C74" s="346">
        <v>0.03</v>
      </c>
      <c r="D74" s="371">
        <f>'F&amp;B'!$F$283</f>
        <v>9000</v>
      </c>
      <c r="E74" s="67">
        <f t="shared" si="8"/>
        <v>270</v>
      </c>
      <c r="F74" s="324"/>
      <c r="G74" s="324"/>
      <c r="H74" s="387"/>
      <c r="I74" s="388"/>
      <c r="J74" s="322"/>
      <c r="K74" s="75" t="s">
        <v>273</v>
      </c>
      <c r="L74" s="346">
        <v>0.03</v>
      </c>
      <c r="M74" s="371">
        <f>'F&amp;B'!$F$283</f>
        <v>9000</v>
      </c>
      <c r="N74" s="67">
        <f t="shared" si="9"/>
        <v>270</v>
      </c>
      <c r="O74" s="324"/>
      <c r="P74" s="387"/>
    </row>
    <row r="75" ht="12.75" customHeight="1">
      <c r="A75" s="322"/>
      <c r="B75" s="75"/>
      <c r="C75" s="346"/>
      <c r="D75" s="371"/>
      <c r="E75" s="67">
        <f t="shared" si="8"/>
        <v>0</v>
      </c>
      <c r="F75" s="324"/>
      <c r="G75" s="324"/>
      <c r="H75" s="387"/>
      <c r="I75" s="388"/>
      <c r="J75" s="322"/>
      <c r="K75" s="75"/>
      <c r="L75" s="346"/>
      <c r="M75" s="371"/>
      <c r="N75" s="67">
        <f t="shared" si="9"/>
        <v>0</v>
      </c>
      <c r="O75" s="324"/>
      <c r="P75" s="387"/>
    </row>
    <row r="76" ht="12.75" customHeight="1">
      <c r="A76" s="322"/>
      <c r="B76" s="75"/>
      <c r="C76" s="346"/>
      <c r="D76" s="373"/>
      <c r="E76" s="67">
        <f t="shared" si="8"/>
        <v>0</v>
      </c>
      <c r="F76" s="324"/>
      <c r="G76" s="324"/>
      <c r="H76" s="387"/>
      <c r="I76" s="388"/>
      <c r="J76" s="322"/>
      <c r="K76" s="75"/>
      <c r="L76" s="370"/>
      <c r="M76" s="371"/>
      <c r="N76" s="67">
        <f t="shared" si="9"/>
        <v>0</v>
      </c>
      <c r="O76" s="324"/>
      <c r="P76" s="387"/>
    </row>
    <row r="77" ht="12.75" customHeight="1">
      <c r="A77" s="322"/>
      <c r="B77" s="348"/>
      <c r="C77" s="346"/>
      <c r="D77" s="373"/>
      <c r="E77" s="67">
        <f t="shared" si="8"/>
        <v>0</v>
      </c>
      <c r="F77" s="324"/>
      <c r="G77" s="324"/>
      <c r="H77" s="387"/>
      <c r="I77" s="388"/>
      <c r="J77" s="322"/>
      <c r="K77" s="348"/>
      <c r="L77" s="346"/>
      <c r="M77" s="373"/>
      <c r="N77" s="67">
        <f t="shared" si="9"/>
        <v>0</v>
      </c>
      <c r="O77" s="324"/>
      <c r="P77" s="387"/>
    </row>
    <row r="78" ht="12.75" customHeight="1">
      <c r="A78" s="322"/>
      <c r="B78" s="348"/>
      <c r="C78" s="346"/>
      <c r="D78" s="373"/>
      <c r="E78" s="67">
        <f t="shared" si="8"/>
        <v>0</v>
      </c>
      <c r="F78" s="324"/>
      <c r="G78" s="324"/>
      <c r="H78" s="387"/>
      <c r="I78" s="388"/>
      <c r="J78" s="322"/>
      <c r="K78" s="348"/>
      <c r="L78" s="346"/>
      <c r="M78" s="373"/>
      <c r="N78" s="67">
        <f t="shared" si="9"/>
        <v>0</v>
      </c>
      <c r="O78" s="324"/>
      <c r="P78" s="387"/>
    </row>
    <row r="79" ht="12.75" customHeight="1">
      <c r="A79" s="322"/>
      <c r="B79" s="348"/>
      <c r="C79" s="346"/>
      <c r="D79" s="373"/>
      <c r="E79" s="67">
        <f t="shared" si="8"/>
        <v>0</v>
      </c>
      <c r="F79" s="324"/>
      <c r="G79" s="324"/>
      <c r="H79" s="387"/>
      <c r="I79" s="388"/>
      <c r="J79" s="322"/>
      <c r="K79" s="348"/>
      <c r="L79" s="346"/>
      <c r="M79" s="373"/>
      <c r="N79" s="67">
        <f t="shared" si="9"/>
        <v>0</v>
      </c>
      <c r="O79" s="324"/>
      <c r="P79" s="387"/>
    </row>
    <row r="80" ht="12.75" customHeight="1">
      <c r="A80" s="322"/>
      <c r="B80" s="354"/>
      <c r="C80" s="355"/>
      <c r="D80" s="356"/>
      <c r="E80" s="67">
        <f t="shared" si="8"/>
        <v>0</v>
      </c>
      <c r="F80" s="324"/>
      <c r="G80" s="324"/>
      <c r="H80" s="387"/>
      <c r="I80" s="388"/>
      <c r="J80" s="322"/>
      <c r="K80" s="354"/>
      <c r="L80" s="355"/>
      <c r="M80" s="356"/>
      <c r="N80" s="67">
        <f t="shared" si="9"/>
        <v>0</v>
      </c>
      <c r="O80" s="324"/>
      <c r="P80" s="387"/>
    </row>
    <row r="81" ht="12.75" customHeight="1">
      <c r="A81" s="322"/>
      <c r="B81" s="362" t="s">
        <v>84</v>
      </c>
      <c r="C81" s="374"/>
      <c r="D81" s="374"/>
      <c r="E81" s="375">
        <f>IF(SUM(E71:E80)=0,"",SUM(E71:E80))</f>
        <v>22176.94787</v>
      </c>
      <c r="F81" s="324"/>
      <c r="G81" s="324"/>
      <c r="H81" s="387"/>
      <c r="I81" s="388"/>
      <c r="J81" s="322"/>
      <c r="K81" s="362" t="s">
        <v>84</v>
      </c>
      <c r="L81" s="374"/>
      <c r="M81" s="374"/>
      <c r="N81" s="375">
        <f>IF(SUM(N71:N80)=0,"",SUM(N71:N80))</f>
        <v>22176.94787</v>
      </c>
      <c r="O81" s="324"/>
      <c r="P81" s="387"/>
    </row>
    <row r="82" ht="12.75" customHeight="1">
      <c r="A82" s="322"/>
      <c r="B82" s="360"/>
      <c r="C82" s="360"/>
      <c r="D82" s="360"/>
      <c r="E82" s="361"/>
      <c r="F82" s="324"/>
      <c r="G82" s="324"/>
      <c r="H82" s="387"/>
      <c r="I82" s="388"/>
      <c r="J82" s="322"/>
      <c r="K82" s="360"/>
      <c r="L82" s="360"/>
      <c r="M82" s="360"/>
      <c r="N82" s="361"/>
      <c r="O82" s="324"/>
      <c r="P82" s="387"/>
    </row>
    <row r="83" ht="12.75" customHeight="1">
      <c r="A83" s="322"/>
      <c r="B83" s="34" t="s">
        <v>17</v>
      </c>
      <c r="C83" s="35"/>
      <c r="D83" s="35"/>
      <c r="E83" s="35"/>
      <c r="F83" s="324"/>
      <c r="G83" s="324"/>
      <c r="H83" s="387"/>
      <c r="I83" s="388"/>
      <c r="J83" s="322"/>
      <c r="K83" s="34" t="s">
        <v>17</v>
      </c>
      <c r="L83" s="35"/>
      <c r="M83" s="35"/>
      <c r="N83" s="35"/>
      <c r="O83" s="324"/>
      <c r="P83" s="387"/>
    </row>
    <row r="84" ht="12.75" customHeight="1">
      <c r="A84" s="322"/>
      <c r="B84" s="52" t="s">
        <v>42</v>
      </c>
      <c r="C84" s="54"/>
      <c r="D84" s="54"/>
      <c r="E84" s="56" t="s">
        <v>35</v>
      </c>
      <c r="F84" s="324"/>
      <c r="G84" s="324"/>
      <c r="H84" s="387"/>
      <c r="I84" s="388"/>
      <c r="J84" s="322"/>
      <c r="K84" s="52" t="s">
        <v>42</v>
      </c>
      <c r="L84" s="54"/>
      <c r="M84" s="54"/>
      <c r="N84" s="56" t="s">
        <v>35</v>
      </c>
      <c r="O84" s="324"/>
      <c r="P84" s="387"/>
    </row>
    <row r="85" ht="12.75" customHeight="1">
      <c r="A85" s="322"/>
      <c r="B85" s="60" t="s">
        <v>40</v>
      </c>
      <c r="C85" s="343">
        <f>'UTL COST'!$B$3</f>
        <v>369000</v>
      </c>
      <c r="D85" s="379">
        <f>'UTL COST'!$C$3</f>
        <v>0.0075</v>
      </c>
      <c r="E85" s="67">
        <v>0.0</v>
      </c>
      <c r="F85" s="324"/>
      <c r="G85" s="324"/>
      <c r="H85" s="387"/>
      <c r="I85" s="388"/>
      <c r="J85" s="322"/>
      <c r="K85" s="60" t="s">
        <v>40</v>
      </c>
      <c r="L85" s="343">
        <f>'UTL COST'!$B$3</f>
        <v>369000</v>
      </c>
      <c r="M85" s="379">
        <f>'UTL COST'!$C$3</f>
        <v>0.0075</v>
      </c>
      <c r="N85" s="67">
        <v>0.0</v>
      </c>
      <c r="O85" s="324"/>
      <c r="P85" s="387"/>
    </row>
    <row r="86" ht="12.75" customHeight="1">
      <c r="A86" s="322"/>
      <c r="B86" s="75" t="s">
        <v>51</v>
      </c>
      <c r="C86" s="371" t="str">
        <f>'UTL COST'!$B$4</f>
        <v>#REF!</v>
      </c>
      <c r="D86" s="382">
        <f>'UTL COST'!$C$4</f>
        <v>7000</v>
      </c>
      <c r="E86" s="76">
        <v>0.0</v>
      </c>
      <c r="F86" s="324"/>
      <c r="G86" s="324"/>
      <c r="H86" s="387"/>
      <c r="I86" s="388"/>
      <c r="J86" s="322"/>
      <c r="K86" s="75" t="s">
        <v>51</v>
      </c>
      <c r="L86" s="371" t="str">
        <f>'UTL COST'!$B$4</f>
        <v>#REF!</v>
      </c>
      <c r="M86" s="382">
        <f>'UTL COST'!$C$4</f>
        <v>7000</v>
      </c>
      <c r="N86" s="76" t="str">
        <f>'UTL COST'!$D$4</f>
        <v>#REF!</v>
      </c>
      <c r="O86" s="324"/>
      <c r="P86" s="387"/>
    </row>
    <row r="87" ht="12.75" customHeight="1">
      <c r="A87" s="322"/>
      <c r="B87" s="75" t="s">
        <v>59</v>
      </c>
      <c r="C87" s="371" t="str">
        <f>'UTL COST'!$B$5</f>
        <v>#REF!</v>
      </c>
      <c r="D87" s="382">
        <f>'UTL COST'!$C$5</f>
        <v>45000</v>
      </c>
      <c r="E87" s="76" t="str">
        <f>'UTL COST'!$D$5</f>
        <v>#REF!</v>
      </c>
      <c r="F87" s="324"/>
      <c r="G87" s="324"/>
      <c r="H87" s="387"/>
      <c r="I87" s="388"/>
      <c r="J87" s="322"/>
      <c r="K87" s="75" t="s">
        <v>59</v>
      </c>
      <c r="L87" s="371" t="str">
        <f>'UTL COST'!$B$5</f>
        <v>#REF!</v>
      </c>
      <c r="M87" s="382">
        <f>'UTL COST'!$C$5</f>
        <v>45000</v>
      </c>
      <c r="N87" s="76" t="str">
        <f>'UTL COST'!$D$5</f>
        <v>#REF!</v>
      </c>
      <c r="O87" s="324"/>
      <c r="P87" s="387"/>
    </row>
    <row r="88" ht="12.75" customHeight="1">
      <c r="A88" s="322"/>
      <c r="B88" s="87" t="s">
        <v>78</v>
      </c>
      <c r="C88" s="371" t="str">
        <f>'UTL COST'!$B$6</f>
        <v>#REF!</v>
      </c>
      <c r="D88" s="383">
        <f>'UTL COST'!$C$6</f>
        <v>525</v>
      </c>
      <c r="E88" s="89">
        <v>0.1</v>
      </c>
      <c r="F88" s="324"/>
      <c r="G88" s="324"/>
      <c r="H88" s="387"/>
      <c r="I88" s="388"/>
      <c r="J88" s="322"/>
      <c r="K88" s="87" t="s">
        <v>78</v>
      </c>
      <c r="L88" s="371" t="str">
        <f>'UTL COST'!$B$6</f>
        <v>#REF!</v>
      </c>
      <c r="M88" s="383">
        <f>'UTL COST'!$C$6</f>
        <v>525</v>
      </c>
      <c r="N88" s="89">
        <v>0.1</v>
      </c>
      <c r="O88" s="324"/>
      <c r="P88" s="387"/>
    </row>
    <row r="89" ht="12.75" customHeight="1">
      <c r="A89" s="322"/>
      <c r="B89" s="34" t="s">
        <v>84</v>
      </c>
      <c r="C89" s="102"/>
      <c r="D89" s="102"/>
      <c r="E89" s="104" t="str">
        <f>IF(SUM(E85:E88)=0,"",SUM(E85:E88))</f>
        <v>#REF!</v>
      </c>
      <c r="F89" s="324"/>
      <c r="G89" s="324"/>
      <c r="H89" s="387"/>
      <c r="I89" s="388"/>
      <c r="J89" s="322"/>
      <c r="K89" s="34" t="s">
        <v>84</v>
      </c>
      <c r="L89" s="102"/>
      <c r="M89" s="102"/>
      <c r="N89" s="104" t="str">
        <f>IF(SUM(N85:N88)=0,"",SUM(N85:N88))</f>
        <v>#REF!</v>
      </c>
      <c r="O89" s="324"/>
      <c r="P89" s="387"/>
    </row>
    <row r="90" ht="12.75" customHeight="1">
      <c r="A90" s="322"/>
      <c r="B90" s="360"/>
      <c r="C90" s="360"/>
      <c r="D90" s="360"/>
      <c r="E90" s="361"/>
      <c r="F90" s="324"/>
      <c r="G90" s="324"/>
      <c r="H90" s="387"/>
      <c r="I90" s="388"/>
      <c r="J90" s="322"/>
      <c r="K90" s="360"/>
      <c r="L90" s="360"/>
      <c r="M90" s="360"/>
      <c r="N90" s="361"/>
      <c r="O90" s="324"/>
      <c r="P90" s="387"/>
    </row>
    <row r="91" ht="12.75" customHeight="1">
      <c r="A91" s="388"/>
      <c r="B91" s="432"/>
      <c r="C91" s="432"/>
      <c r="D91" s="432"/>
      <c r="E91" s="433"/>
      <c r="F91" s="387"/>
      <c r="G91" s="387"/>
      <c r="H91" s="387"/>
      <c r="I91" s="388"/>
      <c r="J91" s="388"/>
      <c r="K91" s="432"/>
      <c r="L91" s="432"/>
      <c r="M91" s="432"/>
      <c r="N91" s="433"/>
      <c r="O91" s="387"/>
      <c r="P91" s="387"/>
    </row>
    <row r="92" ht="12.75" customHeight="1">
      <c r="A92" s="387"/>
      <c r="B92" s="387"/>
      <c r="C92" s="387"/>
      <c r="D92" s="387"/>
      <c r="E92" s="418"/>
      <c r="F92" s="387"/>
      <c r="G92" s="387"/>
      <c r="H92" s="387"/>
      <c r="I92" s="387"/>
      <c r="J92" s="387"/>
      <c r="K92" s="387"/>
      <c r="L92" s="387"/>
      <c r="M92" s="387"/>
      <c r="N92" s="387"/>
      <c r="O92" s="387"/>
      <c r="P92" s="387"/>
    </row>
    <row r="93" ht="12.75" customHeight="1">
      <c r="A93" s="322"/>
      <c r="B93" s="322"/>
      <c r="C93" s="322"/>
      <c r="D93" s="322"/>
      <c r="E93" s="323"/>
      <c r="F93" s="324"/>
      <c r="G93" s="324"/>
      <c r="H93" s="387"/>
      <c r="I93" s="388"/>
      <c r="J93" s="322"/>
      <c r="K93" s="322"/>
      <c r="L93" s="322"/>
      <c r="M93" s="322"/>
      <c r="N93" s="323"/>
      <c r="O93" s="324"/>
      <c r="P93" s="387"/>
    </row>
    <row r="94" ht="12.75" customHeight="1">
      <c r="A94" s="322"/>
      <c r="B94" s="325"/>
      <c r="C94" s="322"/>
      <c r="D94" s="322"/>
      <c r="E94" s="323"/>
      <c r="F94" s="326"/>
      <c r="G94" s="326"/>
      <c r="H94" s="404"/>
      <c r="I94" s="388"/>
      <c r="J94" s="322"/>
      <c r="K94" s="325"/>
      <c r="L94" s="322"/>
      <c r="M94" s="322"/>
      <c r="N94" s="323"/>
      <c r="O94" s="326"/>
      <c r="P94" s="387"/>
    </row>
    <row r="95" ht="12.75" customHeight="1">
      <c r="A95" s="322"/>
      <c r="B95" s="327" t="s">
        <v>931</v>
      </c>
      <c r="C95" s="328" t="s">
        <v>240</v>
      </c>
      <c r="D95" s="329"/>
      <c r="E95" s="323"/>
      <c r="F95" s="326"/>
      <c r="G95" s="326"/>
      <c r="H95" s="404"/>
      <c r="I95" s="388"/>
      <c r="J95" s="322"/>
      <c r="K95" s="327" t="s">
        <v>931</v>
      </c>
      <c r="L95" s="330" t="s">
        <v>1145</v>
      </c>
      <c r="M95" s="329"/>
      <c r="N95" s="323"/>
      <c r="O95" s="326"/>
      <c r="P95" s="387"/>
    </row>
    <row r="96" ht="12.75" customHeight="1">
      <c r="A96" s="322"/>
      <c r="B96" s="325"/>
      <c r="C96" s="322"/>
      <c r="D96" s="322"/>
      <c r="E96" s="323"/>
      <c r="F96" s="326"/>
      <c r="G96" s="326"/>
      <c r="H96" s="404"/>
      <c r="I96" s="388"/>
      <c r="J96" s="322"/>
      <c r="K96" s="325"/>
      <c r="L96" s="322"/>
      <c r="M96" s="322"/>
      <c r="N96" s="323"/>
      <c r="O96" s="326"/>
      <c r="P96" s="387"/>
    </row>
    <row r="97" ht="12.75" customHeight="1">
      <c r="A97" s="322"/>
      <c r="B97" s="327" t="s">
        <v>935</v>
      </c>
      <c r="C97" s="331">
        <v>205000.0</v>
      </c>
      <c r="D97" s="329"/>
      <c r="E97" s="323"/>
      <c r="F97" s="326"/>
      <c r="G97" s="326"/>
      <c r="H97" s="404"/>
      <c r="I97" s="388"/>
      <c r="J97" s="322"/>
      <c r="K97" s="327" t="s">
        <v>935</v>
      </c>
      <c r="L97" s="440">
        <v>1300000.0</v>
      </c>
      <c r="M97" s="329"/>
      <c r="N97" s="323">
        <f>L97/90000</f>
        <v>14.44444444</v>
      </c>
      <c r="O97" s="326"/>
      <c r="P97" s="387"/>
    </row>
    <row r="98" ht="12.75" customHeight="1">
      <c r="A98" s="322"/>
      <c r="B98" s="327"/>
      <c r="C98" s="332"/>
      <c r="D98" s="332"/>
      <c r="E98" s="323"/>
      <c r="F98" s="326"/>
      <c r="G98" s="326"/>
      <c r="H98" s="404"/>
      <c r="I98" s="388"/>
      <c r="J98" s="322"/>
      <c r="K98" s="327"/>
      <c r="L98" s="332"/>
      <c r="M98" s="332"/>
      <c r="N98" s="323"/>
      <c r="O98" s="326"/>
      <c r="P98" s="387"/>
    </row>
    <row r="99" ht="12.75" customHeight="1">
      <c r="A99" s="322"/>
      <c r="B99" s="327" t="s">
        <v>939</v>
      </c>
      <c r="C99" s="333" t="str">
        <f>IF(SUM(E111,E126,E134)=0,"",SUM(E111,E126,E134))</f>
        <v>#REF!</v>
      </c>
      <c r="D99" s="321"/>
      <c r="E99" s="323"/>
      <c r="F99" s="326"/>
      <c r="G99" s="326"/>
      <c r="H99" s="404"/>
      <c r="I99" s="388"/>
      <c r="J99" s="322"/>
      <c r="K99" s="327" t="s">
        <v>939</v>
      </c>
      <c r="L99" s="333" t="str">
        <f>IF(SUM(N111,N126,N134)=0,"",SUM(N111,N126,N134))</f>
        <v>#REF!</v>
      </c>
      <c r="M99" s="321"/>
      <c r="N99" s="323" t="str">
        <f>L99/90000</f>
        <v>#REF!</v>
      </c>
      <c r="O99" s="326"/>
      <c r="P99" s="387"/>
    </row>
    <row r="100" ht="12.75" customHeight="1">
      <c r="A100" s="322"/>
      <c r="B100" s="327"/>
      <c r="C100" s="334"/>
      <c r="D100" s="334"/>
      <c r="E100" s="323"/>
      <c r="F100" s="326"/>
      <c r="G100" s="326"/>
      <c r="H100" s="404"/>
      <c r="I100" s="388"/>
      <c r="J100" s="322"/>
      <c r="K100" s="327"/>
      <c r="L100" s="334"/>
      <c r="M100" s="334"/>
      <c r="N100" s="323"/>
      <c r="O100" s="326"/>
      <c r="P100" s="387"/>
    </row>
    <row r="101" ht="12.75" customHeight="1">
      <c r="A101" s="322"/>
      <c r="B101" s="327" t="s">
        <v>946</v>
      </c>
      <c r="C101" s="335" t="str">
        <f>IF(C99="","",IF(ISBLANK(C97),"",C99/C97))</f>
        <v>#REF!</v>
      </c>
      <c r="D101" s="321"/>
      <c r="E101" s="323"/>
      <c r="F101" s="326"/>
      <c r="G101" s="326"/>
      <c r="H101" s="404"/>
      <c r="I101" s="388"/>
      <c r="J101" s="322"/>
      <c r="K101" s="327" t="s">
        <v>946</v>
      </c>
      <c r="L101" s="335" t="str">
        <f>IF(L99="","",IF(ISBLANK(L97),"",L99/L97))</f>
        <v>#REF!</v>
      </c>
      <c r="M101" s="321"/>
      <c r="N101" s="323"/>
      <c r="O101" s="326"/>
      <c r="P101" s="387"/>
    </row>
    <row r="102" ht="12.75" customHeight="1">
      <c r="A102" s="322"/>
      <c r="B102" s="327"/>
      <c r="C102" s="334"/>
      <c r="D102" s="334"/>
      <c r="E102" s="323"/>
      <c r="F102" s="326"/>
      <c r="G102" s="326"/>
      <c r="H102" s="404"/>
      <c r="I102" s="388"/>
      <c r="J102" s="322"/>
      <c r="K102" s="327"/>
      <c r="L102" s="334"/>
      <c r="M102" s="334"/>
      <c r="N102" s="323"/>
      <c r="O102" s="326"/>
      <c r="P102" s="387"/>
    </row>
    <row r="103" ht="12.75" customHeight="1">
      <c r="A103" s="322"/>
      <c r="B103" s="327" t="s">
        <v>950</v>
      </c>
      <c r="C103" s="333" t="str">
        <f>C97-C99</f>
        <v>#REF!</v>
      </c>
      <c r="D103" s="321"/>
      <c r="E103" s="323"/>
      <c r="F103" s="326"/>
      <c r="G103" s="326"/>
      <c r="H103" s="404"/>
      <c r="I103" s="388"/>
      <c r="J103" s="322"/>
      <c r="K103" s="327" t="s">
        <v>950</v>
      </c>
      <c r="L103" s="333" t="str">
        <f>L97-L99</f>
        <v>#REF!</v>
      </c>
      <c r="M103" s="321"/>
      <c r="N103" s="323"/>
      <c r="O103" s="326"/>
      <c r="P103" s="387"/>
    </row>
    <row r="104" ht="12.75" customHeight="1">
      <c r="A104" s="322"/>
      <c r="B104" s="322"/>
      <c r="C104" s="322"/>
      <c r="D104" s="322"/>
      <c r="E104" s="323"/>
      <c r="F104" s="324"/>
      <c r="G104" s="324"/>
      <c r="H104" s="404"/>
      <c r="I104" s="388"/>
      <c r="J104" s="322"/>
      <c r="K104" s="322"/>
      <c r="L104" s="322"/>
      <c r="M104" s="322"/>
      <c r="N104" s="323"/>
      <c r="O104" s="324"/>
      <c r="P104" s="387"/>
    </row>
    <row r="105" ht="12.75" customHeight="1">
      <c r="A105" s="322"/>
      <c r="B105" s="322"/>
      <c r="C105" s="322"/>
      <c r="D105" s="322"/>
      <c r="E105" s="337"/>
      <c r="F105" s="324"/>
      <c r="G105" s="324"/>
      <c r="H105" s="387"/>
      <c r="I105" s="388"/>
      <c r="J105" s="322"/>
      <c r="K105" s="322"/>
      <c r="L105" s="322"/>
      <c r="M105" s="322"/>
      <c r="N105" s="337"/>
      <c r="O105" s="324"/>
      <c r="P105" s="387"/>
    </row>
    <row r="106" ht="12.75" customHeight="1">
      <c r="A106" s="322"/>
      <c r="B106" s="338" t="s">
        <v>951</v>
      </c>
      <c r="C106" s="339"/>
      <c r="D106" s="339"/>
      <c r="E106" s="339"/>
      <c r="F106" s="324"/>
      <c r="G106" s="324"/>
      <c r="H106" s="410"/>
      <c r="I106" s="388"/>
      <c r="J106" s="322"/>
      <c r="K106" s="338" t="s">
        <v>951</v>
      </c>
      <c r="L106" s="339"/>
      <c r="M106" s="339"/>
      <c r="N106" s="339"/>
      <c r="O106" s="324"/>
      <c r="P106" s="387"/>
    </row>
    <row r="107" ht="12.75" customHeight="1">
      <c r="A107" s="322"/>
      <c r="B107" s="340" t="s">
        <v>953</v>
      </c>
      <c r="C107" s="341" t="s">
        <v>954</v>
      </c>
      <c r="D107" s="341" t="s">
        <v>955</v>
      </c>
      <c r="E107" s="341" t="s">
        <v>35</v>
      </c>
      <c r="F107" s="324"/>
      <c r="G107" s="324"/>
      <c r="H107" s="387"/>
      <c r="I107" s="388"/>
      <c r="J107" s="322"/>
      <c r="K107" s="340" t="s">
        <v>953</v>
      </c>
      <c r="L107" s="341" t="s">
        <v>954</v>
      </c>
      <c r="M107" s="341" t="s">
        <v>955</v>
      </c>
      <c r="N107" s="341" t="s">
        <v>35</v>
      </c>
      <c r="O107" s="324"/>
      <c r="P107" s="387"/>
    </row>
    <row r="108" ht="12.75" customHeight="1">
      <c r="A108" s="322"/>
      <c r="B108" s="60" t="s">
        <v>1146</v>
      </c>
      <c r="C108" s="342">
        <v>1.0</v>
      </c>
      <c r="D108" s="343">
        <f>'F&amp;B'!$F$65</f>
        <v>9900</v>
      </c>
      <c r="E108" s="67">
        <f t="shared" ref="E108:E109" si="10">IF(OR(ISBLANK(C108),ISBLANK(D108)),"",D108*C108)</f>
        <v>9900</v>
      </c>
      <c r="F108" s="324"/>
      <c r="G108" s="324"/>
      <c r="H108" s="387"/>
      <c r="I108" s="388"/>
      <c r="J108" s="322"/>
      <c r="K108" s="60" t="s">
        <v>1147</v>
      </c>
      <c r="L108" s="342">
        <v>0.12</v>
      </c>
      <c r="M108" s="343">
        <f>'F&amp;B'!$F$90</f>
        <v>108000</v>
      </c>
      <c r="N108" s="67">
        <f t="shared" ref="N108:N110" si="11">IF(OR(ISBLANK(L108),ISBLANK(M108)),"",M108*L108)</f>
        <v>12960</v>
      </c>
      <c r="O108" s="324">
        <f t="shared" ref="O108:O120" si="12">N108/90000</f>
        <v>0.144</v>
      </c>
      <c r="P108" s="387"/>
    </row>
    <row r="109" ht="12.75" customHeight="1">
      <c r="A109" s="322"/>
      <c r="B109" s="75" t="s">
        <v>1148</v>
      </c>
      <c r="C109" s="370">
        <v>0.2</v>
      </c>
      <c r="D109" s="371">
        <f>'F&amp;B'!$F$242/12</f>
        <v>1125</v>
      </c>
      <c r="E109" s="67">
        <f t="shared" si="10"/>
        <v>225</v>
      </c>
      <c r="F109" s="324"/>
      <c r="G109" s="324"/>
      <c r="H109" s="387"/>
      <c r="I109" s="388"/>
      <c r="J109" s="322"/>
      <c r="K109" s="228" t="s">
        <v>1149</v>
      </c>
      <c r="L109" s="405">
        <v>0.5</v>
      </c>
      <c r="M109" s="371">
        <f>D518</f>
        <v>9000</v>
      </c>
      <c r="N109" s="67">
        <f t="shared" si="11"/>
        <v>4500</v>
      </c>
      <c r="O109" s="324">
        <f t="shared" si="12"/>
        <v>0.05</v>
      </c>
      <c r="P109" s="387"/>
    </row>
    <row r="110" ht="12.75" customHeight="1">
      <c r="A110" s="322"/>
      <c r="B110" s="87"/>
      <c r="C110" s="412"/>
      <c r="D110" s="408"/>
      <c r="E110" s="89"/>
      <c r="F110" s="324"/>
      <c r="G110" s="324"/>
      <c r="H110" s="387"/>
      <c r="I110" s="388"/>
      <c r="J110" s="322"/>
      <c r="K110" s="406" t="s">
        <v>1114</v>
      </c>
      <c r="L110" s="407">
        <v>0.06</v>
      </c>
      <c r="M110" s="371">
        <f>D214</f>
        <v>13500</v>
      </c>
      <c r="N110" s="67">
        <f t="shared" si="11"/>
        <v>810</v>
      </c>
      <c r="O110" s="324">
        <f t="shared" si="12"/>
        <v>0.009</v>
      </c>
      <c r="P110" s="387"/>
    </row>
    <row r="111" ht="12.75" customHeight="1">
      <c r="A111" s="322"/>
      <c r="B111" s="338" t="s">
        <v>84</v>
      </c>
      <c r="C111" s="358"/>
      <c r="D111" s="358"/>
      <c r="E111" s="359">
        <f>IF(SUM(E108:E110)=0,"",SUM(E108:E110))</f>
        <v>10125</v>
      </c>
      <c r="F111" s="324"/>
      <c r="G111" s="324"/>
      <c r="H111" s="387"/>
      <c r="I111" s="388"/>
      <c r="J111" s="322"/>
      <c r="K111" s="338" t="s">
        <v>84</v>
      </c>
      <c r="L111" s="358"/>
      <c r="M111" s="358"/>
      <c r="N111" s="359">
        <f>IF(SUM(N108:N110)=0,"",SUM(N108:N110))</f>
        <v>18270</v>
      </c>
      <c r="O111" s="324">
        <f t="shared" si="12"/>
        <v>0.203</v>
      </c>
      <c r="P111" s="387"/>
    </row>
    <row r="112" ht="12.75" customHeight="1">
      <c r="A112" s="322"/>
      <c r="B112" s="360"/>
      <c r="C112" s="360"/>
      <c r="D112" s="360"/>
      <c r="E112" s="361"/>
      <c r="F112" s="324"/>
      <c r="G112" s="324"/>
      <c r="H112" s="387"/>
      <c r="I112" s="388"/>
      <c r="J112" s="322"/>
      <c r="K112" s="360"/>
      <c r="L112" s="360"/>
      <c r="M112" s="360"/>
      <c r="N112" s="361"/>
      <c r="O112" s="324">
        <f t="shared" si="12"/>
        <v>0</v>
      </c>
      <c r="P112" s="387"/>
    </row>
    <row r="113" ht="12.75" customHeight="1">
      <c r="A113" s="322"/>
      <c r="B113" s="362" t="s">
        <v>972</v>
      </c>
      <c r="C113" s="363"/>
      <c r="D113" s="363"/>
      <c r="E113" s="363"/>
      <c r="F113" s="324"/>
      <c r="G113" s="324"/>
      <c r="H113" s="387"/>
      <c r="I113" s="388"/>
      <c r="J113" s="322"/>
      <c r="K113" s="362" t="s">
        <v>972</v>
      </c>
      <c r="L113" s="363"/>
      <c r="M113" s="363"/>
      <c r="N113" s="363"/>
      <c r="O113" s="324">
        <f t="shared" si="12"/>
        <v>0</v>
      </c>
      <c r="P113" s="387"/>
    </row>
    <row r="114" ht="12.75" customHeight="1">
      <c r="A114" s="322"/>
      <c r="B114" s="365" t="s">
        <v>953</v>
      </c>
      <c r="C114" s="366" t="s">
        <v>3</v>
      </c>
      <c r="D114" s="366" t="s">
        <v>975</v>
      </c>
      <c r="E114" s="367" t="s">
        <v>35</v>
      </c>
      <c r="F114" s="324"/>
      <c r="G114" s="324"/>
      <c r="H114" s="387"/>
      <c r="I114" s="388"/>
      <c r="J114" s="322"/>
      <c r="K114" s="365" t="s">
        <v>953</v>
      </c>
      <c r="L114" s="366" t="s">
        <v>3</v>
      </c>
      <c r="M114" s="366" t="s">
        <v>975</v>
      </c>
      <c r="N114" s="367" t="s">
        <v>35</v>
      </c>
      <c r="O114" s="324" t="str">
        <f t="shared" si="12"/>
        <v>#VALUE!</v>
      </c>
      <c r="P114" s="387"/>
    </row>
    <row r="115" ht="12.75" customHeight="1">
      <c r="A115" s="322"/>
      <c r="B115" s="368"/>
      <c r="C115" s="366"/>
      <c r="D115" s="366"/>
      <c r="E115" s="368"/>
      <c r="F115" s="324"/>
      <c r="G115" s="324"/>
      <c r="H115" s="387"/>
      <c r="I115" s="388"/>
      <c r="J115" s="322"/>
      <c r="K115" s="368"/>
      <c r="L115" s="366"/>
      <c r="M115" s="366"/>
      <c r="N115" s="368"/>
      <c r="O115" s="324">
        <f t="shared" si="12"/>
        <v>0</v>
      </c>
      <c r="P115" s="387"/>
    </row>
    <row r="116" ht="12.75" customHeight="1">
      <c r="A116" s="322"/>
      <c r="B116" s="60" t="s">
        <v>1151</v>
      </c>
      <c r="C116" s="342">
        <v>0.12</v>
      </c>
      <c r="D116" s="343">
        <f>'F&amp;B'!$F$285</f>
        <v>8100</v>
      </c>
      <c r="E116" s="67">
        <f t="shared" ref="E116:E125" si="13">D116*C116</f>
        <v>972</v>
      </c>
      <c r="F116" s="324"/>
      <c r="G116" s="324"/>
      <c r="H116" s="387"/>
      <c r="I116" s="388"/>
      <c r="J116" s="322"/>
      <c r="K116" s="60" t="s">
        <v>291</v>
      </c>
      <c r="L116" s="342">
        <v>1.0</v>
      </c>
      <c r="M116" s="343">
        <f>'F&amp;B'!$F$280</f>
        <v>2970</v>
      </c>
      <c r="N116" s="67">
        <f t="shared" ref="N116:N125" si="14">M116*L116</f>
        <v>2970</v>
      </c>
      <c r="O116" s="324">
        <f t="shared" si="12"/>
        <v>0.033</v>
      </c>
      <c r="P116" s="387"/>
    </row>
    <row r="117" ht="12.75" customHeight="1">
      <c r="A117" s="322"/>
      <c r="B117" s="75" t="s">
        <v>1080</v>
      </c>
      <c r="C117" s="370">
        <v>0.05</v>
      </c>
      <c r="D117" s="371">
        <f>'F&amp;B'!$F$60*3</f>
        <v>29700</v>
      </c>
      <c r="E117" s="67">
        <f t="shared" si="13"/>
        <v>1485</v>
      </c>
      <c r="F117" s="324"/>
      <c r="G117" s="324"/>
      <c r="H117" s="387"/>
      <c r="I117" s="388"/>
      <c r="J117" s="322"/>
      <c r="K117" s="75" t="s">
        <v>310</v>
      </c>
      <c r="L117" s="370">
        <v>1.0</v>
      </c>
      <c r="M117" s="371">
        <f>D120</f>
        <v>1303.068898</v>
      </c>
      <c r="N117" s="67">
        <f t="shared" si="14"/>
        <v>1303.068898</v>
      </c>
      <c r="O117" s="324">
        <f t="shared" si="12"/>
        <v>0.01447854331</v>
      </c>
      <c r="P117" s="387"/>
    </row>
    <row r="118" ht="12.75" customHeight="1">
      <c r="A118" s="322"/>
      <c r="B118" s="75" t="s">
        <v>273</v>
      </c>
      <c r="C118" s="370">
        <v>0.002</v>
      </c>
      <c r="D118" s="371">
        <f>'F&amp;B'!$F$283</f>
        <v>9000</v>
      </c>
      <c r="E118" s="67">
        <f t="shared" si="13"/>
        <v>18</v>
      </c>
      <c r="F118" s="324"/>
      <c r="G118" s="324"/>
      <c r="H118" s="387"/>
      <c r="I118" s="388"/>
      <c r="J118" s="322"/>
      <c r="K118" s="228" t="s">
        <v>1153</v>
      </c>
      <c r="L118" s="405">
        <v>0.04</v>
      </c>
      <c r="M118" s="371">
        <f>'F&amp;B'!F189</f>
        <v>144000</v>
      </c>
      <c r="N118" s="67">
        <f t="shared" si="14"/>
        <v>5760</v>
      </c>
      <c r="O118" s="324">
        <f t="shared" si="12"/>
        <v>0.064</v>
      </c>
      <c r="P118" s="387"/>
    </row>
    <row r="119" ht="12.75" customHeight="1">
      <c r="A119" s="322"/>
      <c r="B119" s="75" t="s">
        <v>1070</v>
      </c>
      <c r="C119" s="370">
        <v>0.02</v>
      </c>
      <c r="D119" s="371">
        <f>M30</f>
        <v>13764.70588</v>
      </c>
      <c r="E119" s="67">
        <f t="shared" si="13"/>
        <v>275.2941176</v>
      </c>
      <c r="F119" s="324"/>
      <c r="G119" s="324"/>
      <c r="H119" s="387"/>
      <c r="I119" s="388"/>
      <c r="J119" s="322"/>
      <c r="K119" s="228" t="s">
        <v>1154</v>
      </c>
      <c r="L119" s="398">
        <v>0.3</v>
      </c>
      <c r="M119" s="371">
        <f>1*90000</f>
        <v>90000</v>
      </c>
      <c r="N119" s="67">
        <f t="shared" si="14"/>
        <v>27000</v>
      </c>
      <c r="O119" s="324">
        <f t="shared" si="12"/>
        <v>0.3</v>
      </c>
      <c r="P119" s="387"/>
    </row>
    <row r="120" ht="12.75" customHeight="1">
      <c r="A120" s="322"/>
      <c r="B120" s="75" t="s">
        <v>310</v>
      </c>
      <c r="C120" s="370">
        <v>1.0</v>
      </c>
      <c r="D120" s="371">
        <f>SAUCES!$L$77</f>
        <v>1303.068898</v>
      </c>
      <c r="E120" s="67">
        <f t="shared" si="13"/>
        <v>1303.068898</v>
      </c>
      <c r="F120" s="324"/>
      <c r="G120" s="324"/>
      <c r="H120" s="387"/>
      <c r="I120" s="388"/>
      <c r="J120" s="322"/>
      <c r="K120" s="228" t="s">
        <v>817</v>
      </c>
      <c r="L120" s="398">
        <v>0.02</v>
      </c>
      <c r="M120" s="371">
        <f>D121</f>
        <v>6750</v>
      </c>
      <c r="N120" s="67">
        <f t="shared" si="14"/>
        <v>135</v>
      </c>
      <c r="O120" s="324">
        <f t="shared" si="12"/>
        <v>0.0015</v>
      </c>
      <c r="P120" s="387"/>
    </row>
    <row r="121" ht="12.75" customHeight="1">
      <c r="A121" s="322"/>
      <c r="B121" s="75" t="s">
        <v>817</v>
      </c>
      <c r="C121" s="346">
        <v>0.01</v>
      </c>
      <c r="D121" s="435">
        <f>'F&amp;B'!$F$293</f>
        <v>6750</v>
      </c>
      <c r="E121" s="67">
        <f t="shared" si="13"/>
        <v>67.5</v>
      </c>
      <c r="F121" s="324"/>
      <c r="G121" s="324"/>
      <c r="H121" s="387"/>
      <c r="I121" s="388"/>
      <c r="J121" s="322"/>
      <c r="K121" s="228" t="s">
        <v>1155</v>
      </c>
      <c r="L121" s="398">
        <v>0.03</v>
      </c>
      <c r="M121" s="373">
        <f>D166</f>
        <v>65250</v>
      </c>
      <c r="N121" s="67">
        <f t="shared" si="14"/>
        <v>1957.5</v>
      </c>
      <c r="O121" s="324"/>
      <c r="P121" s="387"/>
    </row>
    <row r="122" ht="12.75" customHeight="1">
      <c r="A122" s="322"/>
      <c r="B122" s="348"/>
      <c r="C122" s="346"/>
      <c r="D122" s="373"/>
      <c r="E122" s="67">
        <f t="shared" si="13"/>
        <v>0</v>
      </c>
      <c r="F122" s="324"/>
      <c r="G122" s="324"/>
      <c r="H122" s="387"/>
      <c r="I122" s="388"/>
      <c r="J122" s="322"/>
      <c r="K122" s="348"/>
      <c r="L122" s="346"/>
      <c r="M122" s="373"/>
      <c r="N122" s="67">
        <f t="shared" si="14"/>
        <v>0</v>
      </c>
      <c r="O122" s="324"/>
      <c r="P122" s="387"/>
    </row>
    <row r="123" ht="12.75" customHeight="1">
      <c r="A123" s="322"/>
      <c r="B123" s="348"/>
      <c r="C123" s="346"/>
      <c r="D123" s="373"/>
      <c r="E123" s="67">
        <f t="shared" si="13"/>
        <v>0</v>
      </c>
      <c r="F123" s="324"/>
      <c r="G123" s="324"/>
      <c r="H123" s="387"/>
      <c r="I123" s="388"/>
      <c r="J123" s="322"/>
      <c r="K123" s="348"/>
      <c r="L123" s="346"/>
      <c r="M123" s="373"/>
      <c r="N123" s="67">
        <f t="shared" si="14"/>
        <v>0</v>
      </c>
      <c r="O123" s="324"/>
      <c r="P123" s="387"/>
    </row>
    <row r="124" ht="12.75" customHeight="1">
      <c r="A124" s="322"/>
      <c r="B124" s="348"/>
      <c r="C124" s="346"/>
      <c r="D124" s="373"/>
      <c r="E124" s="67">
        <f t="shared" si="13"/>
        <v>0</v>
      </c>
      <c r="F124" s="324"/>
      <c r="G124" s="324"/>
      <c r="H124" s="387"/>
      <c r="I124" s="388"/>
      <c r="J124" s="322"/>
      <c r="K124" s="348"/>
      <c r="L124" s="346"/>
      <c r="M124" s="373"/>
      <c r="N124" s="67">
        <f t="shared" si="14"/>
        <v>0</v>
      </c>
      <c r="O124" s="324"/>
      <c r="P124" s="387"/>
    </row>
    <row r="125" ht="12.75" customHeight="1">
      <c r="A125" s="322"/>
      <c r="B125" s="354"/>
      <c r="C125" s="355"/>
      <c r="D125" s="356"/>
      <c r="E125" s="67">
        <f t="shared" si="13"/>
        <v>0</v>
      </c>
      <c r="F125" s="324"/>
      <c r="G125" s="324"/>
      <c r="H125" s="387"/>
      <c r="I125" s="388"/>
      <c r="J125" s="322"/>
      <c r="K125" s="354"/>
      <c r="L125" s="355"/>
      <c r="M125" s="356"/>
      <c r="N125" s="67">
        <f t="shared" si="14"/>
        <v>0</v>
      </c>
      <c r="O125" s="324"/>
      <c r="P125" s="387"/>
    </row>
    <row r="126" ht="12.75" customHeight="1">
      <c r="A126" s="322"/>
      <c r="B126" s="362" t="s">
        <v>84</v>
      </c>
      <c r="C126" s="374"/>
      <c r="D126" s="374"/>
      <c r="E126" s="375">
        <f>IF(SUM(E116:E125)=0,"",SUM(E116:E125))</f>
        <v>4120.863015</v>
      </c>
      <c r="F126" s="324"/>
      <c r="G126" s="324"/>
      <c r="H126" s="387"/>
      <c r="I126" s="388"/>
      <c r="J126" s="322"/>
      <c r="K126" s="362" t="s">
        <v>84</v>
      </c>
      <c r="L126" s="374"/>
      <c r="M126" s="374"/>
      <c r="N126" s="375">
        <f>IF(SUM(N116:N125)=0,"",SUM(N116:N125))</f>
        <v>39125.5689</v>
      </c>
      <c r="O126" s="324"/>
      <c r="P126" s="387"/>
    </row>
    <row r="127" ht="12.75" customHeight="1">
      <c r="A127" s="322"/>
      <c r="B127" s="360"/>
      <c r="C127" s="360"/>
      <c r="D127" s="360"/>
      <c r="E127" s="361"/>
      <c r="F127" s="324"/>
      <c r="G127" s="324"/>
      <c r="H127" s="387"/>
      <c r="I127" s="388"/>
      <c r="J127" s="322"/>
      <c r="K127" s="360"/>
      <c r="L127" s="360"/>
      <c r="M127" s="360"/>
      <c r="N127" s="361"/>
      <c r="O127" s="324"/>
      <c r="P127" s="387"/>
    </row>
    <row r="128" ht="12.75" customHeight="1">
      <c r="A128" s="322"/>
      <c r="B128" s="34" t="s">
        <v>17</v>
      </c>
      <c r="C128" s="35"/>
      <c r="D128" s="35"/>
      <c r="E128" s="35"/>
      <c r="F128" s="324"/>
      <c r="G128" s="324"/>
      <c r="H128" s="387"/>
      <c r="I128" s="388"/>
      <c r="J128" s="322"/>
      <c r="K128" s="34" t="s">
        <v>17</v>
      </c>
      <c r="L128" s="35"/>
      <c r="M128" s="35"/>
      <c r="N128" s="35"/>
      <c r="O128" s="324"/>
      <c r="P128" s="387"/>
    </row>
    <row r="129" ht="12.75" customHeight="1">
      <c r="A129" s="322"/>
      <c r="B129" s="52" t="s">
        <v>42</v>
      </c>
      <c r="C129" s="54"/>
      <c r="D129" s="54"/>
      <c r="E129" s="56" t="s">
        <v>35</v>
      </c>
      <c r="F129" s="324"/>
      <c r="G129" s="324"/>
      <c r="H129" s="387"/>
      <c r="I129" s="388"/>
      <c r="J129" s="322"/>
      <c r="K129" s="52" t="s">
        <v>42</v>
      </c>
      <c r="L129" s="54"/>
      <c r="M129" s="54"/>
      <c r="N129" s="56" t="s">
        <v>35</v>
      </c>
      <c r="O129" s="324"/>
      <c r="P129" s="387"/>
    </row>
    <row r="130" ht="12.75" customHeight="1">
      <c r="A130" s="322"/>
      <c r="B130" s="60" t="s">
        <v>40</v>
      </c>
      <c r="C130" s="343">
        <f>'UTL COST'!$B$3</f>
        <v>369000</v>
      </c>
      <c r="D130" s="379">
        <f>'UTL COST'!$C$3</f>
        <v>0.0075</v>
      </c>
      <c r="E130" s="67">
        <v>0.0</v>
      </c>
      <c r="F130" s="324"/>
      <c r="G130" s="324"/>
      <c r="H130" s="387"/>
      <c r="I130" s="388"/>
      <c r="J130" s="322"/>
      <c r="K130" s="60" t="s">
        <v>40</v>
      </c>
      <c r="L130" s="343">
        <f>'UTL COST'!$B$3</f>
        <v>369000</v>
      </c>
      <c r="M130" s="379">
        <f>'UTL COST'!$C$3</f>
        <v>0.0075</v>
      </c>
      <c r="N130" s="67">
        <v>0.0</v>
      </c>
      <c r="O130" s="324"/>
      <c r="P130" s="387"/>
    </row>
    <row r="131" ht="12.75" customHeight="1">
      <c r="A131" s="322"/>
      <c r="B131" s="75" t="s">
        <v>51</v>
      </c>
      <c r="C131" s="371" t="str">
        <f>'UTL COST'!$B$4</f>
        <v>#REF!</v>
      </c>
      <c r="D131" s="382">
        <f>'UTL COST'!$C$4</f>
        <v>7000</v>
      </c>
      <c r="E131" s="76">
        <v>0.0</v>
      </c>
      <c r="F131" s="324"/>
      <c r="G131" s="324"/>
      <c r="H131" s="387"/>
      <c r="I131" s="388"/>
      <c r="J131" s="322"/>
      <c r="K131" s="75" t="s">
        <v>51</v>
      </c>
      <c r="L131" s="371" t="str">
        <f>'UTL COST'!$B$4</f>
        <v>#REF!</v>
      </c>
      <c r="M131" s="382">
        <f>'UTL COST'!$C$4</f>
        <v>7000</v>
      </c>
      <c r="N131" s="76" t="str">
        <f>'UTL COST'!$D$4</f>
        <v>#REF!</v>
      </c>
      <c r="O131" s="324"/>
      <c r="P131" s="387"/>
    </row>
    <row r="132" ht="12.75" customHeight="1">
      <c r="A132" s="322"/>
      <c r="B132" s="75" t="s">
        <v>59</v>
      </c>
      <c r="C132" s="371" t="str">
        <f>'UTL COST'!$B$5</f>
        <v>#REF!</v>
      </c>
      <c r="D132" s="382">
        <f>'UTL COST'!$C$5</f>
        <v>45000</v>
      </c>
      <c r="E132" s="76" t="str">
        <f>'UTL COST'!$D$5</f>
        <v>#REF!</v>
      </c>
      <c r="F132" s="324"/>
      <c r="G132" s="324"/>
      <c r="H132" s="387"/>
      <c r="I132" s="388"/>
      <c r="J132" s="322"/>
      <c r="K132" s="75" t="s">
        <v>59</v>
      </c>
      <c r="L132" s="371" t="str">
        <f>'UTL COST'!$B$5</f>
        <v>#REF!</v>
      </c>
      <c r="M132" s="382">
        <f>'UTL COST'!$C$5</f>
        <v>45000</v>
      </c>
      <c r="N132" s="76" t="str">
        <f>'UTL COST'!$D$5</f>
        <v>#REF!</v>
      </c>
      <c r="O132" s="324"/>
      <c r="P132" s="387"/>
    </row>
    <row r="133" ht="12.75" customHeight="1">
      <c r="A133" s="322"/>
      <c r="B133" s="87" t="s">
        <v>78</v>
      </c>
      <c r="C133" s="371" t="str">
        <f>'UTL COST'!$B$6</f>
        <v>#REF!</v>
      </c>
      <c r="D133" s="383">
        <f>'UTL COST'!$C$6</f>
        <v>525</v>
      </c>
      <c r="E133" s="89">
        <v>0.1</v>
      </c>
      <c r="F133" s="324"/>
      <c r="G133" s="324"/>
      <c r="H133" s="387"/>
      <c r="I133" s="388"/>
      <c r="J133" s="322"/>
      <c r="K133" s="87" t="s">
        <v>78</v>
      </c>
      <c r="L133" s="371" t="str">
        <f>'UTL COST'!$B$6</f>
        <v>#REF!</v>
      </c>
      <c r="M133" s="383">
        <f>'UTL COST'!$C$6</f>
        <v>525</v>
      </c>
      <c r="N133" s="89">
        <v>0.1</v>
      </c>
      <c r="O133" s="324"/>
      <c r="P133" s="387"/>
    </row>
    <row r="134" ht="12.75" customHeight="1">
      <c r="A134" s="322"/>
      <c r="B134" s="34" t="s">
        <v>84</v>
      </c>
      <c r="C134" s="102"/>
      <c r="D134" s="102"/>
      <c r="E134" s="104" t="str">
        <f>IF(SUM(E130:E133)=0,"",SUM(E130:E133))</f>
        <v>#REF!</v>
      </c>
      <c r="F134" s="324"/>
      <c r="G134" s="324"/>
      <c r="H134" s="387"/>
      <c r="I134" s="388"/>
      <c r="J134" s="322"/>
      <c r="K134" s="34" t="s">
        <v>84</v>
      </c>
      <c r="L134" s="102"/>
      <c r="M134" s="102"/>
      <c r="N134" s="104" t="str">
        <f>IF(SUM(N130:N133)=0,"",SUM(N130:N133))</f>
        <v>#REF!</v>
      </c>
      <c r="O134" s="324"/>
      <c r="P134" s="387"/>
    </row>
    <row r="135" ht="12.75" customHeight="1">
      <c r="A135" s="322"/>
      <c r="B135" s="360"/>
      <c r="C135" s="360"/>
      <c r="D135" s="360"/>
      <c r="E135" s="361"/>
      <c r="F135" s="324"/>
      <c r="G135" s="324"/>
      <c r="H135" s="387"/>
      <c r="I135" s="388"/>
      <c r="J135" s="322"/>
      <c r="K135" s="360"/>
      <c r="L135" s="360"/>
      <c r="M135" s="360"/>
      <c r="N135" s="361"/>
      <c r="O135" s="324"/>
      <c r="P135" s="387"/>
    </row>
    <row r="136" ht="12.75" customHeight="1">
      <c r="A136" s="387"/>
      <c r="B136" s="387"/>
      <c r="C136" s="387"/>
      <c r="D136" s="387"/>
      <c r="E136" s="418"/>
      <c r="F136" s="387"/>
      <c r="G136" s="387"/>
      <c r="H136" s="387"/>
      <c r="I136" s="387"/>
      <c r="J136" s="387"/>
      <c r="K136" s="387"/>
      <c r="L136" s="387"/>
      <c r="M136" s="387"/>
      <c r="N136" s="387"/>
      <c r="O136" s="387"/>
      <c r="P136" s="387"/>
    </row>
    <row r="137" ht="12.75" customHeight="1">
      <c r="A137" s="388"/>
      <c r="B137" s="388"/>
      <c r="C137" s="388"/>
      <c r="D137" s="388"/>
      <c r="E137" s="389"/>
      <c r="F137" s="387"/>
      <c r="G137" s="387"/>
      <c r="H137" s="387"/>
      <c r="I137" s="388"/>
      <c r="J137" s="388"/>
      <c r="K137" s="388"/>
      <c r="L137" s="388"/>
      <c r="M137" s="388"/>
      <c r="N137" s="389"/>
      <c r="O137" s="387"/>
      <c r="P137" s="387"/>
    </row>
    <row r="138" ht="12.75" customHeight="1">
      <c r="A138" s="388"/>
      <c r="B138" s="388"/>
      <c r="C138" s="388"/>
      <c r="D138" s="388"/>
      <c r="E138" s="389"/>
      <c r="F138" s="387"/>
      <c r="G138" s="387"/>
      <c r="H138" s="387"/>
      <c r="I138" s="388"/>
      <c r="J138" s="388"/>
      <c r="K138" s="388"/>
      <c r="L138" s="388"/>
      <c r="M138" s="388"/>
      <c r="N138" s="389"/>
      <c r="O138" s="387"/>
      <c r="P138" s="387"/>
    </row>
    <row r="139" ht="12.75" customHeight="1">
      <c r="A139" s="387"/>
      <c r="B139" s="387"/>
      <c r="C139" s="387"/>
      <c r="D139" s="387"/>
      <c r="E139" s="418"/>
      <c r="F139" s="387"/>
      <c r="G139" s="387"/>
      <c r="H139" s="387"/>
      <c r="I139" s="387"/>
      <c r="J139" s="387"/>
      <c r="K139" s="387"/>
      <c r="L139" s="387"/>
      <c r="M139" s="387"/>
      <c r="N139" s="387"/>
      <c r="O139" s="387"/>
      <c r="P139" s="387"/>
    </row>
    <row r="140" ht="12.75" customHeight="1">
      <c r="A140" s="322"/>
      <c r="B140" s="322"/>
      <c r="C140" s="322"/>
      <c r="D140" s="322"/>
      <c r="E140" s="323"/>
      <c r="F140" s="324"/>
      <c r="G140" s="324"/>
      <c r="H140" s="387"/>
      <c r="I140" s="387"/>
      <c r="J140" s="322"/>
      <c r="K140" s="322"/>
      <c r="L140" s="322"/>
      <c r="M140" s="322"/>
      <c r="N140" s="323"/>
      <c r="O140" s="324"/>
      <c r="P140" s="451"/>
    </row>
    <row r="141" ht="12.75" customHeight="1">
      <c r="A141" s="322"/>
      <c r="B141" s="325"/>
      <c r="C141" s="322"/>
      <c r="D141" s="322"/>
      <c r="E141" s="323"/>
      <c r="F141" s="326"/>
      <c r="G141" s="326"/>
      <c r="H141" s="404"/>
      <c r="I141" s="387"/>
      <c r="J141" s="322"/>
      <c r="K141" s="325"/>
      <c r="L141" s="322"/>
      <c r="M141" s="322"/>
      <c r="N141" s="323"/>
      <c r="O141" s="326"/>
      <c r="P141" s="452"/>
    </row>
    <row r="142" ht="12.75" customHeight="1">
      <c r="A142" s="322"/>
      <c r="B142" s="327" t="s">
        <v>931</v>
      </c>
      <c r="C142" s="328" t="s">
        <v>249</v>
      </c>
      <c r="D142" s="329"/>
      <c r="E142" s="323"/>
      <c r="F142" s="326"/>
      <c r="G142" s="326"/>
      <c r="H142" s="404"/>
      <c r="I142" s="387"/>
      <c r="J142" s="322"/>
      <c r="K142" s="327" t="s">
        <v>931</v>
      </c>
      <c r="L142" s="328" t="s">
        <v>1157</v>
      </c>
      <c r="M142" s="329"/>
      <c r="N142" s="323"/>
      <c r="O142" s="326"/>
      <c r="P142" s="452"/>
    </row>
    <row r="143" ht="12.75" customHeight="1">
      <c r="A143" s="322"/>
      <c r="B143" s="325"/>
      <c r="C143" s="322"/>
      <c r="D143" s="322"/>
      <c r="E143" s="323"/>
      <c r="F143" s="326"/>
      <c r="G143" s="326"/>
      <c r="H143" s="404"/>
      <c r="I143" s="387"/>
      <c r="J143" s="322"/>
      <c r="K143" s="325"/>
      <c r="L143" s="322"/>
      <c r="M143" s="322"/>
      <c r="N143" s="323"/>
      <c r="O143" s="326"/>
      <c r="P143" s="452"/>
    </row>
    <row r="144" ht="12.75" customHeight="1">
      <c r="A144" s="322"/>
      <c r="B144" s="327" t="s">
        <v>935</v>
      </c>
      <c r="C144" s="331">
        <v>230000.0</v>
      </c>
      <c r="D144" s="329"/>
      <c r="E144" s="323"/>
      <c r="F144" s="326"/>
      <c r="G144" s="326"/>
      <c r="H144" s="404"/>
      <c r="I144" s="387"/>
      <c r="J144" s="322"/>
      <c r="K144" s="327" t="s">
        <v>935</v>
      </c>
      <c r="L144" s="331">
        <v>180000.0</v>
      </c>
      <c r="M144" s="329"/>
      <c r="N144" s="323"/>
      <c r="O144" s="326"/>
      <c r="P144" s="452"/>
    </row>
    <row r="145" ht="12.75" customHeight="1">
      <c r="A145" s="322"/>
      <c r="B145" s="327"/>
      <c r="C145" s="332"/>
      <c r="D145" s="332"/>
      <c r="E145" s="323"/>
      <c r="F145" s="326"/>
      <c r="G145" s="326"/>
      <c r="H145" s="404"/>
      <c r="I145" s="387"/>
      <c r="J145" s="322"/>
      <c r="K145" s="327"/>
      <c r="L145" s="332"/>
      <c r="M145" s="332"/>
      <c r="N145" s="323"/>
      <c r="O145" s="326"/>
      <c r="P145" s="452"/>
    </row>
    <row r="146" ht="12.75" customHeight="1">
      <c r="A146" s="322"/>
      <c r="B146" s="327" t="s">
        <v>939</v>
      </c>
      <c r="C146" s="333" t="str">
        <f>IF(SUM(E158,E173,E181)=0,"",SUM(E158,E173,E181))</f>
        <v>#REF!</v>
      </c>
      <c r="D146" s="321"/>
      <c r="E146" s="323"/>
      <c r="F146" s="326"/>
      <c r="G146" s="326"/>
      <c r="H146" s="404"/>
      <c r="I146" s="387"/>
      <c r="J146" s="322"/>
      <c r="K146" s="327" t="s">
        <v>939</v>
      </c>
      <c r="L146" s="333" t="str">
        <f>IF(SUM(N158,N173,N181)=0,"",SUM(N158,N173,N181))</f>
        <v>#REF!</v>
      </c>
      <c r="M146" s="321"/>
      <c r="N146" s="323"/>
      <c r="O146" s="326"/>
      <c r="P146" s="452"/>
    </row>
    <row r="147" ht="12.75" customHeight="1">
      <c r="A147" s="322"/>
      <c r="B147" s="327"/>
      <c r="C147" s="334"/>
      <c r="D147" s="334"/>
      <c r="E147" s="323"/>
      <c r="F147" s="326"/>
      <c r="G147" s="326"/>
      <c r="H147" s="404"/>
      <c r="I147" s="387"/>
      <c r="J147" s="322"/>
      <c r="K147" s="327"/>
      <c r="L147" s="334"/>
      <c r="M147" s="334"/>
      <c r="N147" s="323"/>
      <c r="O147" s="326"/>
      <c r="P147" s="452"/>
    </row>
    <row r="148" ht="12.75" customHeight="1">
      <c r="A148" s="322"/>
      <c r="B148" s="327" t="s">
        <v>946</v>
      </c>
      <c r="C148" s="335" t="str">
        <f>IF(C146="","",IF(ISBLANK(C144),"",C146/C144))</f>
        <v>#REF!</v>
      </c>
      <c r="D148" s="321"/>
      <c r="E148" s="323"/>
      <c r="F148" s="326"/>
      <c r="G148" s="326"/>
      <c r="H148" s="404"/>
      <c r="I148" s="387"/>
      <c r="J148" s="322"/>
      <c r="K148" s="327" t="s">
        <v>946</v>
      </c>
      <c r="L148" s="335" t="str">
        <f>IF(L146="","",IF(ISBLANK(L144),"",L146/L144))</f>
        <v>#REF!</v>
      </c>
      <c r="M148" s="321"/>
      <c r="N148" s="323"/>
      <c r="O148" s="326"/>
      <c r="P148" s="452"/>
    </row>
    <row r="149" ht="12.75" customHeight="1">
      <c r="A149" s="322"/>
      <c r="B149" s="327"/>
      <c r="C149" s="334"/>
      <c r="D149" s="334"/>
      <c r="E149" s="323"/>
      <c r="F149" s="326"/>
      <c r="G149" s="326"/>
      <c r="H149" s="404"/>
      <c r="I149" s="387"/>
      <c r="J149" s="322"/>
      <c r="K149" s="327"/>
      <c r="L149" s="334"/>
      <c r="M149" s="334"/>
      <c r="N149" s="323"/>
      <c r="O149" s="326"/>
      <c r="P149" s="452"/>
    </row>
    <row r="150" ht="12.75" customHeight="1">
      <c r="A150" s="322"/>
      <c r="B150" s="327" t="s">
        <v>950</v>
      </c>
      <c r="C150" s="333" t="str">
        <f>C144-C146</f>
        <v>#REF!</v>
      </c>
      <c r="D150" s="321"/>
      <c r="E150" s="323"/>
      <c r="F150" s="326"/>
      <c r="G150" s="326"/>
      <c r="H150" s="404"/>
      <c r="I150" s="387"/>
      <c r="J150" s="322"/>
      <c r="K150" s="327" t="s">
        <v>950</v>
      </c>
      <c r="L150" s="333" t="str">
        <f>L144-L146</f>
        <v>#REF!</v>
      </c>
      <c r="M150" s="321"/>
      <c r="N150" s="323"/>
      <c r="O150" s="326"/>
      <c r="P150" s="452"/>
    </row>
    <row r="151" ht="12.75" customHeight="1">
      <c r="A151" s="322"/>
      <c r="B151" s="322"/>
      <c r="C151" s="322"/>
      <c r="D151" s="322"/>
      <c r="E151" s="323"/>
      <c r="F151" s="324"/>
      <c r="G151" s="324"/>
      <c r="H151" s="404"/>
      <c r="I151" s="387"/>
      <c r="J151" s="322"/>
      <c r="K151" s="322"/>
      <c r="L151" s="322"/>
      <c r="M151" s="322"/>
      <c r="N151" s="323"/>
      <c r="O151" s="324"/>
      <c r="P151" s="451"/>
    </row>
    <row r="152" ht="12.75" customHeight="1">
      <c r="A152" s="322"/>
      <c r="B152" s="322"/>
      <c r="C152" s="322"/>
      <c r="D152" s="322"/>
      <c r="E152" s="337"/>
      <c r="F152" s="324"/>
      <c r="G152" s="324"/>
      <c r="H152" s="387"/>
      <c r="I152" s="387"/>
      <c r="J152" s="322"/>
      <c r="K152" s="322"/>
      <c r="L152" s="322"/>
      <c r="M152" s="322"/>
      <c r="N152" s="337"/>
      <c r="O152" s="324"/>
      <c r="P152" s="451"/>
    </row>
    <row r="153" ht="12.75" customHeight="1">
      <c r="A153" s="322"/>
      <c r="B153" s="338" t="s">
        <v>951</v>
      </c>
      <c r="C153" s="339"/>
      <c r="D153" s="339"/>
      <c r="E153" s="339"/>
      <c r="F153" s="324"/>
      <c r="G153" s="324"/>
      <c r="H153" s="410"/>
      <c r="I153" s="387"/>
      <c r="J153" s="322"/>
      <c r="K153" s="338" t="s">
        <v>951</v>
      </c>
      <c r="L153" s="339"/>
      <c r="M153" s="339"/>
      <c r="N153" s="339"/>
      <c r="O153" s="324"/>
      <c r="P153" s="451"/>
    </row>
    <row r="154" ht="12.75" customHeight="1">
      <c r="A154" s="322"/>
      <c r="B154" s="340" t="s">
        <v>953</v>
      </c>
      <c r="C154" s="341" t="s">
        <v>954</v>
      </c>
      <c r="D154" s="341" t="s">
        <v>955</v>
      </c>
      <c r="E154" s="341" t="s">
        <v>35</v>
      </c>
      <c r="F154" s="324"/>
      <c r="G154" s="324"/>
      <c r="H154" s="387"/>
      <c r="I154" s="387"/>
      <c r="J154" s="322"/>
      <c r="K154" s="340" t="s">
        <v>953</v>
      </c>
      <c r="L154" s="341" t="s">
        <v>954</v>
      </c>
      <c r="M154" s="341" t="s">
        <v>955</v>
      </c>
      <c r="N154" s="341" t="s">
        <v>35</v>
      </c>
      <c r="O154" s="324"/>
      <c r="P154" s="451"/>
    </row>
    <row r="155" ht="12.75" customHeight="1">
      <c r="A155" s="322"/>
      <c r="B155" s="60" t="s">
        <v>703</v>
      </c>
      <c r="C155" s="342">
        <v>0.16</v>
      </c>
      <c r="D155" s="343">
        <f>M63</f>
        <v>81000</v>
      </c>
      <c r="E155" s="67">
        <f t="shared" ref="E155:E157" si="15">IF(OR(ISBLANK(C155),ISBLANK(D155)),"",D155*C155)</f>
        <v>12960</v>
      </c>
      <c r="F155" s="324"/>
      <c r="G155" s="324"/>
      <c r="H155" s="387"/>
      <c r="I155" s="387"/>
      <c r="J155" s="322"/>
      <c r="K155" s="60" t="s">
        <v>1160</v>
      </c>
      <c r="L155" s="344">
        <v>0.1</v>
      </c>
      <c r="M155" s="343">
        <f>'F&amp;B'!$F$270</f>
        <v>15840</v>
      </c>
      <c r="N155" s="67">
        <f t="shared" ref="N155:N157" si="16">IF(OR(ISBLANK(L155),ISBLANK(M155)),"",M155*L155)</f>
        <v>1584</v>
      </c>
      <c r="O155" s="324"/>
      <c r="P155" s="451"/>
    </row>
    <row r="156" ht="12.75" customHeight="1">
      <c r="A156" s="322"/>
      <c r="B156" s="75" t="s">
        <v>850</v>
      </c>
      <c r="C156" s="370">
        <v>0.05</v>
      </c>
      <c r="D156" s="371">
        <f>SANDWICHES!$D$27</f>
        <v>63000</v>
      </c>
      <c r="E156" s="67">
        <f t="shared" si="15"/>
        <v>3150</v>
      </c>
      <c r="F156" s="324"/>
      <c r="G156" s="324"/>
      <c r="H156" s="387"/>
      <c r="I156" s="387"/>
      <c r="J156" s="322"/>
      <c r="K156" s="75"/>
      <c r="L156" s="370"/>
      <c r="M156" s="371"/>
      <c r="N156" s="67" t="str">
        <f t="shared" si="16"/>
        <v/>
      </c>
      <c r="O156" s="324"/>
      <c r="P156" s="451"/>
    </row>
    <row r="157" ht="12.75" customHeight="1">
      <c r="A157" s="322"/>
      <c r="B157" s="87" t="s">
        <v>1046</v>
      </c>
      <c r="C157" s="412">
        <v>0.05</v>
      </c>
      <c r="D157" s="408">
        <f>SANDWICHES!$D$72</f>
        <v>103500</v>
      </c>
      <c r="E157" s="67">
        <f t="shared" si="15"/>
        <v>5175</v>
      </c>
      <c r="F157" s="324"/>
      <c r="G157" s="324"/>
      <c r="H157" s="387"/>
      <c r="I157" s="387"/>
      <c r="J157" s="322"/>
      <c r="K157" s="87"/>
      <c r="L157" s="412"/>
      <c r="M157" s="408"/>
      <c r="N157" s="67" t="str">
        <f t="shared" si="16"/>
        <v/>
      </c>
      <c r="O157" s="324"/>
      <c r="P157" s="451"/>
    </row>
    <row r="158" ht="12.75" customHeight="1">
      <c r="A158" s="322"/>
      <c r="B158" s="338" t="s">
        <v>84</v>
      </c>
      <c r="C158" s="358"/>
      <c r="D158" s="358"/>
      <c r="E158" s="359">
        <f>IF(SUM(E155:E157)=0,"",SUM(E155:E157))</f>
        <v>21285</v>
      </c>
      <c r="F158" s="324"/>
      <c r="G158" s="324"/>
      <c r="H158" s="387"/>
      <c r="I158" s="387"/>
      <c r="J158" s="322"/>
      <c r="K158" s="338" t="s">
        <v>84</v>
      </c>
      <c r="L158" s="358"/>
      <c r="M158" s="358"/>
      <c r="N158" s="359">
        <f>IF(SUM(N155:N157)=0,"",SUM(N155:N157))</f>
        <v>1584</v>
      </c>
      <c r="O158" s="324"/>
      <c r="P158" s="451"/>
    </row>
    <row r="159" ht="12.75" customHeight="1">
      <c r="A159" s="322"/>
      <c r="B159" s="360"/>
      <c r="C159" s="360"/>
      <c r="D159" s="360"/>
      <c r="E159" s="361"/>
      <c r="F159" s="324"/>
      <c r="G159" s="324"/>
      <c r="H159" s="387"/>
      <c r="I159" s="387"/>
      <c r="J159" s="322"/>
      <c r="K159" s="360"/>
      <c r="L159" s="360"/>
      <c r="M159" s="360"/>
      <c r="N159" s="361"/>
      <c r="O159" s="324"/>
      <c r="P159" s="451"/>
    </row>
    <row r="160" ht="12.75" customHeight="1">
      <c r="A160" s="322"/>
      <c r="B160" s="362" t="s">
        <v>972</v>
      </c>
      <c r="C160" s="363"/>
      <c r="D160" s="363"/>
      <c r="E160" s="363"/>
      <c r="F160" s="324"/>
      <c r="G160" s="324"/>
      <c r="H160" s="387"/>
      <c r="I160" s="387"/>
      <c r="J160" s="322"/>
      <c r="K160" s="362" t="s">
        <v>972</v>
      </c>
      <c r="L160" s="363"/>
      <c r="M160" s="363"/>
      <c r="N160" s="363"/>
      <c r="O160" s="324"/>
      <c r="P160" s="451"/>
    </row>
    <row r="161" ht="12.75" customHeight="1">
      <c r="A161" s="322"/>
      <c r="B161" s="365" t="s">
        <v>953</v>
      </c>
      <c r="C161" s="366" t="s">
        <v>3</v>
      </c>
      <c r="D161" s="366" t="s">
        <v>975</v>
      </c>
      <c r="E161" s="367" t="s">
        <v>35</v>
      </c>
      <c r="F161" s="324"/>
      <c r="G161" s="324"/>
      <c r="H161" s="387"/>
      <c r="I161" s="387"/>
      <c r="J161" s="322"/>
      <c r="K161" s="365" t="s">
        <v>953</v>
      </c>
      <c r="L161" s="366" t="s">
        <v>3</v>
      </c>
      <c r="M161" s="366" t="s">
        <v>975</v>
      </c>
      <c r="N161" s="367" t="s">
        <v>35</v>
      </c>
      <c r="O161" s="324"/>
      <c r="P161" s="451"/>
    </row>
    <row r="162" ht="12.75" customHeight="1">
      <c r="A162" s="322"/>
      <c r="B162" s="368"/>
      <c r="C162" s="366"/>
      <c r="D162" s="366"/>
      <c r="E162" s="368"/>
      <c r="F162" s="324"/>
      <c r="G162" s="324"/>
      <c r="H162" s="387"/>
      <c r="I162" s="387"/>
      <c r="J162" s="322"/>
      <c r="K162" s="368"/>
      <c r="L162" s="366"/>
      <c r="M162" s="366"/>
      <c r="N162" s="368"/>
      <c r="O162" s="324"/>
      <c r="P162" s="451"/>
    </row>
    <row r="163" ht="12.75" customHeight="1">
      <c r="A163" s="322"/>
      <c r="B163" s="60" t="s">
        <v>1000</v>
      </c>
      <c r="C163" s="342">
        <v>1.0</v>
      </c>
      <c r="D163" s="343">
        <f>'F&amp;B'!F277</f>
        <v>13500</v>
      </c>
      <c r="E163" s="67">
        <f>D163*C163</f>
        <v>13500</v>
      </c>
      <c r="F163" s="324"/>
      <c r="G163" s="324"/>
      <c r="H163" s="387"/>
      <c r="I163" s="387"/>
      <c r="J163" s="322"/>
      <c r="K163" s="60" t="s">
        <v>1000</v>
      </c>
      <c r="L163" s="342">
        <v>1.0</v>
      </c>
      <c r="M163" s="343">
        <f>D163</f>
        <v>13500</v>
      </c>
      <c r="N163" s="67">
        <f>M163*L163</f>
        <v>13500</v>
      </c>
      <c r="O163" s="324"/>
      <c r="P163" s="451"/>
    </row>
    <row r="164" ht="12.75" customHeight="1">
      <c r="A164" s="322"/>
      <c r="B164" s="75" t="s">
        <v>587</v>
      </c>
      <c r="C164" s="370">
        <v>0.065</v>
      </c>
      <c r="D164" s="371">
        <f>Prep!D80</f>
        <v>7101.575342</v>
      </c>
      <c r="E164" s="67">
        <v>2000.0</v>
      </c>
      <c r="F164" s="324"/>
      <c r="G164" s="324"/>
      <c r="H164" s="387"/>
      <c r="I164" s="387"/>
      <c r="J164" s="322"/>
      <c r="K164" s="75" t="s">
        <v>1162</v>
      </c>
      <c r="L164" s="370">
        <v>0.02</v>
      </c>
      <c r="M164" s="371">
        <f>'F&amp;B'!F289</f>
        <v>5400</v>
      </c>
      <c r="N164" s="67">
        <v>1500.0</v>
      </c>
      <c r="O164" s="324"/>
      <c r="P164" s="451"/>
    </row>
    <row r="165" ht="12.75" customHeight="1">
      <c r="A165" s="322"/>
      <c r="B165" s="75" t="s">
        <v>1080</v>
      </c>
      <c r="C165" s="370">
        <v>0.04</v>
      </c>
      <c r="D165" s="371">
        <f>'F&amp;B'!$F$60*3</f>
        <v>29700</v>
      </c>
      <c r="E165" s="67">
        <f t="shared" ref="E165:E172" si="17">D165*C165</f>
        <v>1188</v>
      </c>
      <c r="F165" s="324"/>
      <c r="G165" s="324"/>
      <c r="H165" s="387"/>
      <c r="I165" s="387"/>
      <c r="J165" s="322"/>
      <c r="K165" s="75" t="s">
        <v>1080</v>
      </c>
      <c r="L165" s="370">
        <v>0.04</v>
      </c>
      <c r="M165" s="371">
        <f>M34</f>
        <v>29700</v>
      </c>
      <c r="N165" s="67">
        <f t="shared" ref="N165:N166" si="18">M165*L165</f>
        <v>1188</v>
      </c>
      <c r="O165" s="324"/>
      <c r="P165" s="451"/>
    </row>
    <row r="166" ht="12.75" customHeight="1">
      <c r="A166" s="322"/>
      <c r="B166" s="75" t="s">
        <v>1113</v>
      </c>
      <c r="C166" s="346">
        <v>0.02</v>
      </c>
      <c r="D166" s="371">
        <f>'F&amp;B'!$F$146</f>
        <v>65250</v>
      </c>
      <c r="E166" s="67">
        <f t="shared" si="17"/>
        <v>1305</v>
      </c>
      <c r="F166" s="324"/>
      <c r="G166" s="324"/>
      <c r="H166" s="387"/>
      <c r="I166" s="387"/>
      <c r="J166" s="322"/>
      <c r="K166" s="75" t="s">
        <v>1115</v>
      </c>
      <c r="L166" s="346">
        <v>0.05</v>
      </c>
      <c r="M166" s="371">
        <f>'F&amp;B'!$F$280</f>
        <v>2970</v>
      </c>
      <c r="N166" s="67">
        <f t="shared" si="18"/>
        <v>148.5</v>
      </c>
      <c r="O166" s="324"/>
      <c r="P166" s="451"/>
    </row>
    <row r="167" ht="12.75" customHeight="1">
      <c r="A167" s="322"/>
      <c r="B167" s="75" t="s">
        <v>1163</v>
      </c>
      <c r="C167" s="346">
        <v>0.05</v>
      </c>
      <c r="D167" s="371">
        <f>STARTERS!D108</f>
        <v>58500</v>
      </c>
      <c r="E167" s="67">
        <f t="shared" si="17"/>
        <v>2925</v>
      </c>
      <c r="F167" s="324"/>
      <c r="G167" s="324"/>
      <c r="H167" s="387"/>
      <c r="I167" s="387"/>
      <c r="J167" s="322"/>
      <c r="K167" s="75"/>
      <c r="L167" s="346"/>
      <c r="M167" s="371"/>
      <c r="N167" s="67"/>
      <c r="O167" s="324"/>
      <c r="P167" s="451"/>
    </row>
    <row r="168" ht="12.75" customHeight="1">
      <c r="A168" s="322"/>
      <c r="B168" s="75" t="s">
        <v>1164</v>
      </c>
      <c r="C168" s="346">
        <v>1.0</v>
      </c>
      <c r="D168" s="371">
        <f>SAUCES!$D$152</f>
        <v>1471.976447</v>
      </c>
      <c r="E168" s="67">
        <f t="shared" si="17"/>
        <v>1471.976447</v>
      </c>
      <c r="F168" s="324"/>
      <c r="G168" s="324"/>
      <c r="H168" s="387"/>
      <c r="I168" s="387"/>
      <c r="J168" s="322"/>
      <c r="K168" s="75" t="s">
        <v>37</v>
      </c>
      <c r="L168" s="346">
        <v>1.0</v>
      </c>
      <c r="M168" s="371">
        <f>SAUCES!$L$16</f>
        <v>629.9629934</v>
      </c>
      <c r="N168" s="67">
        <f t="shared" ref="N168:N172" si="19">M168*L168</f>
        <v>629.9629934</v>
      </c>
      <c r="O168" s="324"/>
      <c r="P168" s="451"/>
    </row>
    <row r="169" ht="12.75" customHeight="1">
      <c r="A169" s="322"/>
      <c r="B169" s="75" t="s">
        <v>1165</v>
      </c>
      <c r="C169" s="346">
        <v>0.045</v>
      </c>
      <c r="D169" s="347">
        <f>'F&amp;B'!$F$293</f>
        <v>6750</v>
      </c>
      <c r="E169" s="67">
        <f t="shared" si="17"/>
        <v>303.75</v>
      </c>
      <c r="F169" s="324"/>
      <c r="G169" s="324"/>
      <c r="H169" s="387"/>
      <c r="I169" s="387"/>
      <c r="J169" s="322"/>
      <c r="K169" s="75" t="s">
        <v>1165</v>
      </c>
      <c r="L169" s="346">
        <v>0.01</v>
      </c>
      <c r="M169" s="371">
        <f>'F&amp;B'!$F$293</f>
        <v>6750</v>
      </c>
      <c r="N169" s="67">
        <f t="shared" si="19"/>
        <v>67.5</v>
      </c>
      <c r="O169" s="324"/>
      <c r="P169" s="451"/>
    </row>
    <row r="170" ht="12.75" customHeight="1">
      <c r="A170" s="322"/>
      <c r="B170" s="348"/>
      <c r="C170" s="346"/>
      <c r="D170" s="373"/>
      <c r="E170" s="67">
        <f t="shared" si="17"/>
        <v>0</v>
      </c>
      <c r="F170" s="324"/>
      <c r="G170" s="324"/>
      <c r="H170" s="387"/>
      <c r="I170" s="387"/>
      <c r="J170" s="322"/>
      <c r="K170" s="348"/>
      <c r="L170" s="346"/>
      <c r="M170" s="373"/>
      <c r="N170" s="67">
        <f t="shared" si="19"/>
        <v>0</v>
      </c>
      <c r="O170" s="324"/>
      <c r="P170" s="451"/>
    </row>
    <row r="171" ht="12.75" customHeight="1">
      <c r="A171" s="322"/>
      <c r="B171" s="348"/>
      <c r="C171" s="346"/>
      <c r="D171" s="373"/>
      <c r="E171" s="67">
        <f t="shared" si="17"/>
        <v>0</v>
      </c>
      <c r="F171" s="324"/>
      <c r="G171" s="324"/>
      <c r="H171" s="387"/>
      <c r="I171" s="387"/>
      <c r="J171" s="322"/>
      <c r="K171" s="348"/>
      <c r="L171" s="346"/>
      <c r="M171" s="373"/>
      <c r="N171" s="67">
        <f t="shared" si="19"/>
        <v>0</v>
      </c>
      <c r="O171" s="324"/>
      <c r="P171" s="451"/>
    </row>
    <row r="172" ht="12.75" customHeight="1">
      <c r="A172" s="322"/>
      <c r="B172" s="354"/>
      <c r="C172" s="355"/>
      <c r="D172" s="356"/>
      <c r="E172" s="67">
        <f t="shared" si="17"/>
        <v>0</v>
      </c>
      <c r="F172" s="324"/>
      <c r="G172" s="324"/>
      <c r="H172" s="387"/>
      <c r="I172" s="387"/>
      <c r="J172" s="322"/>
      <c r="K172" s="354"/>
      <c r="L172" s="355"/>
      <c r="M172" s="356"/>
      <c r="N172" s="67">
        <f t="shared" si="19"/>
        <v>0</v>
      </c>
      <c r="O172" s="324"/>
      <c r="P172" s="451"/>
    </row>
    <row r="173" ht="12.75" customHeight="1">
      <c r="A173" s="322"/>
      <c r="B173" s="362" t="s">
        <v>84</v>
      </c>
      <c r="C173" s="374"/>
      <c r="D173" s="374"/>
      <c r="E173" s="375">
        <f>IF(SUM(E163:E172)=0,"",SUM(E163:E172))</f>
        <v>22693.72645</v>
      </c>
      <c r="F173" s="324"/>
      <c r="G173" s="324"/>
      <c r="H173" s="387"/>
      <c r="I173" s="387"/>
      <c r="J173" s="322"/>
      <c r="K173" s="362" t="s">
        <v>84</v>
      </c>
      <c r="L173" s="374"/>
      <c r="M173" s="374"/>
      <c r="N173" s="375">
        <f>IF(SUM(N163:N172)=0,"",SUM(N163:N172))</f>
        <v>17033.96299</v>
      </c>
      <c r="O173" s="324"/>
      <c r="P173" s="451"/>
    </row>
    <row r="174" ht="12.75" customHeight="1">
      <c r="A174" s="322"/>
      <c r="B174" s="360"/>
      <c r="C174" s="360"/>
      <c r="D174" s="360"/>
      <c r="E174" s="361"/>
      <c r="F174" s="324"/>
      <c r="G174" s="324"/>
      <c r="H174" s="387"/>
      <c r="I174" s="387"/>
      <c r="J174" s="322"/>
      <c r="K174" s="360"/>
      <c r="L174" s="360"/>
      <c r="M174" s="360"/>
      <c r="N174" s="361"/>
      <c r="O174" s="324"/>
      <c r="P174" s="451"/>
    </row>
    <row r="175" ht="12.75" customHeight="1">
      <c r="A175" s="322"/>
      <c r="B175" s="34" t="s">
        <v>17</v>
      </c>
      <c r="C175" s="35"/>
      <c r="D175" s="35"/>
      <c r="E175" s="35"/>
      <c r="F175" s="324"/>
      <c r="G175" s="324"/>
      <c r="H175" s="387"/>
      <c r="I175" s="387"/>
      <c r="J175" s="322"/>
      <c r="K175" s="34" t="s">
        <v>17</v>
      </c>
      <c r="L175" s="35"/>
      <c r="M175" s="35"/>
      <c r="N175" s="35"/>
      <c r="O175" s="324"/>
      <c r="P175" s="451"/>
    </row>
    <row r="176" ht="12.75" customHeight="1">
      <c r="A176" s="322"/>
      <c r="B176" s="52" t="s">
        <v>42</v>
      </c>
      <c r="C176" s="54"/>
      <c r="D176" s="54"/>
      <c r="E176" s="56" t="s">
        <v>35</v>
      </c>
      <c r="F176" s="324"/>
      <c r="G176" s="324"/>
      <c r="H176" s="387"/>
      <c r="I176" s="387"/>
      <c r="J176" s="322"/>
      <c r="K176" s="52" t="s">
        <v>42</v>
      </c>
      <c r="L176" s="54"/>
      <c r="M176" s="54"/>
      <c r="N176" s="56" t="s">
        <v>35</v>
      </c>
      <c r="O176" s="324"/>
      <c r="P176" s="451"/>
    </row>
    <row r="177" ht="12.75" customHeight="1">
      <c r="A177" s="322"/>
      <c r="B177" s="60" t="s">
        <v>40</v>
      </c>
      <c r="C177" s="343">
        <f>'UTL COST'!$B$3</f>
        <v>369000</v>
      </c>
      <c r="D177" s="379">
        <f>'UTL COST'!$C$3</f>
        <v>0.0075</v>
      </c>
      <c r="E177" s="67">
        <f>'UTL COST'!$D$3</f>
        <v>2767.5</v>
      </c>
      <c r="F177" s="324"/>
      <c r="G177" s="324"/>
      <c r="H177" s="387"/>
      <c r="I177" s="387"/>
      <c r="J177" s="322"/>
      <c r="K177" s="60" t="s">
        <v>40</v>
      </c>
      <c r="L177" s="343">
        <f>'UTL COST'!$B$3</f>
        <v>369000</v>
      </c>
      <c r="M177" s="379">
        <f>'UTL COST'!$C$3</f>
        <v>0.0075</v>
      </c>
      <c r="N177" s="67">
        <v>0.0</v>
      </c>
      <c r="O177" s="324"/>
      <c r="P177" s="451"/>
    </row>
    <row r="178" ht="12.75" customHeight="1">
      <c r="A178" s="322"/>
      <c r="B178" s="75" t="s">
        <v>51</v>
      </c>
      <c r="C178" s="371" t="str">
        <f>'UTL COST'!$B$4</f>
        <v>#REF!</v>
      </c>
      <c r="D178" s="382">
        <f>'UTL COST'!$C$4</f>
        <v>7000</v>
      </c>
      <c r="E178" s="76" t="str">
        <f>'UTL COST'!$D$4</f>
        <v>#REF!</v>
      </c>
      <c r="F178" s="324"/>
      <c r="G178" s="324"/>
      <c r="H178" s="387"/>
      <c r="I178" s="387"/>
      <c r="J178" s="322"/>
      <c r="K178" s="75" t="s">
        <v>51</v>
      </c>
      <c r="L178" s="371" t="str">
        <f>'UTL COST'!$B$4</f>
        <v>#REF!</v>
      </c>
      <c r="M178" s="382">
        <f>'UTL COST'!$C$4</f>
        <v>7000</v>
      </c>
      <c r="N178" s="76" t="str">
        <f>'UTL COST'!$D$4</f>
        <v>#REF!</v>
      </c>
      <c r="O178" s="324"/>
      <c r="P178" s="451"/>
    </row>
    <row r="179" ht="12.75" customHeight="1">
      <c r="A179" s="322"/>
      <c r="B179" s="75" t="s">
        <v>59</v>
      </c>
      <c r="C179" s="371" t="str">
        <f>'UTL COST'!$B$5</f>
        <v>#REF!</v>
      </c>
      <c r="D179" s="382">
        <f>'UTL COST'!$C$5</f>
        <v>45000</v>
      </c>
      <c r="E179" s="76" t="str">
        <f>'UTL COST'!$D$5</f>
        <v>#REF!</v>
      </c>
      <c r="F179" s="324"/>
      <c r="G179" s="324"/>
      <c r="H179" s="387"/>
      <c r="I179" s="387"/>
      <c r="J179" s="322"/>
      <c r="K179" s="75" t="s">
        <v>59</v>
      </c>
      <c r="L179" s="371" t="str">
        <f>'UTL COST'!$B$5</f>
        <v>#REF!</v>
      </c>
      <c r="M179" s="382">
        <f>'UTL COST'!$C$5</f>
        <v>45000</v>
      </c>
      <c r="N179" s="76" t="str">
        <f>'UTL COST'!$D$5</f>
        <v>#REF!</v>
      </c>
      <c r="O179" s="324"/>
      <c r="P179" s="451"/>
    </row>
    <row r="180" ht="12.75" customHeight="1">
      <c r="A180" s="322"/>
      <c r="B180" s="87" t="s">
        <v>78</v>
      </c>
      <c r="C180" s="371" t="str">
        <f>'UTL COST'!$B$6</f>
        <v>#REF!</v>
      </c>
      <c r="D180" s="383">
        <f>'UTL COST'!$C$6</f>
        <v>525</v>
      </c>
      <c r="E180" s="89">
        <v>0.1</v>
      </c>
      <c r="F180" s="324"/>
      <c r="G180" s="324"/>
      <c r="H180" s="387"/>
      <c r="I180" s="387"/>
      <c r="J180" s="322"/>
      <c r="K180" s="87" t="s">
        <v>78</v>
      </c>
      <c r="L180" s="371" t="str">
        <f>'UTL COST'!$B$6</f>
        <v>#REF!</v>
      </c>
      <c r="M180" s="383">
        <f>'UTL COST'!$C$6</f>
        <v>525</v>
      </c>
      <c r="N180" s="89">
        <v>0.1</v>
      </c>
      <c r="O180" s="324"/>
      <c r="P180" s="451"/>
    </row>
    <row r="181" ht="12.75" customHeight="1">
      <c r="A181" s="322"/>
      <c r="B181" s="34" t="s">
        <v>84</v>
      </c>
      <c r="C181" s="102"/>
      <c r="D181" s="102"/>
      <c r="E181" s="104" t="str">
        <f>IF(SUM(E177:E180)=0,"",SUM(E177:E180))</f>
        <v>#REF!</v>
      </c>
      <c r="F181" s="324"/>
      <c r="G181" s="324"/>
      <c r="H181" s="387"/>
      <c r="I181" s="387"/>
      <c r="J181" s="322"/>
      <c r="K181" s="34" t="s">
        <v>84</v>
      </c>
      <c r="L181" s="102"/>
      <c r="M181" s="102"/>
      <c r="N181" s="104" t="str">
        <f>IF(SUM(N177:N180)=0,"",SUM(N177:N180))</f>
        <v>#REF!</v>
      </c>
      <c r="O181" s="324"/>
      <c r="P181" s="451"/>
    </row>
    <row r="182" ht="12.75" customHeight="1">
      <c r="A182" s="322"/>
      <c r="B182" s="360"/>
      <c r="C182" s="360"/>
      <c r="D182" s="360"/>
      <c r="E182" s="361"/>
      <c r="F182" s="324"/>
      <c r="G182" s="324"/>
      <c r="H182" s="387"/>
      <c r="I182" s="387"/>
      <c r="J182" s="322"/>
      <c r="K182" s="360"/>
      <c r="L182" s="360"/>
      <c r="M182" s="360"/>
      <c r="N182" s="361"/>
      <c r="O182" s="324"/>
      <c r="P182" s="451"/>
    </row>
    <row r="183" ht="12.75" customHeight="1">
      <c r="A183" s="387"/>
      <c r="B183" s="387"/>
      <c r="C183" s="387"/>
      <c r="D183" s="387"/>
      <c r="E183" s="418"/>
      <c r="F183" s="387"/>
      <c r="G183" s="387"/>
      <c r="H183" s="387"/>
      <c r="I183" s="387"/>
      <c r="J183" s="387"/>
      <c r="K183" s="387"/>
      <c r="L183" s="387"/>
      <c r="M183" s="387"/>
      <c r="N183" s="387"/>
      <c r="O183" s="387"/>
      <c r="P183" s="387"/>
    </row>
    <row r="184" ht="12.75" customHeight="1">
      <c r="A184" s="387"/>
      <c r="B184" s="387"/>
      <c r="C184" s="387"/>
      <c r="D184" s="387"/>
      <c r="E184" s="418"/>
      <c r="F184" s="387"/>
      <c r="G184" s="387"/>
      <c r="H184" s="387"/>
      <c r="I184" s="387"/>
      <c r="J184" s="387"/>
      <c r="K184" s="387"/>
      <c r="L184" s="387"/>
      <c r="M184" s="387"/>
      <c r="N184" s="387"/>
      <c r="O184" s="387"/>
      <c r="P184" s="387"/>
    </row>
    <row r="185" ht="15.0" customHeight="1">
      <c r="A185" s="387"/>
      <c r="B185" s="387"/>
      <c r="C185" s="387"/>
      <c r="D185" s="387"/>
      <c r="E185" s="418"/>
      <c r="F185" s="387"/>
      <c r="G185" s="387"/>
      <c r="H185" s="387"/>
      <c r="I185" s="387"/>
      <c r="J185" s="387"/>
      <c r="K185" s="387"/>
      <c r="L185" s="387"/>
      <c r="M185" s="387"/>
      <c r="N185" s="387"/>
      <c r="O185" s="387"/>
      <c r="P185" s="387"/>
    </row>
    <row r="186" ht="12.75" customHeight="1">
      <c r="A186" s="322"/>
      <c r="B186" s="322"/>
      <c r="C186" s="322"/>
      <c r="D186" s="322"/>
      <c r="E186" s="323"/>
      <c r="F186" s="324"/>
      <c r="G186" s="324"/>
      <c r="H186" s="387"/>
      <c r="I186" s="387"/>
      <c r="J186" s="322"/>
      <c r="K186" s="322"/>
      <c r="L186" s="322"/>
      <c r="M186" s="322"/>
      <c r="N186" s="323"/>
      <c r="O186" s="324"/>
      <c r="P186" s="451"/>
    </row>
    <row r="187" ht="12.75" customHeight="1">
      <c r="A187" s="322"/>
      <c r="B187" s="325"/>
      <c r="C187" s="322"/>
      <c r="D187" s="322"/>
      <c r="E187" s="323"/>
      <c r="F187" s="326"/>
      <c r="G187" s="326"/>
      <c r="H187" s="404"/>
      <c r="I187" s="387"/>
      <c r="J187" s="322"/>
      <c r="K187" s="325"/>
      <c r="L187" s="322"/>
      <c r="M187" s="322"/>
      <c r="N187" s="323"/>
      <c r="O187" s="326"/>
      <c r="P187" s="452"/>
    </row>
    <row r="188" ht="12.75" customHeight="1">
      <c r="A188" s="322"/>
      <c r="B188" s="327" t="s">
        <v>931</v>
      </c>
      <c r="C188" s="328" t="s">
        <v>1170</v>
      </c>
      <c r="D188" s="329"/>
      <c r="E188" s="323"/>
      <c r="F188" s="326"/>
      <c r="G188" s="326"/>
      <c r="H188" s="404"/>
      <c r="I188" s="387"/>
      <c r="J188" s="322"/>
      <c r="K188" s="327" t="s">
        <v>931</v>
      </c>
      <c r="L188" s="328" t="s">
        <v>1111</v>
      </c>
      <c r="M188" s="329"/>
      <c r="N188" s="323"/>
      <c r="O188" s="326"/>
      <c r="P188" s="452"/>
    </row>
    <row r="189" ht="12.75" customHeight="1">
      <c r="A189" s="322"/>
      <c r="B189" s="325"/>
      <c r="C189" s="322"/>
      <c r="D189" s="322"/>
      <c r="E189" s="323"/>
      <c r="F189" s="326"/>
      <c r="G189" s="326"/>
      <c r="H189" s="404"/>
      <c r="I189" s="387"/>
      <c r="J189" s="322"/>
      <c r="K189" s="325"/>
      <c r="L189" s="322"/>
      <c r="M189" s="322"/>
      <c r="N189" s="323"/>
      <c r="O189" s="326"/>
      <c r="P189" s="452"/>
    </row>
    <row r="190" ht="12.75" customHeight="1">
      <c r="A190" s="322"/>
      <c r="B190" s="327" t="s">
        <v>935</v>
      </c>
      <c r="C190" s="331">
        <v>250000.0</v>
      </c>
      <c r="D190" s="329"/>
      <c r="E190" s="323"/>
      <c r="F190" s="326"/>
      <c r="G190" s="326"/>
      <c r="H190" s="404"/>
      <c r="I190" s="387"/>
      <c r="J190" s="322"/>
      <c r="K190" s="327" t="s">
        <v>935</v>
      </c>
      <c r="L190" s="331">
        <v>180000.0</v>
      </c>
      <c r="M190" s="329"/>
      <c r="N190" s="323"/>
      <c r="O190" s="326"/>
      <c r="P190" s="452"/>
    </row>
    <row r="191" ht="12.75" customHeight="1">
      <c r="A191" s="322"/>
      <c r="B191" s="327"/>
      <c r="C191" s="332"/>
      <c r="D191" s="332"/>
      <c r="E191" s="323"/>
      <c r="F191" s="326"/>
      <c r="G191" s="326"/>
      <c r="H191" s="404"/>
      <c r="I191" s="387"/>
      <c r="J191" s="322"/>
      <c r="K191" s="327"/>
      <c r="L191" s="332"/>
      <c r="M191" s="332"/>
      <c r="N191" s="323"/>
      <c r="O191" s="326"/>
      <c r="P191" s="452"/>
    </row>
    <row r="192" ht="12.75" customHeight="1">
      <c r="A192" s="322"/>
      <c r="B192" s="327" t="s">
        <v>939</v>
      </c>
      <c r="C192" s="333" t="str">
        <f>IF(SUM(E204,E219,E227)=0,"",SUM(E204,E219,E227))</f>
        <v>#REF!</v>
      </c>
      <c r="D192" s="321"/>
      <c r="E192" s="323"/>
      <c r="F192" s="326"/>
      <c r="G192" s="326"/>
      <c r="H192" s="404"/>
      <c r="I192" s="387"/>
      <c r="J192" s="322"/>
      <c r="K192" s="327" t="s">
        <v>939</v>
      </c>
      <c r="L192" s="333" t="str">
        <f>IF(SUM(N204,N219,N227)=0,"",SUM(N204,N219,N227))</f>
        <v>#REF!</v>
      </c>
      <c r="M192" s="321"/>
      <c r="N192" s="323"/>
      <c r="O192" s="326"/>
      <c r="P192" s="452"/>
    </row>
    <row r="193" ht="12.75" customHeight="1">
      <c r="A193" s="322"/>
      <c r="B193" s="327"/>
      <c r="C193" s="334"/>
      <c r="D193" s="334"/>
      <c r="E193" s="323"/>
      <c r="F193" s="326"/>
      <c r="G193" s="326"/>
      <c r="H193" s="404"/>
      <c r="I193" s="387"/>
      <c r="J193" s="322"/>
      <c r="K193" s="327"/>
      <c r="L193" s="334"/>
      <c r="M193" s="334"/>
      <c r="N193" s="323"/>
      <c r="O193" s="326"/>
      <c r="P193" s="452"/>
    </row>
    <row r="194" ht="12.75" customHeight="1">
      <c r="A194" s="322"/>
      <c r="B194" s="327" t="s">
        <v>946</v>
      </c>
      <c r="C194" s="335" t="str">
        <f>IF(C192="","",IF(ISBLANK(C190),"",C192/C190))</f>
        <v>#REF!</v>
      </c>
      <c r="D194" s="321"/>
      <c r="E194" s="323"/>
      <c r="F194" s="326"/>
      <c r="G194" s="326"/>
      <c r="H194" s="404"/>
      <c r="I194" s="387"/>
      <c r="J194" s="322"/>
      <c r="K194" s="327" t="s">
        <v>946</v>
      </c>
      <c r="L194" s="335" t="str">
        <f>IF(L192="","",IF(ISBLANK(L190),"",L192/L190))</f>
        <v>#REF!</v>
      </c>
      <c r="M194" s="321"/>
      <c r="N194" s="323"/>
      <c r="O194" s="326"/>
      <c r="P194" s="452"/>
    </row>
    <row r="195" ht="12.75" customHeight="1">
      <c r="A195" s="322"/>
      <c r="B195" s="327"/>
      <c r="C195" s="334"/>
      <c r="D195" s="334"/>
      <c r="E195" s="323"/>
      <c r="F195" s="326"/>
      <c r="G195" s="326"/>
      <c r="H195" s="404"/>
      <c r="I195" s="387"/>
      <c r="J195" s="322"/>
      <c r="K195" s="327"/>
      <c r="L195" s="334"/>
      <c r="M195" s="334"/>
      <c r="N195" s="323"/>
      <c r="O195" s="326"/>
      <c r="P195" s="452"/>
    </row>
    <row r="196" ht="12.75" customHeight="1">
      <c r="A196" s="322"/>
      <c r="B196" s="327" t="s">
        <v>950</v>
      </c>
      <c r="C196" s="333" t="str">
        <f>C190-C192</f>
        <v>#REF!</v>
      </c>
      <c r="D196" s="321"/>
      <c r="E196" s="323"/>
      <c r="F196" s="326"/>
      <c r="G196" s="326"/>
      <c r="H196" s="404"/>
      <c r="I196" s="387"/>
      <c r="J196" s="322"/>
      <c r="K196" s="327" t="s">
        <v>950</v>
      </c>
      <c r="L196" s="333" t="str">
        <f>L190-L192</f>
        <v>#REF!</v>
      </c>
      <c r="M196" s="321"/>
      <c r="N196" s="323"/>
      <c r="O196" s="326"/>
      <c r="P196" s="452"/>
    </row>
    <row r="197" ht="12.75" customHeight="1">
      <c r="A197" s="322"/>
      <c r="B197" s="322"/>
      <c r="C197" s="322"/>
      <c r="D197" s="322"/>
      <c r="E197" s="323"/>
      <c r="F197" s="324"/>
      <c r="G197" s="324"/>
      <c r="H197" s="404"/>
      <c r="I197" s="387"/>
      <c r="J197" s="322"/>
      <c r="K197" s="322"/>
      <c r="L197" s="322"/>
      <c r="M197" s="322"/>
      <c r="N197" s="323"/>
      <c r="O197" s="324"/>
      <c r="P197" s="451"/>
    </row>
    <row r="198" ht="12.75" customHeight="1">
      <c r="A198" s="322"/>
      <c r="B198" s="322"/>
      <c r="C198" s="322"/>
      <c r="D198" s="322"/>
      <c r="E198" s="337"/>
      <c r="F198" s="324"/>
      <c r="G198" s="324"/>
      <c r="H198" s="387"/>
      <c r="I198" s="387"/>
      <c r="J198" s="322"/>
      <c r="K198" s="322"/>
      <c r="L198" s="322"/>
      <c r="M198" s="322"/>
      <c r="N198" s="337"/>
      <c r="O198" s="324"/>
      <c r="P198" s="451"/>
    </row>
    <row r="199" ht="12.75" customHeight="1">
      <c r="A199" s="322"/>
      <c r="B199" s="338" t="s">
        <v>951</v>
      </c>
      <c r="C199" s="339"/>
      <c r="D199" s="339"/>
      <c r="E199" s="339"/>
      <c r="F199" s="324"/>
      <c r="G199" s="324"/>
      <c r="H199" s="410"/>
      <c r="I199" s="387"/>
      <c r="J199" s="322"/>
      <c r="K199" s="338" t="s">
        <v>951</v>
      </c>
      <c r="L199" s="339"/>
      <c r="M199" s="339"/>
      <c r="N199" s="339"/>
      <c r="O199" s="324"/>
      <c r="P199" s="451"/>
    </row>
    <row r="200" ht="12.75" customHeight="1">
      <c r="A200" s="322"/>
      <c r="B200" s="340" t="s">
        <v>953</v>
      </c>
      <c r="C200" s="341" t="s">
        <v>954</v>
      </c>
      <c r="D200" s="341" t="s">
        <v>955</v>
      </c>
      <c r="E200" s="341" t="s">
        <v>35</v>
      </c>
      <c r="F200" s="324"/>
      <c r="G200" s="324"/>
      <c r="H200" s="387"/>
      <c r="I200" s="387"/>
      <c r="J200" s="322"/>
      <c r="K200" s="340" t="s">
        <v>953</v>
      </c>
      <c r="L200" s="341" t="s">
        <v>954</v>
      </c>
      <c r="M200" s="341" t="s">
        <v>955</v>
      </c>
      <c r="N200" s="341" t="s">
        <v>35</v>
      </c>
      <c r="O200" s="324"/>
      <c r="P200" s="451"/>
    </row>
    <row r="201" ht="12.75" customHeight="1">
      <c r="A201" s="322"/>
      <c r="B201" s="60" t="s">
        <v>703</v>
      </c>
      <c r="C201" s="342">
        <v>0.16</v>
      </c>
      <c r="D201" s="343">
        <f>'F&amp;B'!F229</f>
        <v>81000</v>
      </c>
      <c r="E201" s="67">
        <f t="shared" ref="E201:E203" si="20">IF(OR(ISBLANK(C201),ISBLANK(D201)),"",D201*C201)</f>
        <v>12960</v>
      </c>
      <c r="F201" s="324"/>
      <c r="G201" s="324"/>
      <c r="H201" s="387"/>
      <c r="I201" s="387"/>
      <c r="J201" s="322"/>
      <c r="K201" s="60" t="s">
        <v>1111</v>
      </c>
      <c r="L201" s="344">
        <v>0.1</v>
      </c>
      <c r="M201" s="343">
        <f>'F&amp;B'!$F$77</f>
        <v>141300</v>
      </c>
      <c r="N201" s="67">
        <f t="shared" ref="N201:N203" si="21">IF(OR(ISBLANK(L201),ISBLANK(M201)),"",M201*L201)</f>
        <v>14130</v>
      </c>
      <c r="O201" s="324"/>
      <c r="P201" s="451"/>
    </row>
    <row r="202" ht="12.75" customHeight="1">
      <c r="A202" s="322"/>
      <c r="B202" s="75" t="s">
        <v>1173</v>
      </c>
      <c r="C202" s="370">
        <v>1.0</v>
      </c>
      <c r="D202" s="371">
        <f>'F&amp;B'!F301</f>
        <v>13500</v>
      </c>
      <c r="E202" s="67">
        <f t="shared" si="20"/>
        <v>13500</v>
      </c>
      <c r="F202" s="324"/>
      <c r="G202" s="324"/>
      <c r="H202" s="387"/>
      <c r="I202" s="387"/>
      <c r="J202" s="322"/>
      <c r="K202" s="75" t="s">
        <v>1173</v>
      </c>
      <c r="L202" s="370">
        <v>1.0</v>
      </c>
      <c r="M202" s="371">
        <f>'F&amp;B'!$F$301</f>
        <v>13500</v>
      </c>
      <c r="N202" s="67">
        <f t="shared" si="21"/>
        <v>13500</v>
      </c>
      <c r="O202" s="324"/>
      <c r="P202" s="451"/>
    </row>
    <row r="203" ht="12.75" customHeight="1">
      <c r="A203" s="322"/>
      <c r="B203" s="87"/>
      <c r="C203" s="412">
        <v>0.0</v>
      </c>
      <c r="D203" s="408"/>
      <c r="E203" s="67" t="str">
        <f t="shared" si="20"/>
        <v/>
      </c>
      <c r="F203" s="324"/>
      <c r="G203" s="324"/>
      <c r="H203" s="387"/>
      <c r="I203" s="387"/>
      <c r="J203" s="322"/>
      <c r="K203" s="87" t="s">
        <v>1174</v>
      </c>
      <c r="L203" s="412">
        <v>0.16</v>
      </c>
      <c r="M203" s="408">
        <v>12000.0</v>
      </c>
      <c r="N203" s="67">
        <f t="shared" si="21"/>
        <v>1920</v>
      </c>
      <c r="O203" s="324"/>
      <c r="P203" s="451"/>
    </row>
    <row r="204" ht="12.75" customHeight="1">
      <c r="A204" s="322"/>
      <c r="B204" s="338" t="s">
        <v>84</v>
      </c>
      <c r="C204" s="358"/>
      <c r="D204" s="358"/>
      <c r="E204" s="359">
        <f>IF(SUM(E201:E203)=0,"",SUM(E201:E203))</f>
        <v>26460</v>
      </c>
      <c r="F204" s="324"/>
      <c r="G204" s="324"/>
      <c r="H204" s="387"/>
      <c r="I204" s="387"/>
      <c r="J204" s="322"/>
      <c r="K204" s="338" t="s">
        <v>84</v>
      </c>
      <c r="L204" s="358"/>
      <c r="M204" s="358"/>
      <c r="N204" s="359">
        <f>IF(SUM(N201:N203)=0,"",SUM(N201:N203))</f>
        <v>29550</v>
      </c>
      <c r="O204" s="324"/>
      <c r="P204" s="451"/>
    </row>
    <row r="205" ht="12.75" customHeight="1">
      <c r="A205" s="322"/>
      <c r="B205" s="360"/>
      <c r="C205" s="360"/>
      <c r="D205" s="360"/>
      <c r="E205" s="361"/>
      <c r="F205" s="324"/>
      <c r="G205" s="324"/>
      <c r="H205" s="387"/>
      <c r="I205" s="387"/>
      <c r="J205" s="322"/>
      <c r="K205" s="360"/>
      <c r="L205" s="360"/>
      <c r="M205" s="360"/>
      <c r="N205" s="361"/>
      <c r="O205" s="324"/>
      <c r="P205" s="451"/>
    </row>
    <row r="206" ht="12.75" customHeight="1">
      <c r="A206" s="322"/>
      <c r="B206" s="362" t="s">
        <v>972</v>
      </c>
      <c r="C206" s="363"/>
      <c r="D206" s="363"/>
      <c r="E206" s="363"/>
      <c r="F206" s="324"/>
      <c r="G206" s="324"/>
      <c r="H206" s="387"/>
      <c r="I206" s="387"/>
      <c r="J206" s="322"/>
      <c r="K206" s="362" t="s">
        <v>972</v>
      </c>
      <c r="L206" s="363"/>
      <c r="M206" s="363"/>
      <c r="N206" s="363"/>
      <c r="O206" s="324"/>
      <c r="P206" s="451"/>
    </row>
    <row r="207" ht="12.75" customHeight="1">
      <c r="A207" s="322"/>
      <c r="B207" s="365" t="s">
        <v>953</v>
      </c>
      <c r="C207" s="366" t="s">
        <v>3</v>
      </c>
      <c r="D207" s="366" t="s">
        <v>975</v>
      </c>
      <c r="E207" s="367" t="s">
        <v>35</v>
      </c>
      <c r="F207" s="324"/>
      <c r="G207" s="324"/>
      <c r="H207" s="387"/>
      <c r="I207" s="387"/>
      <c r="J207" s="322"/>
      <c r="K207" s="365" t="s">
        <v>953</v>
      </c>
      <c r="L207" s="366" t="s">
        <v>3</v>
      </c>
      <c r="M207" s="366" t="s">
        <v>975</v>
      </c>
      <c r="N207" s="367" t="s">
        <v>35</v>
      </c>
      <c r="O207" s="324"/>
      <c r="P207" s="451"/>
    </row>
    <row r="208" ht="12.75" customHeight="1">
      <c r="A208" s="322"/>
      <c r="B208" s="368"/>
      <c r="C208" s="366"/>
      <c r="D208" s="366"/>
      <c r="E208" s="368"/>
      <c r="F208" s="324"/>
      <c r="G208" s="324"/>
      <c r="H208" s="387"/>
      <c r="I208" s="387"/>
      <c r="J208" s="322"/>
      <c r="K208" s="368"/>
      <c r="L208" s="366"/>
      <c r="M208" s="366"/>
      <c r="N208" s="368"/>
      <c r="O208" s="324"/>
      <c r="P208" s="451"/>
    </row>
    <row r="209" ht="12.75" customHeight="1">
      <c r="A209" s="322"/>
      <c r="B209" s="60" t="s">
        <v>349</v>
      </c>
      <c r="C209" s="342">
        <v>0.005</v>
      </c>
      <c r="D209" s="343">
        <f>'F&amp;B'!F188</f>
        <v>47250</v>
      </c>
      <c r="E209" s="67">
        <f t="shared" ref="E209:E218" si="22">D209*C209</f>
        <v>236.25</v>
      </c>
      <c r="F209" s="324"/>
      <c r="G209" s="324"/>
      <c r="H209" s="387"/>
      <c r="I209" s="387"/>
      <c r="J209" s="322"/>
      <c r="K209" s="60" t="s">
        <v>1113</v>
      </c>
      <c r="L209" s="342">
        <v>0.03</v>
      </c>
      <c r="M209" s="343">
        <f>'F&amp;B'!$F$146</f>
        <v>65250</v>
      </c>
      <c r="N209" s="67">
        <f t="shared" ref="N209:N218" si="23">M209*L209</f>
        <v>1957.5</v>
      </c>
      <c r="O209" s="324"/>
      <c r="P209" s="451"/>
    </row>
    <row r="210" ht="12.75" customHeight="1">
      <c r="A210" s="322"/>
      <c r="B210" s="75" t="s">
        <v>817</v>
      </c>
      <c r="C210" s="370">
        <v>0.03</v>
      </c>
      <c r="D210" s="371">
        <f>'F&amp;B'!F293</f>
        <v>6750</v>
      </c>
      <c r="E210" s="67">
        <f t="shared" si="22"/>
        <v>202.5</v>
      </c>
      <c r="F210" s="324"/>
      <c r="G210" s="324"/>
      <c r="H210" s="387"/>
      <c r="I210" s="387"/>
      <c r="J210" s="322"/>
      <c r="K210" s="75" t="s">
        <v>817</v>
      </c>
      <c r="L210" s="370">
        <v>0.01</v>
      </c>
      <c r="M210" s="371">
        <f>'F&amp;B'!$F$293</f>
        <v>6750</v>
      </c>
      <c r="N210" s="67">
        <f t="shared" si="23"/>
        <v>67.5</v>
      </c>
      <c r="O210" s="324"/>
      <c r="P210" s="451"/>
    </row>
    <row r="211" ht="12.75" customHeight="1">
      <c r="A211" s="322"/>
      <c r="B211" s="75" t="s">
        <v>738</v>
      </c>
      <c r="C211" s="370">
        <v>0.01</v>
      </c>
      <c r="D211" s="371">
        <f>'F&amp;B'!F136</f>
        <v>90000</v>
      </c>
      <c r="E211" s="67">
        <f t="shared" si="22"/>
        <v>900</v>
      </c>
      <c r="F211" s="324"/>
      <c r="G211" s="324"/>
      <c r="H211" s="387"/>
      <c r="I211" s="387"/>
      <c r="J211" s="322"/>
      <c r="K211" s="75" t="s">
        <v>1176</v>
      </c>
      <c r="L211" s="370">
        <v>0.03</v>
      </c>
      <c r="M211" s="371">
        <f>'F&amp;B'!$F$300</f>
        <v>13500</v>
      </c>
      <c r="N211" s="67">
        <f t="shared" si="23"/>
        <v>405</v>
      </c>
      <c r="O211" s="324"/>
      <c r="P211" s="451"/>
    </row>
    <row r="212" ht="12.75" customHeight="1">
      <c r="A212" s="322"/>
      <c r="B212" s="228" t="s">
        <v>1178</v>
      </c>
      <c r="C212" s="346">
        <v>0.015</v>
      </c>
      <c r="D212" s="371">
        <f>'F&amp;B'!F151</f>
        <v>99000</v>
      </c>
      <c r="E212" s="67">
        <f t="shared" si="22"/>
        <v>1485</v>
      </c>
      <c r="F212" s="324"/>
      <c r="G212" s="324"/>
      <c r="H212" s="387"/>
      <c r="I212" s="387"/>
      <c r="J212" s="322"/>
      <c r="K212" s="75" t="s">
        <v>769</v>
      </c>
      <c r="L212" s="398">
        <v>2.0</v>
      </c>
      <c r="M212" s="371">
        <f>SAUCES!$D$46</f>
        <v>965.0953623</v>
      </c>
      <c r="N212" s="67">
        <f t="shared" si="23"/>
        <v>1930.190725</v>
      </c>
      <c r="O212" s="324"/>
      <c r="P212" s="451"/>
    </row>
    <row r="213" ht="12.75" customHeight="1">
      <c r="A213" s="322"/>
      <c r="B213" s="75" t="s">
        <v>1179</v>
      </c>
      <c r="C213" s="346">
        <v>0.008</v>
      </c>
      <c r="D213" s="371">
        <f>'F&amp;B'!F152</f>
        <v>41400</v>
      </c>
      <c r="E213" s="67">
        <f t="shared" si="22"/>
        <v>331.2</v>
      </c>
      <c r="F213" s="324"/>
      <c r="G213" s="324"/>
      <c r="H213" s="387"/>
      <c r="I213" s="387"/>
      <c r="J213" s="322"/>
      <c r="K213" s="75" t="s">
        <v>1180</v>
      </c>
      <c r="L213" s="346">
        <v>0.03</v>
      </c>
      <c r="M213" s="371">
        <f>'F&amp;B'!F283*4</f>
        <v>36000</v>
      </c>
      <c r="N213" s="67">
        <f t="shared" si="23"/>
        <v>1080</v>
      </c>
      <c r="O213" s="324"/>
      <c r="P213" s="451"/>
    </row>
    <row r="214" ht="12.75" customHeight="1">
      <c r="A214" s="322"/>
      <c r="B214" s="75" t="s">
        <v>1114</v>
      </c>
      <c r="C214" s="346">
        <v>0.016</v>
      </c>
      <c r="D214" s="371">
        <f>'F&amp;B'!F300</f>
        <v>13500</v>
      </c>
      <c r="E214" s="67">
        <f t="shared" si="22"/>
        <v>216</v>
      </c>
      <c r="F214" s="324"/>
      <c r="G214" s="324"/>
      <c r="H214" s="387"/>
      <c r="I214" s="387"/>
      <c r="J214" s="322"/>
      <c r="K214" s="228" t="s">
        <v>1181</v>
      </c>
      <c r="L214" s="398">
        <v>0.05</v>
      </c>
      <c r="M214" s="371">
        <f>'F&amp;B'!F189</f>
        <v>144000</v>
      </c>
      <c r="N214" s="67">
        <f t="shared" si="23"/>
        <v>7200</v>
      </c>
      <c r="O214" s="324"/>
      <c r="P214" s="451"/>
    </row>
    <row r="215" ht="12.75" customHeight="1">
      <c r="A215" s="322"/>
      <c r="B215" s="75" t="s">
        <v>1182</v>
      </c>
      <c r="C215" s="346">
        <v>0.08</v>
      </c>
      <c r="D215" s="347">
        <f>SAUCES!L1</f>
        <v>13999.17763</v>
      </c>
      <c r="E215" s="67">
        <f t="shared" si="22"/>
        <v>1119.934211</v>
      </c>
      <c r="F215" s="324"/>
      <c r="G215" s="324"/>
      <c r="H215" s="387"/>
      <c r="I215" s="387"/>
      <c r="J215" s="322"/>
      <c r="K215" s="75"/>
      <c r="L215" s="346"/>
      <c r="M215" s="371"/>
      <c r="N215" s="67">
        <f t="shared" si="23"/>
        <v>0</v>
      </c>
      <c r="O215" s="324"/>
      <c r="P215" s="451"/>
    </row>
    <row r="216" ht="12.75" customHeight="1">
      <c r="A216" s="322"/>
      <c r="B216" s="348"/>
      <c r="C216" s="346"/>
      <c r="D216" s="373"/>
      <c r="E216" s="67">
        <f t="shared" si="22"/>
        <v>0</v>
      </c>
      <c r="F216" s="324"/>
      <c r="G216" s="324"/>
      <c r="H216" s="387"/>
      <c r="I216" s="387"/>
      <c r="J216" s="322"/>
      <c r="K216" s="348"/>
      <c r="L216" s="346"/>
      <c r="M216" s="373"/>
      <c r="N216" s="67">
        <f t="shared" si="23"/>
        <v>0</v>
      </c>
      <c r="O216" s="324"/>
      <c r="P216" s="451"/>
    </row>
    <row r="217" ht="12.75" customHeight="1">
      <c r="A217" s="322"/>
      <c r="B217" s="348"/>
      <c r="C217" s="346"/>
      <c r="D217" s="373"/>
      <c r="E217" s="67">
        <f t="shared" si="22"/>
        <v>0</v>
      </c>
      <c r="F217" s="324"/>
      <c r="G217" s="324"/>
      <c r="H217" s="387"/>
      <c r="I217" s="387"/>
      <c r="J217" s="322"/>
      <c r="K217" s="348"/>
      <c r="L217" s="346"/>
      <c r="M217" s="373"/>
      <c r="N217" s="67">
        <f t="shared" si="23"/>
        <v>0</v>
      </c>
      <c r="O217" s="324"/>
      <c r="P217" s="451"/>
    </row>
    <row r="218" ht="12.75" customHeight="1">
      <c r="A218" s="322"/>
      <c r="B218" s="354"/>
      <c r="C218" s="355"/>
      <c r="D218" s="356"/>
      <c r="E218" s="67">
        <f t="shared" si="22"/>
        <v>0</v>
      </c>
      <c r="F218" s="324"/>
      <c r="G218" s="324"/>
      <c r="H218" s="387"/>
      <c r="I218" s="387"/>
      <c r="J218" s="322"/>
      <c r="K218" s="354"/>
      <c r="L218" s="355"/>
      <c r="M218" s="356"/>
      <c r="N218" s="67">
        <f t="shared" si="23"/>
        <v>0</v>
      </c>
      <c r="O218" s="324"/>
      <c r="P218" s="451"/>
    </row>
    <row r="219" ht="12.75" customHeight="1">
      <c r="A219" s="322"/>
      <c r="B219" s="362" t="s">
        <v>84</v>
      </c>
      <c r="C219" s="374"/>
      <c r="D219" s="374"/>
      <c r="E219" s="375">
        <f>IF(SUM(E209:E218)=0,"",SUM(E209:E218))</f>
        <v>4490.884211</v>
      </c>
      <c r="F219" s="324"/>
      <c r="G219" s="324"/>
      <c r="H219" s="387"/>
      <c r="I219" s="387"/>
      <c r="J219" s="322"/>
      <c r="K219" s="362" t="s">
        <v>84</v>
      </c>
      <c r="L219" s="374"/>
      <c r="M219" s="374"/>
      <c r="N219" s="375">
        <f>IF(SUM(N209:N218)=0,"",SUM(N209:N218))</f>
        <v>12640.19072</v>
      </c>
      <c r="O219" s="324"/>
      <c r="P219" s="451"/>
    </row>
    <row r="220" ht="12.75" customHeight="1">
      <c r="A220" s="322"/>
      <c r="B220" s="360"/>
      <c r="C220" s="360"/>
      <c r="D220" s="360"/>
      <c r="E220" s="361"/>
      <c r="F220" s="324"/>
      <c r="G220" s="324"/>
      <c r="H220" s="387"/>
      <c r="I220" s="387"/>
      <c r="J220" s="322"/>
      <c r="K220" s="360"/>
      <c r="L220" s="360"/>
      <c r="M220" s="360"/>
      <c r="N220" s="361"/>
      <c r="O220" s="324"/>
      <c r="P220" s="451"/>
    </row>
    <row r="221" ht="12.75" customHeight="1">
      <c r="A221" s="322"/>
      <c r="B221" s="34" t="s">
        <v>17</v>
      </c>
      <c r="C221" s="35"/>
      <c r="D221" s="35"/>
      <c r="E221" s="35"/>
      <c r="F221" s="324"/>
      <c r="G221" s="324"/>
      <c r="H221" s="387"/>
      <c r="I221" s="387"/>
      <c r="J221" s="322"/>
      <c r="K221" s="34" t="s">
        <v>17</v>
      </c>
      <c r="L221" s="35"/>
      <c r="M221" s="35"/>
      <c r="N221" s="35"/>
      <c r="O221" s="324"/>
      <c r="P221" s="451"/>
    </row>
    <row r="222" ht="12.75" customHeight="1">
      <c r="A222" s="322"/>
      <c r="B222" s="52" t="s">
        <v>42</v>
      </c>
      <c r="C222" s="54"/>
      <c r="D222" s="54"/>
      <c r="E222" s="56" t="s">
        <v>35</v>
      </c>
      <c r="F222" s="324"/>
      <c r="G222" s="324"/>
      <c r="H222" s="387"/>
      <c r="I222" s="387"/>
      <c r="J222" s="322"/>
      <c r="K222" s="52" t="s">
        <v>42</v>
      </c>
      <c r="L222" s="54"/>
      <c r="M222" s="54"/>
      <c r="N222" s="56" t="s">
        <v>35</v>
      </c>
      <c r="O222" s="324"/>
      <c r="P222" s="451"/>
    </row>
    <row r="223" ht="12.75" customHeight="1">
      <c r="A223" s="322"/>
      <c r="B223" s="60" t="s">
        <v>40</v>
      </c>
      <c r="C223" s="343">
        <f>'UTL COST'!$B$3</f>
        <v>369000</v>
      </c>
      <c r="D223" s="379">
        <f>'UTL COST'!$C$3</f>
        <v>0.0075</v>
      </c>
      <c r="E223" s="67">
        <v>0.0</v>
      </c>
      <c r="F223" s="324"/>
      <c r="G223" s="324"/>
      <c r="H223" s="387"/>
      <c r="I223" s="387"/>
      <c r="J223" s="322"/>
      <c r="K223" s="60" t="s">
        <v>40</v>
      </c>
      <c r="L223" s="343">
        <f>'UTL COST'!$B$3</f>
        <v>369000</v>
      </c>
      <c r="M223" s="379">
        <f>'UTL COST'!$C$3</f>
        <v>0.0075</v>
      </c>
      <c r="N223" s="67">
        <v>0.0</v>
      </c>
      <c r="O223" s="324"/>
      <c r="P223" s="451"/>
    </row>
    <row r="224" ht="12.75" customHeight="1">
      <c r="A224" s="322"/>
      <c r="B224" s="75" t="s">
        <v>51</v>
      </c>
      <c r="C224" s="371" t="str">
        <f>'UTL COST'!$B$4</f>
        <v>#REF!</v>
      </c>
      <c r="D224" s="382">
        <f>'UTL COST'!$C$4</f>
        <v>7000</v>
      </c>
      <c r="E224" s="76" t="str">
        <f>'UTL COST'!$D$4</f>
        <v>#REF!</v>
      </c>
      <c r="F224" s="324"/>
      <c r="G224" s="324"/>
      <c r="H224" s="387"/>
      <c r="I224" s="387"/>
      <c r="J224" s="322"/>
      <c r="K224" s="75" t="s">
        <v>51</v>
      </c>
      <c r="L224" s="371" t="str">
        <f>'UTL COST'!$B$4</f>
        <v>#REF!</v>
      </c>
      <c r="M224" s="382">
        <f>'UTL COST'!$C$4</f>
        <v>7000</v>
      </c>
      <c r="N224" s="76" t="str">
        <f>'UTL COST'!$D$4</f>
        <v>#REF!</v>
      </c>
      <c r="O224" s="324"/>
      <c r="P224" s="451"/>
    </row>
    <row r="225" ht="12.75" customHeight="1">
      <c r="A225" s="322"/>
      <c r="B225" s="75" t="s">
        <v>59</v>
      </c>
      <c r="C225" s="371" t="str">
        <f>'UTL COST'!$B$5</f>
        <v>#REF!</v>
      </c>
      <c r="D225" s="382">
        <f>'UTL COST'!$C$5</f>
        <v>45000</v>
      </c>
      <c r="E225" s="76" t="str">
        <f>'UTL COST'!$D$5</f>
        <v>#REF!</v>
      </c>
      <c r="F225" s="324"/>
      <c r="G225" s="324"/>
      <c r="H225" s="387"/>
      <c r="I225" s="387"/>
      <c r="J225" s="322"/>
      <c r="K225" s="75" t="s">
        <v>59</v>
      </c>
      <c r="L225" s="371" t="str">
        <f>'UTL COST'!$B$5</f>
        <v>#REF!</v>
      </c>
      <c r="M225" s="382">
        <f>'UTL COST'!$C$5</f>
        <v>45000</v>
      </c>
      <c r="N225" s="76" t="str">
        <f>'UTL COST'!$D$5</f>
        <v>#REF!</v>
      </c>
      <c r="O225" s="324"/>
      <c r="P225" s="451"/>
    </row>
    <row r="226" ht="12.75" customHeight="1">
      <c r="A226" s="322"/>
      <c r="B226" s="87" t="s">
        <v>78</v>
      </c>
      <c r="C226" s="371" t="str">
        <f>'UTL COST'!$B$6</f>
        <v>#REF!</v>
      </c>
      <c r="D226" s="383">
        <f>'UTL COST'!$C$6</f>
        <v>525</v>
      </c>
      <c r="E226" s="89">
        <v>0.1</v>
      </c>
      <c r="F226" s="324"/>
      <c r="G226" s="324"/>
      <c r="H226" s="387"/>
      <c r="I226" s="387"/>
      <c r="J226" s="322"/>
      <c r="K226" s="87" t="s">
        <v>78</v>
      </c>
      <c r="L226" s="371" t="str">
        <f>'UTL COST'!$B$6</f>
        <v>#REF!</v>
      </c>
      <c r="M226" s="383">
        <f>'UTL COST'!$C$6</f>
        <v>525</v>
      </c>
      <c r="N226" s="89">
        <v>0.1</v>
      </c>
      <c r="O226" s="324"/>
      <c r="P226" s="451"/>
    </row>
    <row r="227" ht="12.75" customHeight="1">
      <c r="A227" s="322"/>
      <c r="B227" s="34" t="s">
        <v>84</v>
      </c>
      <c r="C227" s="102"/>
      <c r="D227" s="102"/>
      <c r="E227" s="104" t="str">
        <f>IF(SUM(E223:E226)=0,"",SUM(E223:E226))</f>
        <v>#REF!</v>
      </c>
      <c r="F227" s="324"/>
      <c r="G227" s="324"/>
      <c r="H227" s="387"/>
      <c r="I227" s="387"/>
      <c r="J227" s="322"/>
      <c r="K227" s="34" t="s">
        <v>84</v>
      </c>
      <c r="L227" s="102"/>
      <c r="M227" s="102"/>
      <c r="N227" s="104" t="str">
        <f>IF(SUM(N223:N226)=0,"",SUM(N223:N226))</f>
        <v>#REF!</v>
      </c>
      <c r="O227" s="324"/>
      <c r="P227" s="451"/>
    </row>
    <row r="228" ht="12.75" customHeight="1">
      <c r="A228" s="322"/>
      <c r="B228" s="360"/>
      <c r="C228" s="360"/>
      <c r="D228" s="360"/>
      <c r="E228" s="361"/>
      <c r="F228" s="324"/>
      <c r="G228" s="324"/>
      <c r="H228" s="387"/>
      <c r="I228" s="387"/>
      <c r="J228" s="322"/>
      <c r="K228" s="360"/>
      <c r="L228" s="360"/>
      <c r="M228" s="360"/>
      <c r="N228" s="361"/>
      <c r="O228" s="324"/>
      <c r="P228" s="451"/>
    </row>
    <row r="229" ht="12.75" customHeight="1">
      <c r="A229" s="387"/>
      <c r="B229" s="387"/>
      <c r="C229" s="387"/>
      <c r="D229" s="387"/>
      <c r="E229" s="418"/>
      <c r="F229" s="387"/>
      <c r="G229" s="387"/>
      <c r="H229" s="387"/>
      <c r="I229" s="387"/>
      <c r="J229" s="387"/>
      <c r="K229" s="387"/>
      <c r="L229" s="387"/>
      <c r="M229" s="387"/>
      <c r="N229" s="387"/>
      <c r="O229" s="387"/>
      <c r="P229" s="387"/>
    </row>
    <row r="230" ht="12.75" customHeight="1">
      <c r="A230" s="387"/>
      <c r="B230" s="387"/>
      <c r="C230" s="387"/>
      <c r="D230" s="387"/>
      <c r="E230" s="418"/>
      <c r="F230" s="387"/>
      <c r="G230" s="387"/>
      <c r="H230" s="387"/>
      <c r="I230" s="387"/>
      <c r="J230" s="387"/>
      <c r="K230" s="387"/>
      <c r="L230" s="387"/>
      <c r="M230" s="387"/>
      <c r="N230" s="387"/>
      <c r="O230" s="387"/>
      <c r="P230" s="387"/>
    </row>
    <row r="231" ht="12.75" customHeight="1">
      <c r="A231" s="322"/>
      <c r="B231" s="322"/>
      <c r="C231" s="322"/>
      <c r="D231" s="322"/>
      <c r="E231" s="323"/>
      <c r="F231" s="324"/>
      <c r="G231" s="324"/>
      <c r="H231" s="387"/>
      <c r="I231" s="387"/>
      <c r="J231" s="322"/>
      <c r="K231" s="322"/>
      <c r="L231" s="322"/>
      <c r="M231" s="322"/>
      <c r="N231" s="323"/>
      <c r="O231" s="324"/>
      <c r="P231" s="451"/>
    </row>
    <row r="232" ht="12.75" customHeight="1">
      <c r="A232" s="322"/>
      <c r="B232" s="325"/>
      <c r="C232" s="322"/>
      <c r="D232" s="322"/>
      <c r="E232" s="323"/>
      <c r="F232" s="326"/>
      <c r="G232" s="326"/>
      <c r="H232" s="404"/>
      <c r="I232" s="387"/>
      <c r="J232" s="322"/>
      <c r="K232" s="325"/>
      <c r="L232" s="322"/>
      <c r="M232" s="322"/>
      <c r="N232" s="323"/>
      <c r="O232" s="326"/>
      <c r="P232" s="452"/>
    </row>
    <row r="233" ht="12.75" customHeight="1">
      <c r="A233" s="322"/>
      <c r="B233" s="327" t="s">
        <v>931</v>
      </c>
      <c r="C233" s="328" t="s">
        <v>1186</v>
      </c>
      <c r="D233" s="329"/>
      <c r="E233" s="323"/>
      <c r="F233" s="326"/>
      <c r="G233" s="326"/>
      <c r="H233" s="404"/>
      <c r="I233" s="387"/>
      <c r="J233" s="322"/>
      <c r="K233" s="327" t="s">
        <v>931</v>
      </c>
      <c r="L233" s="328" t="s">
        <v>345</v>
      </c>
      <c r="M233" s="329"/>
      <c r="N233" s="323"/>
      <c r="O233" s="326"/>
      <c r="P233" s="452"/>
    </row>
    <row r="234" ht="12.75" customHeight="1">
      <c r="A234" s="322"/>
      <c r="B234" s="325"/>
      <c r="C234" s="322"/>
      <c r="D234" s="322"/>
      <c r="E234" s="323"/>
      <c r="F234" s="326"/>
      <c r="G234" s="326"/>
      <c r="H234" s="404"/>
      <c r="I234" s="387"/>
      <c r="J234" s="322"/>
      <c r="K234" s="325"/>
      <c r="L234" s="322"/>
      <c r="M234" s="322"/>
      <c r="N234" s="323"/>
      <c r="O234" s="326"/>
      <c r="P234" s="452"/>
    </row>
    <row r="235" ht="12.75" customHeight="1">
      <c r="A235" s="322"/>
      <c r="B235" s="327" t="s">
        <v>935</v>
      </c>
      <c r="C235" s="331"/>
      <c r="D235" s="329"/>
      <c r="E235" s="323"/>
      <c r="F235" s="326"/>
      <c r="G235" s="326"/>
      <c r="H235" s="404"/>
      <c r="I235" s="387"/>
      <c r="J235" s="322"/>
      <c r="K235" s="327" t="s">
        <v>935</v>
      </c>
      <c r="L235" s="331"/>
      <c r="M235" s="329"/>
      <c r="N235" s="323"/>
      <c r="O235" s="326"/>
      <c r="P235" s="452"/>
    </row>
    <row r="236" ht="12.75" customHeight="1">
      <c r="A236" s="322"/>
      <c r="B236" s="327"/>
      <c r="C236" s="332"/>
      <c r="D236" s="332"/>
      <c r="E236" s="323"/>
      <c r="F236" s="326"/>
      <c r="G236" s="326"/>
      <c r="H236" s="404"/>
      <c r="I236" s="387"/>
      <c r="J236" s="322"/>
      <c r="K236" s="327"/>
      <c r="L236" s="332"/>
      <c r="M236" s="332"/>
      <c r="N236" s="323"/>
      <c r="O236" s="326"/>
      <c r="P236" s="452"/>
    </row>
    <row r="237" ht="12.75" customHeight="1">
      <c r="A237" s="322"/>
      <c r="B237" s="327" t="s">
        <v>939</v>
      </c>
      <c r="C237" s="333" t="str">
        <f>IF(SUM(E249,E264,E272)=0,"",SUM(E249,E264,E272))</f>
        <v>#REF!</v>
      </c>
      <c r="D237" s="321"/>
      <c r="E237" s="323"/>
      <c r="F237" s="326"/>
      <c r="G237" s="326"/>
      <c r="H237" s="404"/>
      <c r="I237" s="387"/>
      <c r="J237" s="322"/>
      <c r="K237" s="327" t="s">
        <v>939</v>
      </c>
      <c r="L237" s="333" t="str">
        <f>IF(SUM(N249,N264,N272)=0,"",SUM(N249,N264,N272))</f>
        <v>#REF!</v>
      </c>
      <c r="M237" s="321"/>
      <c r="N237" s="323"/>
      <c r="O237" s="326"/>
      <c r="P237" s="452"/>
    </row>
    <row r="238" ht="12.75" customHeight="1">
      <c r="A238" s="322"/>
      <c r="B238" s="327"/>
      <c r="C238" s="334"/>
      <c r="D238" s="334"/>
      <c r="E238" s="323"/>
      <c r="F238" s="326"/>
      <c r="G238" s="326"/>
      <c r="H238" s="404"/>
      <c r="I238" s="387"/>
      <c r="J238" s="322"/>
      <c r="K238" s="327"/>
      <c r="L238" s="334"/>
      <c r="M238" s="334"/>
      <c r="N238" s="323"/>
      <c r="O238" s="326"/>
      <c r="P238" s="452"/>
    </row>
    <row r="239" ht="12.75" customHeight="1">
      <c r="A239" s="322"/>
      <c r="B239" s="327" t="s">
        <v>946</v>
      </c>
      <c r="C239" s="335" t="str">
        <f>IF(C237="","",IF(ISBLANK(C235),"",C237/C235))</f>
        <v>#REF!</v>
      </c>
      <c r="D239" s="321"/>
      <c r="E239" s="323"/>
      <c r="F239" s="326"/>
      <c r="G239" s="326"/>
      <c r="H239" s="404"/>
      <c r="I239" s="387"/>
      <c r="J239" s="322"/>
      <c r="K239" s="327" t="s">
        <v>946</v>
      </c>
      <c r="L239" s="335" t="str">
        <f>IF(L237="","",IF(ISBLANK(L235),"",L237/L235))</f>
        <v>#REF!</v>
      </c>
      <c r="M239" s="321"/>
      <c r="N239" s="323"/>
      <c r="O239" s="326"/>
      <c r="P239" s="452"/>
    </row>
    <row r="240" ht="12.75" customHeight="1">
      <c r="A240" s="322"/>
      <c r="B240" s="327"/>
      <c r="C240" s="334"/>
      <c r="D240" s="334"/>
      <c r="E240" s="323"/>
      <c r="F240" s="326"/>
      <c r="G240" s="326"/>
      <c r="H240" s="404"/>
      <c r="I240" s="387"/>
      <c r="J240" s="322"/>
      <c r="K240" s="327"/>
      <c r="L240" s="334"/>
      <c r="M240" s="334"/>
      <c r="N240" s="323"/>
      <c r="O240" s="326"/>
      <c r="P240" s="452"/>
    </row>
    <row r="241" ht="12.75" customHeight="1">
      <c r="A241" s="322"/>
      <c r="B241" s="327" t="s">
        <v>950</v>
      </c>
      <c r="C241" s="333" t="str">
        <f>C235-C237</f>
        <v>#REF!</v>
      </c>
      <c r="D241" s="321"/>
      <c r="E241" s="323"/>
      <c r="F241" s="326"/>
      <c r="G241" s="326"/>
      <c r="H241" s="404"/>
      <c r="I241" s="387"/>
      <c r="J241" s="322"/>
      <c r="K241" s="327" t="s">
        <v>950</v>
      </c>
      <c r="L241" s="333" t="str">
        <f>L235-L237</f>
        <v>#REF!</v>
      </c>
      <c r="M241" s="321"/>
      <c r="N241" s="323"/>
      <c r="O241" s="326"/>
      <c r="P241" s="452"/>
    </row>
    <row r="242" ht="12.75" customHeight="1">
      <c r="A242" s="322"/>
      <c r="B242" s="322"/>
      <c r="C242" s="322"/>
      <c r="D242" s="322"/>
      <c r="E242" s="323"/>
      <c r="F242" s="324"/>
      <c r="G242" s="324"/>
      <c r="H242" s="404"/>
      <c r="I242" s="387"/>
      <c r="J242" s="322"/>
      <c r="K242" s="322"/>
      <c r="L242" s="322"/>
      <c r="M242" s="322"/>
      <c r="N242" s="323"/>
      <c r="O242" s="324"/>
      <c r="P242" s="451"/>
    </row>
    <row r="243" ht="12.75" customHeight="1">
      <c r="A243" s="322"/>
      <c r="B243" s="322"/>
      <c r="C243" s="322"/>
      <c r="D243" s="322"/>
      <c r="E243" s="337"/>
      <c r="F243" s="324"/>
      <c r="G243" s="324"/>
      <c r="H243" s="387"/>
      <c r="I243" s="387"/>
      <c r="J243" s="322"/>
      <c r="K243" s="322"/>
      <c r="L243" s="322"/>
      <c r="M243" s="322"/>
      <c r="N243" s="337"/>
      <c r="O243" s="324"/>
      <c r="P243" s="451"/>
    </row>
    <row r="244" ht="12.75" customHeight="1">
      <c r="A244" s="322"/>
      <c r="B244" s="338" t="s">
        <v>951</v>
      </c>
      <c r="C244" s="339"/>
      <c r="D244" s="339"/>
      <c r="E244" s="339"/>
      <c r="F244" s="324"/>
      <c r="G244" s="324"/>
      <c r="H244" s="410"/>
      <c r="I244" s="387"/>
      <c r="J244" s="322"/>
      <c r="K244" s="338" t="s">
        <v>951</v>
      </c>
      <c r="L244" s="339"/>
      <c r="M244" s="339"/>
      <c r="N244" s="339"/>
      <c r="O244" s="324"/>
      <c r="P244" s="451"/>
    </row>
    <row r="245" ht="12.75" customHeight="1">
      <c r="A245" s="322"/>
      <c r="B245" s="340" t="s">
        <v>953</v>
      </c>
      <c r="C245" s="341" t="s">
        <v>954</v>
      </c>
      <c r="D245" s="341" t="s">
        <v>955</v>
      </c>
      <c r="E245" s="341" t="s">
        <v>35</v>
      </c>
      <c r="F245" s="324"/>
      <c r="G245" s="324"/>
      <c r="H245" s="387"/>
      <c r="I245" s="387"/>
      <c r="J245" s="322"/>
      <c r="K245" s="340" t="s">
        <v>953</v>
      </c>
      <c r="L245" s="341" t="s">
        <v>954</v>
      </c>
      <c r="M245" s="341" t="s">
        <v>955</v>
      </c>
      <c r="N245" s="341" t="s">
        <v>35</v>
      </c>
      <c r="O245" s="324"/>
      <c r="P245" s="451"/>
    </row>
    <row r="246" ht="12.75" customHeight="1">
      <c r="A246" s="322"/>
      <c r="B246" s="60" t="s">
        <v>1108</v>
      </c>
      <c r="C246" s="342">
        <v>0.2</v>
      </c>
      <c r="D246" s="343">
        <f>$M$19</f>
        <v>44550</v>
      </c>
      <c r="E246" s="67">
        <f t="shared" ref="E246:E248" si="24">IF(OR(ISBLANK(C246),ISBLANK(D246)),"",D246*C246)</f>
        <v>8910</v>
      </c>
      <c r="F246" s="324"/>
      <c r="G246" s="324"/>
      <c r="H246" s="387"/>
      <c r="I246" s="387"/>
      <c r="J246" s="322"/>
      <c r="K246" s="60" t="s">
        <v>703</v>
      </c>
      <c r="L246" s="342">
        <v>0.12</v>
      </c>
      <c r="M246" s="343">
        <f>$M$63</f>
        <v>81000</v>
      </c>
      <c r="N246" s="67">
        <f t="shared" ref="N246:N248" si="25">IF(OR(ISBLANK(L246),ISBLANK(M246)),"",M246*L246)</f>
        <v>9720</v>
      </c>
      <c r="O246" s="324"/>
      <c r="P246" s="451"/>
    </row>
    <row r="247" ht="12.75" customHeight="1">
      <c r="A247" s="322"/>
      <c r="B247" s="75" t="s">
        <v>1007</v>
      </c>
      <c r="C247" s="370">
        <v>0.08</v>
      </c>
      <c r="D247" s="371">
        <f>'F&amp;B'!$F$237/12</f>
        <v>787.5</v>
      </c>
      <c r="E247" s="67">
        <f t="shared" si="24"/>
        <v>63</v>
      </c>
      <c r="F247" s="324"/>
      <c r="G247" s="324"/>
      <c r="H247" s="387"/>
      <c r="I247" s="387"/>
      <c r="J247" s="322"/>
      <c r="K247" s="75" t="s">
        <v>1188</v>
      </c>
      <c r="L247" s="370">
        <v>0.02</v>
      </c>
      <c r="M247" s="371">
        <f>'F&amp;B'!$F$174</f>
        <v>27000</v>
      </c>
      <c r="N247" s="67">
        <f t="shared" si="25"/>
        <v>540</v>
      </c>
      <c r="O247" s="324"/>
      <c r="P247" s="451"/>
    </row>
    <row r="248" ht="12.75" customHeight="1">
      <c r="A248" s="322"/>
      <c r="B248" s="87"/>
      <c r="C248" s="412">
        <v>0.0</v>
      </c>
      <c r="D248" s="408"/>
      <c r="E248" s="67" t="str">
        <f t="shared" si="24"/>
        <v/>
      </c>
      <c r="F248" s="324"/>
      <c r="G248" s="324"/>
      <c r="H248" s="387"/>
      <c r="I248" s="387"/>
      <c r="J248" s="322"/>
      <c r="K248" s="87" t="s">
        <v>1080</v>
      </c>
      <c r="L248" s="412">
        <v>0.015</v>
      </c>
      <c r="M248" s="408">
        <f>$M$34</f>
        <v>29700</v>
      </c>
      <c r="N248" s="67">
        <f t="shared" si="25"/>
        <v>445.5</v>
      </c>
      <c r="O248" s="324"/>
      <c r="P248" s="451"/>
    </row>
    <row r="249" ht="12.75" customHeight="1">
      <c r="A249" s="322"/>
      <c r="B249" s="338" t="s">
        <v>84</v>
      </c>
      <c r="C249" s="358"/>
      <c r="D249" s="358"/>
      <c r="E249" s="359">
        <f>IF(SUM(E246:E248)=0,"",SUM(E246:E248))</f>
        <v>8973</v>
      </c>
      <c r="F249" s="324"/>
      <c r="G249" s="324"/>
      <c r="H249" s="387"/>
      <c r="I249" s="387"/>
      <c r="J249" s="322"/>
      <c r="K249" s="338" t="s">
        <v>84</v>
      </c>
      <c r="L249" s="358"/>
      <c r="M249" s="358"/>
      <c r="N249" s="359">
        <f>IF(SUM(N246:N248)=0,"",SUM(N246:N248))</f>
        <v>10705.5</v>
      </c>
      <c r="O249" s="324"/>
      <c r="P249" s="451"/>
    </row>
    <row r="250" ht="12.75" customHeight="1">
      <c r="A250" s="322"/>
      <c r="B250" s="360"/>
      <c r="C250" s="360"/>
      <c r="D250" s="360"/>
      <c r="E250" s="361"/>
      <c r="F250" s="324"/>
      <c r="G250" s="324"/>
      <c r="H250" s="387"/>
      <c r="I250" s="387"/>
      <c r="J250" s="322"/>
      <c r="K250" s="360"/>
      <c r="L250" s="360"/>
      <c r="M250" s="360"/>
      <c r="N250" s="361"/>
      <c r="O250" s="324"/>
      <c r="P250" s="451"/>
    </row>
    <row r="251" ht="12.75" customHeight="1">
      <c r="A251" s="322"/>
      <c r="B251" s="362" t="s">
        <v>972</v>
      </c>
      <c r="C251" s="363"/>
      <c r="D251" s="363"/>
      <c r="E251" s="363"/>
      <c r="F251" s="324"/>
      <c r="G251" s="324"/>
      <c r="H251" s="387"/>
      <c r="I251" s="387"/>
      <c r="J251" s="322"/>
      <c r="K251" s="362" t="s">
        <v>972</v>
      </c>
      <c r="L251" s="363"/>
      <c r="M251" s="363"/>
      <c r="N251" s="363"/>
      <c r="O251" s="324"/>
      <c r="P251" s="451"/>
    </row>
    <row r="252" ht="12.75" customHeight="1">
      <c r="A252" s="322"/>
      <c r="B252" s="365" t="s">
        <v>953</v>
      </c>
      <c r="C252" s="366" t="s">
        <v>3</v>
      </c>
      <c r="D252" s="366" t="s">
        <v>975</v>
      </c>
      <c r="E252" s="367" t="s">
        <v>35</v>
      </c>
      <c r="F252" s="324"/>
      <c r="G252" s="324"/>
      <c r="H252" s="387"/>
      <c r="I252" s="387"/>
      <c r="J252" s="322"/>
      <c r="K252" s="365" t="s">
        <v>953</v>
      </c>
      <c r="L252" s="366" t="s">
        <v>3</v>
      </c>
      <c r="M252" s="366" t="s">
        <v>975</v>
      </c>
      <c r="N252" s="367" t="s">
        <v>35</v>
      </c>
      <c r="O252" s="324"/>
      <c r="P252" s="451"/>
    </row>
    <row r="253" ht="12.75" customHeight="1">
      <c r="A253" s="322"/>
      <c r="B253" s="368"/>
      <c r="C253" s="366"/>
      <c r="D253" s="366"/>
      <c r="E253" s="368"/>
      <c r="F253" s="324"/>
      <c r="G253" s="324"/>
      <c r="H253" s="387"/>
      <c r="I253" s="387"/>
      <c r="J253" s="322"/>
      <c r="K253" s="368"/>
      <c r="L253" s="366"/>
      <c r="M253" s="366"/>
      <c r="N253" s="368"/>
      <c r="O253" s="324"/>
      <c r="P253" s="451"/>
    </row>
    <row r="254" ht="12.75" customHeight="1">
      <c r="A254" s="322"/>
      <c r="B254" s="60" t="s">
        <v>1061</v>
      </c>
      <c r="C254" s="342">
        <v>0.06</v>
      </c>
      <c r="D254" s="343">
        <f>'F&amp;B'!$F$284</f>
        <v>7200</v>
      </c>
      <c r="E254" s="67">
        <f t="shared" ref="E254:E263" si="26">D254*C254</f>
        <v>432</v>
      </c>
      <c r="F254" s="324"/>
      <c r="G254" s="324"/>
      <c r="H254" s="387"/>
      <c r="I254" s="387"/>
      <c r="J254" s="322"/>
      <c r="K254" s="60" t="s">
        <v>1190</v>
      </c>
      <c r="L254" s="342">
        <v>0.02</v>
      </c>
      <c r="M254" s="343">
        <f>'F&amp;B'!$F$290</f>
        <v>6300</v>
      </c>
      <c r="N254" s="67">
        <f t="shared" ref="N254:N263" si="27">M254*L254</f>
        <v>126</v>
      </c>
      <c r="O254" s="324"/>
      <c r="P254" s="451"/>
    </row>
    <row r="255" ht="12.75" customHeight="1">
      <c r="A255" s="322"/>
      <c r="B255" s="75" t="s">
        <v>214</v>
      </c>
      <c r="C255" s="370">
        <v>0.02</v>
      </c>
      <c r="D255" s="371">
        <f>'F&amp;B'!$F$290</f>
        <v>6300</v>
      </c>
      <c r="E255" s="67">
        <f t="shared" si="26"/>
        <v>126</v>
      </c>
      <c r="F255" s="324"/>
      <c r="G255" s="324"/>
      <c r="H255" s="387"/>
      <c r="I255" s="387"/>
      <c r="J255" s="322"/>
      <c r="K255" s="75" t="s">
        <v>173</v>
      </c>
      <c r="L255" s="370">
        <v>0.06</v>
      </c>
      <c r="M255" s="371">
        <f>$M$28</f>
        <v>7200</v>
      </c>
      <c r="N255" s="67">
        <f t="shared" si="27"/>
        <v>432</v>
      </c>
      <c r="O255" s="324"/>
      <c r="P255" s="451"/>
    </row>
    <row r="256" ht="12.75" customHeight="1">
      <c r="A256" s="322"/>
      <c r="B256" s="75" t="s">
        <v>273</v>
      </c>
      <c r="C256" s="370">
        <v>0.07</v>
      </c>
      <c r="D256" s="371">
        <f>'F&amp;B'!$F$283*4</f>
        <v>36000</v>
      </c>
      <c r="E256" s="67">
        <f t="shared" si="26"/>
        <v>2520</v>
      </c>
      <c r="F256" s="324"/>
      <c r="G256" s="324"/>
      <c r="H256" s="387"/>
      <c r="I256" s="387"/>
      <c r="J256" s="322"/>
      <c r="K256" s="75" t="s">
        <v>1000</v>
      </c>
      <c r="L256" s="370">
        <v>1.0</v>
      </c>
      <c r="M256" s="371">
        <f>$M$27</f>
        <v>13500</v>
      </c>
      <c r="N256" s="67">
        <f t="shared" si="27"/>
        <v>13500</v>
      </c>
      <c r="O256" s="324"/>
      <c r="P256" s="451"/>
    </row>
    <row r="257" ht="12.75" customHeight="1">
      <c r="A257" s="322"/>
      <c r="B257" s="75" t="s">
        <v>1000</v>
      </c>
      <c r="C257" s="370">
        <v>0.5</v>
      </c>
      <c r="D257" s="371">
        <f>'F&amp;B'!$F$277</f>
        <v>13500</v>
      </c>
      <c r="E257" s="67">
        <f t="shared" si="26"/>
        <v>6750</v>
      </c>
      <c r="F257" s="324"/>
      <c r="G257" s="324"/>
      <c r="H257" s="387"/>
      <c r="I257" s="387"/>
      <c r="J257" s="322"/>
      <c r="K257" s="75" t="s">
        <v>1048</v>
      </c>
      <c r="L257" s="346">
        <v>0.03</v>
      </c>
      <c r="M257" s="371">
        <f>'F&amp;B'!$F$246/3.79</f>
        <v>56160.94987</v>
      </c>
      <c r="N257" s="67">
        <f t="shared" si="27"/>
        <v>1684.828496</v>
      </c>
      <c r="O257" s="324"/>
      <c r="P257" s="451"/>
    </row>
    <row r="258" ht="12.75" customHeight="1">
      <c r="A258" s="322"/>
      <c r="B258" s="75" t="s">
        <v>1070</v>
      </c>
      <c r="C258" s="370">
        <v>0.03</v>
      </c>
      <c r="D258" s="371">
        <f>'F&amp;B'!F44/10</f>
        <v>23400</v>
      </c>
      <c r="E258" s="67">
        <f t="shared" si="26"/>
        <v>702</v>
      </c>
      <c r="F258" s="324"/>
      <c r="G258" s="324"/>
      <c r="H258" s="387"/>
      <c r="I258" s="387"/>
      <c r="J258" s="322"/>
      <c r="K258" s="75" t="s">
        <v>1164</v>
      </c>
      <c r="L258" s="346">
        <v>1.0</v>
      </c>
      <c r="M258" s="371">
        <f>$D$259</f>
        <v>1471.976447</v>
      </c>
      <c r="N258" s="67">
        <f t="shared" si="27"/>
        <v>1471.976447</v>
      </c>
      <c r="O258" s="324"/>
      <c r="P258" s="451"/>
    </row>
    <row r="259" ht="12.75" customHeight="1">
      <c r="A259" s="322"/>
      <c r="B259" s="75" t="s">
        <v>1164</v>
      </c>
      <c r="C259" s="370">
        <v>1.0</v>
      </c>
      <c r="D259" s="371">
        <f>SAUCES!D152</f>
        <v>1471.976447</v>
      </c>
      <c r="E259" s="67">
        <f t="shared" si="26"/>
        <v>1471.976447</v>
      </c>
      <c r="F259" s="324"/>
      <c r="G259" s="324"/>
      <c r="H259" s="387"/>
      <c r="I259" s="387"/>
      <c r="J259" s="322"/>
      <c r="K259" s="75" t="s">
        <v>1046</v>
      </c>
      <c r="L259" s="346">
        <v>0.04</v>
      </c>
      <c r="M259" s="371">
        <f>'F&amp;B'!$F$80</f>
        <v>103500</v>
      </c>
      <c r="N259" s="67">
        <f t="shared" si="27"/>
        <v>4140</v>
      </c>
      <c r="O259" s="324"/>
      <c r="P259" s="451"/>
    </row>
    <row r="260" ht="12.75" customHeight="1">
      <c r="A260" s="322"/>
      <c r="B260" s="75" t="s">
        <v>569</v>
      </c>
      <c r="C260" s="370">
        <v>0.003</v>
      </c>
      <c r="D260" s="371">
        <f>'F&amp;B'!$F$167</f>
        <v>37800</v>
      </c>
      <c r="E260" s="67">
        <f t="shared" si="26"/>
        <v>113.4</v>
      </c>
      <c r="F260" s="324"/>
      <c r="G260" s="324"/>
      <c r="H260" s="387"/>
      <c r="I260" s="387"/>
      <c r="J260" s="322"/>
      <c r="K260" s="75" t="s">
        <v>1044</v>
      </c>
      <c r="L260" s="346">
        <v>0.04</v>
      </c>
      <c r="M260" s="371">
        <f>'F&amp;B'!$F$28/12</f>
        <v>48750</v>
      </c>
      <c r="N260" s="67">
        <f t="shared" si="27"/>
        <v>1950</v>
      </c>
      <c r="O260" s="324"/>
      <c r="P260" s="451"/>
    </row>
    <row r="261" ht="12.75" customHeight="1">
      <c r="A261" s="322"/>
      <c r="B261" s="348"/>
      <c r="C261" s="346"/>
      <c r="D261" s="373"/>
      <c r="E261" s="67">
        <f t="shared" si="26"/>
        <v>0</v>
      </c>
      <c r="F261" s="324"/>
      <c r="G261" s="324"/>
      <c r="H261" s="387"/>
      <c r="I261" s="387"/>
      <c r="J261" s="322"/>
      <c r="K261" s="348"/>
      <c r="L261" s="346"/>
      <c r="M261" s="373"/>
      <c r="N261" s="67">
        <f t="shared" si="27"/>
        <v>0</v>
      </c>
      <c r="O261" s="324"/>
      <c r="P261" s="451"/>
    </row>
    <row r="262" ht="12.75" customHeight="1">
      <c r="A262" s="322"/>
      <c r="B262" s="348"/>
      <c r="C262" s="346"/>
      <c r="D262" s="373"/>
      <c r="E262" s="67">
        <f t="shared" si="26"/>
        <v>0</v>
      </c>
      <c r="F262" s="324"/>
      <c r="G262" s="324"/>
      <c r="H262" s="387"/>
      <c r="I262" s="387"/>
      <c r="J262" s="322"/>
      <c r="K262" s="348"/>
      <c r="L262" s="346"/>
      <c r="M262" s="373"/>
      <c r="N262" s="67">
        <f t="shared" si="27"/>
        <v>0</v>
      </c>
      <c r="O262" s="324"/>
      <c r="P262" s="451"/>
    </row>
    <row r="263" ht="12.75" customHeight="1">
      <c r="A263" s="322"/>
      <c r="B263" s="354"/>
      <c r="C263" s="355"/>
      <c r="D263" s="356"/>
      <c r="E263" s="67">
        <f t="shared" si="26"/>
        <v>0</v>
      </c>
      <c r="F263" s="324"/>
      <c r="G263" s="324"/>
      <c r="H263" s="387"/>
      <c r="I263" s="387"/>
      <c r="J263" s="322"/>
      <c r="K263" s="354"/>
      <c r="L263" s="355"/>
      <c r="M263" s="356"/>
      <c r="N263" s="67">
        <f t="shared" si="27"/>
        <v>0</v>
      </c>
      <c r="O263" s="324"/>
      <c r="P263" s="451"/>
    </row>
    <row r="264" ht="12.75" customHeight="1">
      <c r="A264" s="322"/>
      <c r="B264" s="362" t="s">
        <v>84</v>
      </c>
      <c r="C264" s="374"/>
      <c r="D264" s="374"/>
      <c r="E264" s="375">
        <f>IF(SUM(E254:E263)=0,"",SUM(E254:E263))</f>
        <v>12115.37645</v>
      </c>
      <c r="F264" s="324"/>
      <c r="G264" s="324"/>
      <c r="H264" s="387"/>
      <c r="I264" s="387"/>
      <c r="J264" s="322"/>
      <c r="K264" s="362" t="s">
        <v>84</v>
      </c>
      <c r="L264" s="374"/>
      <c r="M264" s="374"/>
      <c r="N264" s="375">
        <f>IF(SUM(N254:N263)=0,"",SUM(N254:N263))</f>
        <v>23304.80494</v>
      </c>
      <c r="O264" s="324"/>
      <c r="P264" s="451"/>
    </row>
    <row r="265" ht="12.75" customHeight="1">
      <c r="A265" s="322"/>
      <c r="B265" s="360"/>
      <c r="C265" s="360"/>
      <c r="D265" s="360"/>
      <c r="E265" s="361"/>
      <c r="F265" s="324"/>
      <c r="G265" s="324"/>
      <c r="H265" s="387"/>
      <c r="I265" s="387"/>
      <c r="J265" s="322"/>
      <c r="K265" s="360"/>
      <c r="L265" s="360"/>
      <c r="M265" s="360"/>
      <c r="N265" s="361"/>
      <c r="O265" s="324"/>
      <c r="P265" s="451"/>
    </row>
    <row r="266" ht="12.75" customHeight="1">
      <c r="A266" s="322"/>
      <c r="B266" s="34" t="s">
        <v>17</v>
      </c>
      <c r="C266" s="35"/>
      <c r="D266" s="35"/>
      <c r="E266" s="35"/>
      <c r="F266" s="324"/>
      <c r="G266" s="324"/>
      <c r="H266" s="387"/>
      <c r="I266" s="387"/>
      <c r="J266" s="322"/>
      <c r="K266" s="34" t="s">
        <v>17</v>
      </c>
      <c r="L266" s="35"/>
      <c r="M266" s="35"/>
      <c r="N266" s="35"/>
      <c r="O266" s="324"/>
      <c r="P266" s="451"/>
    </row>
    <row r="267" ht="12.75" customHeight="1">
      <c r="A267" s="322"/>
      <c r="B267" s="52" t="s">
        <v>42</v>
      </c>
      <c r="C267" s="54"/>
      <c r="D267" s="54"/>
      <c r="E267" s="56" t="s">
        <v>35</v>
      </c>
      <c r="F267" s="324"/>
      <c r="G267" s="324"/>
      <c r="H267" s="387"/>
      <c r="I267" s="387"/>
      <c r="J267" s="322"/>
      <c r="K267" s="52" t="s">
        <v>42</v>
      </c>
      <c r="L267" s="54"/>
      <c r="M267" s="54"/>
      <c r="N267" s="56" t="s">
        <v>35</v>
      </c>
      <c r="O267" s="324"/>
      <c r="P267" s="451"/>
    </row>
    <row r="268" ht="12.75" customHeight="1">
      <c r="A268" s="322"/>
      <c r="B268" s="60" t="s">
        <v>40</v>
      </c>
      <c r="C268" s="343">
        <f>'UTL COST'!$B$3</f>
        <v>369000</v>
      </c>
      <c r="D268" s="379">
        <f>'UTL COST'!$C$3</f>
        <v>0.0075</v>
      </c>
      <c r="E268" s="67">
        <v>0.0</v>
      </c>
      <c r="F268" s="324"/>
      <c r="G268" s="324"/>
      <c r="H268" s="387"/>
      <c r="I268" s="387"/>
      <c r="J268" s="322"/>
      <c r="K268" s="60" t="s">
        <v>40</v>
      </c>
      <c r="L268" s="343">
        <f>'UTL COST'!$B$3</f>
        <v>369000</v>
      </c>
      <c r="M268" s="379">
        <f>'UTL COST'!$C$3</f>
        <v>0.0075</v>
      </c>
      <c r="N268" s="67">
        <v>0.0</v>
      </c>
      <c r="O268" s="324"/>
      <c r="P268" s="451"/>
    </row>
    <row r="269" ht="12.75" customHeight="1">
      <c r="A269" s="322"/>
      <c r="B269" s="75" t="s">
        <v>51</v>
      </c>
      <c r="C269" s="371" t="str">
        <f>'UTL COST'!$B$4</f>
        <v>#REF!</v>
      </c>
      <c r="D269" s="382">
        <f>'UTL COST'!$C$4</f>
        <v>7000</v>
      </c>
      <c r="E269" s="76" t="str">
        <f>'UTL COST'!$D$4</f>
        <v>#REF!</v>
      </c>
      <c r="F269" s="324"/>
      <c r="G269" s="324"/>
      <c r="H269" s="387"/>
      <c r="I269" s="387"/>
      <c r="J269" s="322"/>
      <c r="K269" s="75" t="s">
        <v>51</v>
      </c>
      <c r="L269" s="371" t="str">
        <f>'UTL COST'!$B$4</f>
        <v>#REF!</v>
      </c>
      <c r="M269" s="382">
        <f>'UTL COST'!$C$4</f>
        <v>7000</v>
      </c>
      <c r="N269" s="76" t="str">
        <f>'UTL COST'!$D$4</f>
        <v>#REF!</v>
      </c>
      <c r="O269" s="324"/>
      <c r="P269" s="451"/>
    </row>
    <row r="270" ht="12.75" customHeight="1">
      <c r="A270" s="322"/>
      <c r="B270" s="75" t="s">
        <v>59</v>
      </c>
      <c r="C270" s="371" t="str">
        <f>'UTL COST'!$B$5</f>
        <v>#REF!</v>
      </c>
      <c r="D270" s="382">
        <f>'UTL COST'!$C$5</f>
        <v>45000</v>
      </c>
      <c r="E270" s="76" t="str">
        <f>'UTL COST'!$D$5</f>
        <v>#REF!</v>
      </c>
      <c r="F270" s="324"/>
      <c r="G270" s="324"/>
      <c r="H270" s="387"/>
      <c r="I270" s="387"/>
      <c r="J270" s="322"/>
      <c r="K270" s="75" t="s">
        <v>59</v>
      </c>
      <c r="L270" s="371" t="str">
        <f>'UTL COST'!$B$5</f>
        <v>#REF!</v>
      </c>
      <c r="M270" s="382">
        <f>'UTL COST'!$C$5</f>
        <v>45000</v>
      </c>
      <c r="N270" s="76" t="str">
        <f>'UTL COST'!$D$5</f>
        <v>#REF!</v>
      </c>
      <c r="O270" s="324"/>
      <c r="P270" s="451"/>
    </row>
    <row r="271" ht="12.75" customHeight="1">
      <c r="A271" s="322"/>
      <c r="B271" s="87" t="s">
        <v>78</v>
      </c>
      <c r="C271" s="371" t="str">
        <f>'UTL COST'!$B$6</f>
        <v>#REF!</v>
      </c>
      <c r="D271" s="383">
        <f>'UTL COST'!$C$6</f>
        <v>525</v>
      </c>
      <c r="E271" s="89">
        <v>0.1</v>
      </c>
      <c r="F271" s="324"/>
      <c r="G271" s="324"/>
      <c r="H271" s="387"/>
      <c r="I271" s="387"/>
      <c r="J271" s="322"/>
      <c r="K271" s="87" t="s">
        <v>78</v>
      </c>
      <c r="L271" s="371" t="str">
        <f>'UTL COST'!$B$6</f>
        <v>#REF!</v>
      </c>
      <c r="M271" s="383">
        <f>'UTL COST'!$C$6</f>
        <v>525</v>
      </c>
      <c r="N271" s="89">
        <v>0.1</v>
      </c>
      <c r="O271" s="324"/>
      <c r="P271" s="451"/>
    </row>
    <row r="272" ht="12.75" customHeight="1">
      <c r="A272" s="322"/>
      <c r="B272" s="34" t="s">
        <v>84</v>
      </c>
      <c r="C272" s="102"/>
      <c r="D272" s="102"/>
      <c r="E272" s="104" t="str">
        <f>IF(SUM(E268:E271)=0,"",SUM(E268:E271))</f>
        <v>#REF!</v>
      </c>
      <c r="F272" s="324"/>
      <c r="G272" s="324"/>
      <c r="H272" s="387"/>
      <c r="I272" s="387"/>
      <c r="J272" s="322"/>
      <c r="K272" s="34" t="s">
        <v>84</v>
      </c>
      <c r="L272" s="102"/>
      <c r="M272" s="102"/>
      <c r="N272" s="104" t="str">
        <f>IF(SUM(N268:N271)=0,"",SUM(N268:N271))</f>
        <v>#REF!</v>
      </c>
      <c r="O272" s="324"/>
      <c r="P272" s="451"/>
    </row>
    <row r="273" ht="12.75" customHeight="1">
      <c r="A273" s="322"/>
      <c r="B273" s="360"/>
      <c r="C273" s="360"/>
      <c r="D273" s="360"/>
      <c r="E273" s="361"/>
      <c r="F273" s="324"/>
      <c r="G273" s="324"/>
      <c r="H273" s="387"/>
      <c r="I273" s="387"/>
      <c r="J273" s="322"/>
      <c r="K273" s="360"/>
      <c r="L273" s="360"/>
      <c r="M273" s="360"/>
      <c r="N273" s="361"/>
      <c r="O273" s="324"/>
      <c r="P273" s="451"/>
    </row>
    <row r="274" ht="12.75" customHeight="1">
      <c r="A274" s="387"/>
      <c r="B274" s="387"/>
      <c r="C274" s="387"/>
      <c r="D274" s="387"/>
      <c r="E274" s="418"/>
      <c r="F274" s="387"/>
      <c r="G274" s="387"/>
      <c r="H274" s="387"/>
      <c r="I274" s="387"/>
      <c r="J274" s="387"/>
      <c r="K274" s="387"/>
      <c r="L274" s="387"/>
      <c r="M274" s="387"/>
      <c r="N274" s="387"/>
      <c r="O274" s="387"/>
      <c r="P274" s="387"/>
    </row>
    <row r="275" ht="12.75" customHeight="1">
      <c r="A275" s="387"/>
      <c r="B275" s="387"/>
      <c r="C275" s="387"/>
      <c r="D275" s="387"/>
      <c r="E275" s="418"/>
      <c r="F275" s="387"/>
      <c r="G275" s="387"/>
      <c r="H275" s="387"/>
      <c r="I275" s="387"/>
      <c r="J275" s="387"/>
      <c r="K275" s="387"/>
      <c r="L275" s="387"/>
      <c r="M275" s="387"/>
      <c r="N275" s="387"/>
      <c r="O275" s="387"/>
      <c r="P275" s="387"/>
    </row>
    <row r="276" ht="12.75" customHeight="1">
      <c r="A276" s="322"/>
      <c r="B276" s="322"/>
      <c r="C276" s="322"/>
      <c r="D276" s="322"/>
      <c r="E276" s="323"/>
      <c r="F276" s="324"/>
      <c r="G276" s="324"/>
      <c r="H276" s="387"/>
      <c r="I276" s="387"/>
      <c r="J276" s="322"/>
      <c r="K276" s="322"/>
      <c r="L276" s="322"/>
      <c r="M276" s="322"/>
      <c r="N276" s="323"/>
      <c r="O276" s="324"/>
      <c r="P276" s="451"/>
    </row>
    <row r="277" ht="12.75" customHeight="1">
      <c r="A277" s="322"/>
      <c r="B277" s="325"/>
      <c r="C277" s="322"/>
      <c r="D277" s="322"/>
      <c r="E277" s="323"/>
      <c r="F277" s="326"/>
      <c r="G277" s="326"/>
      <c r="H277" s="404"/>
      <c r="I277" s="387"/>
      <c r="J277" s="322"/>
      <c r="K277" s="325"/>
      <c r="L277" s="322"/>
      <c r="M277" s="322"/>
      <c r="N277" s="323"/>
      <c r="O277" s="326"/>
      <c r="P277" s="452"/>
    </row>
    <row r="278" ht="12.75" customHeight="1">
      <c r="A278" s="322"/>
      <c r="B278" s="327" t="s">
        <v>931</v>
      </c>
      <c r="C278" s="330" t="s">
        <v>1196</v>
      </c>
      <c r="D278" s="329"/>
      <c r="E278" s="323"/>
      <c r="F278" s="326"/>
      <c r="G278" s="326"/>
      <c r="H278" s="404"/>
      <c r="I278" s="387"/>
      <c r="J278" s="322"/>
      <c r="K278" s="327" t="s">
        <v>931</v>
      </c>
      <c r="L278" s="328" t="s">
        <v>254</v>
      </c>
      <c r="M278" s="329"/>
      <c r="N278" s="323"/>
      <c r="O278" s="326"/>
      <c r="P278" s="452"/>
    </row>
    <row r="279" ht="12.75" customHeight="1">
      <c r="A279" s="322"/>
      <c r="B279" s="325"/>
      <c r="C279" s="322"/>
      <c r="D279" s="322"/>
      <c r="E279" s="323"/>
      <c r="F279" s="326"/>
      <c r="G279" s="326"/>
      <c r="H279" s="404"/>
      <c r="I279" s="387"/>
      <c r="J279" s="322"/>
      <c r="K279" s="325"/>
      <c r="L279" s="322"/>
      <c r="M279" s="322"/>
      <c r="N279" s="323"/>
      <c r="O279" s="326"/>
      <c r="P279" s="452"/>
    </row>
    <row r="280" ht="12.75" customHeight="1">
      <c r="A280" s="322"/>
      <c r="B280" s="327" t="s">
        <v>935</v>
      </c>
      <c r="C280" s="331">
        <v>230000.0</v>
      </c>
      <c r="D280" s="329"/>
      <c r="E280" s="323"/>
      <c r="F280" s="326"/>
      <c r="G280" s="326"/>
      <c r="H280" s="404"/>
      <c r="I280" s="387"/>
      <c r="J280" s="322"/>
      <c r="K280" s="327" t="s">
        <v>935</v>
      </c>
      <c r="L280" s="331">
        <v>180000.0</v>
      </c>
      <c r="M280" s="329"/>
      <c r="N280" s="323"/>
      <c r="O280" s="326"/>
      <c r="P280" s="452"/>
    </row>
    <row r="281" ht="12.75" customHeight="1">
      <c r="A281" s="322"/>
      <c r="B281" s="327"/>
      <c r="C281" s="332"/>
      <c r="D281" s="332"/>
      <c r="E281" s="323"/>
      <c r="F281" s="326"/>
      <c r="G281" s="326"/>
      <c r="H281" s="404"/>
      <c r="I281" s="387"/>
      <c r="J281" s="322"/>
      <c r="K281" s="327"/>
      <c r="L281" s="332"/>
      <c r="M281" s="332"/>
      <c r="N281" s="323"/>
      <c r="O281" s="326"/>
      <c r="P281" s="452"/>
    </row>
    <row r="282" ht="12.75" customHeight="1">
      <c r="A282" s="322"/>
      <c r="B282" s="327" t="s">
        <v>939</v>
      </c>
      <c r="C282" s="333" t="str">
        <f>IF(SUM(E294,E309,E317)=0,"",SUM(E294,E309,E317))</f>
        <v>#REF!</v>
      </c>
      <c r="D282" s="321"/>
      <c r="E282" s="323"/>
      <c r="F282" s="326"/>
      <c r="G282" s="326"/>
      <c r="H282" s="404"/>
      <c r="I282" s="387"/>
      <c r="J282" s="322"/>
      <c r="K282" s="327" t="s">
        <v>939</v>
      </c>
      <c r="L282" s="333" t="str">
        <f>IF(SUM(N294,N309,N317)=0,"",SUM(N294,N309,N317))</f>
        <v>#REF!</v>
      </c>
      <c r="M282" s="321"/>
      <c r="N282" s="323"/>
      <c r="O282" s="326"/>
      <c r="P282" s="452"/>
    </row>
    <row r="283" ht="12.75" customHeight="1">
      <c r="A283" s="322"/>
      <c r="B283" s="327"/>
      <c r="C283" s="334"/>
      <c r="D283" s="334"/>
      <c r="E283" s="323"/>
      <c r="F283" s="326"/>
      <c r="G283" s="326"/>
      <c r="H283" s="404"/>
      <c r="I283" s="387"/>
      <c r="J283" s="322"/>
      <c r="K283" s="327"/>
      <c r="L283" s="334"/>
      <c r="M283" s="334"/>
      <c r="N283" s="323"/>
      <c r="O283" s="326"/>
      <c r="P283" s="452"/>
    </row>
    <row r="284" ht="12.75" customHeight="1">
      <c r="A284" s="322"/>
      <c r="B284" s="327" t="s">
        <v>946</v>
      </c>
      <c r="C284" s="335" t="str">
        <f>IF(C282="","",IF(ISBLANK(C280),"",C282/C280))</f>
        <v>#REF!</v>
      </c>
      <c r="D284" s="321"/>
      <c r="E284" s="323"/>
      <c r="F284" s="326"/>
      <c r="G284" s="326"/>
      <c r="H284" s="404"/>
      <c r="I284" s="387"/>
      <c r="J284" s="322"/>
      <c r="K284" s="327" t="s">
        <v>946</v>
      </c>
      <c r="L284" s="335" t="str">
        <f>IF(L282="","",IF(ISBLANK(L280),"",L282/L280))</f>
        <v>#REF!</v>
      </c>
      <c r="M284" s="321"/>
      <c r="N284" s="323"/>
      <c r="O284" s="326"/>
      <c r="P284" s="452"/>
    </row>
    <row r="285" ht="12.75" customHeight="1">
      <c r="A285" s="322"/>
      <c r="B285" s="327"/>
      <c r="C285" s="334"/>
      <c r="D285" s="334"/>
      <c r="E285" s="323"/>
      <c r="F285" s="326"/>
      <c r="G285" s="326"/>
      <c r="H285" s="404"/>
      <c r="I285" s="387"/>
      <c r="J285" s="322"/>
      <c r="K285" s="327"/>
      <c r="L285" s="334"/>
      <c r="M285" s="334"/>
      <c r="N285" s="323"/>
      <c r="O285" s="326"/>
      <c r="P285" s="452"/>
    </row>
    <row r="286" ht="12.75" customHeight="1">
      <c r="A286" s="322"/>
      <c r="B286" s="327" t="s">
        <v>950</v>
      </c>
      <c r="C286" s="333" t="str">
        <f>C280-C282</f>
        <v>#REF!</v>
      </c>
      <c r="D286" s="321"/>
      <c r="E286" s="323"/>
      <c r="F286" s="326"/>
      <c r="G286" s="326"/>
      <c r="H286" s="404"/>
      <c r="I286" s="387"/>
      <c r="J286" s="322"/>
      <c r="K286" s="327" t="s">
        <v>950</v>
      </c>
      <c r="L286" s="333" t="str">
        <f>L280-L282</f>
        <v>#REF!</v>
      </c>
      <c r="M286" s="321"/>
      <c r="N286" s="323"/>
      <c r="O286" s="326"/>
      <c r="P286" s="452"/>
    </row>
    <row r="287" ht="12.75" customHeight="1">
      <c r="A287" s="322"/>
      <c r="B287" s="322"/>
      <c r="C287" s="322"/>
      <c r="D287" s="322"/>
      <c r="E287" s="323"/>
      <c r="F287" s="324"/>
      <c r="G287" s="324"/>
      <c r="H287" s="404"/>
      <c r="I287" s="387"/>
      <c r="J287" s="322"/>
      <c r="K287" s="322"/>
      <c r="L287" s="322"/>
      <c r="M287" s="322"/>
      <c r="N287" s="323"/>
      <c r="O287" s="324"/>
      <c r="P287" s="451"/>
    </row>
    <row r="288" ht="12.75" customHeight="1">
      <c r="A288" s="322"/>
      <c r="B288" s="322"/>
      <c r="C288" s="322"/>
      <c r="D288" s="322"/>
      <c r="E288" s="337"/>
      <c r="F288" s="324"/>
      <c r="G288" s="324"/>
      <c r="H288" s="387"/>
      <c r="I288" s="387"/>
      <c r="J288" s="322"/>
      <c r="K288" s="322"/>
      <c r="L288" s="322"/>
      <c r="M288" s="322"/>
      <c r="N288" s="337"/>
      <c r="O288" s="324"/>
      <c r="P288" s="451"/>
    </row>
    <row r="289" ht="12.75" customHeight="1">
      <c r="A289" s="322"/>
      <c r="B289" s="338" t="s">
        <v>951</v>
      </c>
      <c r="C289" s="339"/>
      <c r="D289" s="339"/>
      <c r="E289" s="339"/>
      <c r="F289" s="324"/>
      <c r="G289" s="324"/>
      <c r="H289" s="410"/>
      <c r="I289" s="387"/>
      <c r="J289" s="322"/>
      <c r="K289" s="338" t="s">
        <v>951</v>
      </c>
      <c r="L289" s="339"/>
      <c r="M289" s="339"/>
      <c r="N289" s="339"/>
      <c r="O289" s="324"/>
      <c r="P289" s="451"/>
    </row>
    <row r="290" ht="12.75" customHeight="1">
      <c r="A290" s="322"/>
      <c r="B290" s="340" t="s">
        <v>953</v>
      </c>
      <c r="C290" s="341" t="s">
        <v>954</v>
      </c>
      <c r="D290" s="341" t="s">
        <v>955</v>
      </c>
      <c r="E290" s="341" t="s">
        <v>35</v>
      </c>
      <c r="F290" s="324"/>
      <c r="G290" s="324"/>
      <c r="H290" s="387"/>
      <c r="I290" s="387"/>
      <c r="J290" s="322"/>
      <c r="K290" s="340" t="s">
        <v>953</v>
      </c>
      <c r="L290" s="341" t="s">
        <v>954</v>
      </c>
      <c r="M290" s="341" t="s">
        <v>955</v>
      </c>
      <c r="N290" s="341" t="s">
        <v>35</v>
      </c>
      <c r="O290" s="324"/>
      <c r="P290" s="451"/>
    </row>
    <row r="291" ht="12.75" customHeight="1">
      <c r="A291" s="322"/>
      <c r="B291" s="60" t="s">
        <v>703</v>
      </c>
      <c r="C291" s="342">
        <v>0.16</v>
      </c>
      <c r="D291" s="343" t="str">
        <f>M199</f>
        <v/>
      </c>
      <c r="E291" s="67" t="str">
        <f t="shared" ref="E291:E293" si="28">IF(OR(ISBLANK(C291),ISBLANK(D291)),"",D291*C291)</f>
        <v/>
      </c>
      <c r="F291" s="324"/>
      <c r="G291" s="324"/>
      <c r="H291" s="387"/>
      <c r="I291" s="387"/>
      <c r="J291" s="322"/>
      <c r="K291" s="60" t="s">
        <v>1160</v>
      </c>
      <c r="L291" s="342">
        <v>0.8</v>
      </c>
      <c r="M291" s="343">
        <f>'F&amp;B'!$F$270</f>
        <v>15840</v>
      </c>
      <c r="N291" s="67">
        <f t="shared" ref="N291:N293" si="29">IF(OR(ISBLANK(L291),ISBLANK(M291)),"",M291*L291)</f>
        <v>12672</v>
      </c>
      <c r="O291" s="324"/>
      <c r="P291" s="451"/>
    </row>
    <row r="292" ht="12.75" customHeight="1">
      <c r="A292" s="322"/>
      <c r="B292" s="75" t="s">
        <v>850</v>
      </c>
      <c r="C292" s="370">
        <v>0.0</v>
      </c>
      <c r="D292" s="371">
        <f>SANDWICHES!$D$27</f>
        <v>63000</v>
      </c>
      <c r="E292" s="67">
        <f t="shared" si="28"/>
        <v>0</v>
      </c>
      <c r="F292" s="324"/>
      <c r="G292" s="324"/>
      <c r="H292" s="387"/>
      <c r="I292" s="387"/>
      <c r="J292" s="322"/>
      <c r="K292" s="75" t="s">
        <v>765</v>
      </c>
      <c r="L292" s="370">
        <v>0.12</v>
      </c>
      <c r="M292" s="371">
        <f>'F&amp;B'!$F$288</f>
        <v>54000</v>
      </c>
      <c r="N292" s="67">
        <f t="shared" si="29"/>
        <v>6480</v>
      </c>
      <c r="O292" s="324"/>
      <c r="P292" s="451"/>
    </row>
    <row r="293" ht="12.75" customHeight="1">
      <c r="A293" s="322"/>
      <c r="B293" s="87" t="s">
        <v>1046</v>
      </c>
      <c r="C293" s="412">
        <v>0.0</v>
      </c>
      <c r="D293" s="408">
        <f>SANDWICHES!$D$72</f>
        <v>103500</v>
      </c>
      <c r="E293" s="67">
        <f t="shared" si="28"/>
        <v>0</v>
      </c>
      <c r="F293" s="324"/>
      <c r="G293" s="324"/>
      <c r="H293" s="387"/>
      <c r="I293" s="387"/>
      <c r="J293" s="322"/>
      <c r="K293" s="87"/>
      <c r="L293" s="412"/>
      <c r="M293" s="408"/>
      <c r="N293" s="67" t="str">
        <f t="shared" si="29"/>
        <v/>
      </c>
      <c r="O293" s="324"/>
      <c r="P293" s="451"/>
    </row>
    <row r="294" ht="12.75" customHeight="1">
      <c r="A294" s="322"/>
      <c r="B294" s="338" t="s">
        <v>84</v>
      </c>
      <c r="C294" s="358"/>
      <c r="D294" s="358"/>
      <c r="E294" s="359" t="str">
        <f>IF(SUM(E291:E293)=0,"",SUM(E291:E293))</f>
        <v/>
      </c>
      <c r="F294" s="324"/>
      <c r="G294" s="324"/>
      <c r="H294" s="387"/>
      <c r="I294" s="387"/>
      <c r="J294" s="322"/>
      <c r="K294" s="338" t="s">
        <v>84</v>
      </c>
      <c r="L294" s="358"/>
      <c r="M294" s="358"/>
      <c r="N294" s="359">
        <f>IF(SUM(N291:N293)=0,"",SUM(N291:N293))</f>
        <v>19152</v>
      </c>
      <c r="O294" s="324"/>
      <c r="P294" s="451"/>
    </row>
    <row r="295" ht="12.75" customHeight="1">
      <c r="A295" s="322"/>
      <c r="B295" s="360"/>
      <c r="C295" s="360"/>
      <c r="D295" s="360"/>
      <c r="E295" s="361"/>
      <c r="F295" s="324"/>
      <c r="G295" s="324"/>
      <c r="H295" s="387"/>
      <c r="I295" s="387"/>
      <c r="J295" s="322"/>
      <c r="K295" s="360"/>
      <c r="L295" s="360"/>
      <c r="M295" s="360"/>
      <c r="N295" s="361"/>
      <c r="O295" s="324"/>
      <c r="P295" s="451"/>
    </row>
    <row r="296" ht="12.75" customHeight="1">
      <c r="A296" s="322"/>
      <c r="B296" s="362" t="s">
        <v>972</v>
      </c>
      <c r="C296" s="363"/>
      <c r="D296" s="363"/>
      <c r="E296" s="363"/>
      <c r="F296" s="324"/>
      <c r="G296" s="324"/>
      <c r="H296" s="387"/>
      <c r="I296" s="387"/>
      <c r="J296" s="322"/>
      <c r="K296" s="362" t="s">
        <v>972</v>
      </c>
      <c r="L296" s="363"/>
      <c r="M296" s="363"/>
      <c r="N296" s="363"/>
      <c r="O296" s="324"/>
      <c r="P296" s="451"/>
    </row>
    <row r="297" ht="12.75" customHeight="1">
      <c r="A297" s="322"/>
      <c r="B297" s="365" t="s">
        <v>953</v>
      </c>
      <c r="C297" s="366" t="s">
        <v>3</v>
      </c>
      <c r="D297" s="366" t="s">
        <v>975</v>
      </c>
      <c r="E297" s="367" t="s">
        <v>35</v>
      </c>
      <c r="F297" s="324"/>
      <c r="G297" s="324"/>
      <c r="H297" s="387"/>
      <c r="I297" s="387"/>
      <c r="J297" s="322"/>
      <c r="K297" s="365" t="s">
        <v>953</v>
      </c>
      <c r="L297" s="366" t="s">
        <v>3</v>
      </c>
      <c r="M297" s="366" t="s">
        <v>975</v>
      </c>
      <c r="N297" s="367" t="s">
        <v>35</v>
      </c>
      <c r="O297" s="324"/>
      <c r="P297" s="451"/>
    </row>
    <row r="298" ht="12.75" customHeight="1">
      <c r="A298" s="322"/>
      <c r="B298" s="368"/>
      <c r="C298" s="366"/>
      <c r="D298" s="366"/>
      <c r="E298" s="368"/>
      <c r="F298" s="324"/>
      <c r="G298" s="324"/>
      <c r="H298" s="387"/>
      <c r="I298" s="387"/>
      <c r="J298" s="322"/>
      <c r="K298" s="368"/>
      <c r="L298" s="366"/>
      <c r="M298" s="366"/>
      <c r="N298" s="368"/>
      <c r="O298" s="324"/>
      <c r="P298" s="451"/>
    </row>
    <row r="299" ht="12.75" customHeight="1">
      <c r="A299" s="322"/>
      <c r="B299" s="60" t="s">
        <v>1000</v>
      </c>
      <c r="C299" s="342">
        <v>1.0</v>
      </c>
      <c r="D299" s="343" t="str">
        <f>'F&amp;B'!F426</f>
        <v/>
      </c>
      <c r="E299" s="67">
        <f>D299*C299</f>
        <v>0</v>
      </c>
      <c r="F299" s="324"/>
      <c r="G299" s="324"/>
      <c r="H299" s="387"/>
      <c r="I299" s="387"/>
      <c r="J299" s="322"/>
      <c r="K299" s="60" t="s">
        <v>1000</v>
      </c>
      <c r="L299" s="342">
        <v>0.5</v>
      </c>
      <c r="M299" s="343">
        <f>'F&amp;B'!$F$277</f>
        <v>13500</v>
      </c>
      <c r="N299" s="67">
        <f>M299*L299</f>
        <v>6750</v>
      </c>
      <c r="O299" s="324"/>
      <c r="P299" s="451"/>
    </row>
    <row r="300" ht="12.75" customHeight="1">
      <c r="A300" s="322"/>
      <c r="B300" s="75" t="s">
        <v>587</v>
      </c>
      <c r="C300" s="370">
        <v>0.065</v>
      </c>
      <c r="D300" s="371"/>
      <c r="E300" s="67">
        <v>2000.0</v>
      </c>
      <c r="F300" s="324"/>
      <c r="G300" s="324"/>
      <c r="H300" s="387"/>
      <c r="I300" s="387"/>
      <c r="J300" s="322"/>
      <c r="K300" s="75" t="s">
        <v>1162</v>
      </c>
      <c r="L300" s="370">
        <v>0.02</v>
      </c>
      <c r="M300" s="371">
        <f>'F&amp;B'!$F$289</f>
        <v>5400</v>
      </c>
      <c r="N300" s="67">
        <v>1500.0</v>
      </c>
      <c r="O300" s="324"/>
      <c r="P300" s="451"/>
    </row>
    <row r="301" ht="12.75" customHeight="1">
      <c r="A301" s="322"/>
      <c r="B301" s="75" t="s">
        <v>1080</v>
      </c>
      <c r="C301" s="370">
        <v>0.04</v>
      </c>
      <c r="D301" s="371">
        <f>'F&amp;B'!$F$60*3</f>
        <v>29700</v>
      </c>
      <c r="E301" s="67">
        <f t="shared" ref="E301:E308" si="30">D301*C301</f>
        <v>1188</v>
      </c>
      <c r="F301" s="324"/>
      <c r="G301" s="324"/>
      <c r="H301" s="387"/>
      <c r="I301" s="387"/>
      <c r="J301" s="322"/>
      <c r="K301" s="75" t="s">
        <v>1080</v>
      </c>
      <c r="L301" s="370">
        <v>0.04</v>
      </c>
      <c r="M301" s="371">
        <f>'F&amp;B'!$F$60*4</f>
        <v>39600</v>
      </c>
      <c r="N301" s="67">
        <f t="shared" ref="N301:N308" si="31">M301*L301</f>
        <v>1584</v>
      </c>
      <c r="O301" s="324"/>
      <c r="P301" s="451"/>
    </row>
    <row r="302" ht="12.75" customHeight="1">
      <c r="A302" s="322"/>
      <c r="B302" s="75" t="s">
        <v>1113</v>
      </c>
      <c r="C302" s="346">
        <v>0.02</v>
      </c>
      <c r="D302" s="371">
        <f>'F&amp;B'!$F$146</f>
        <v>65250</v>
      </c>
      <c r="E302" s="67">
        <f t="shared" si="30"/>
        <v>1305</v>
      </c>
      <c r="F302" s="324"/>
      <c r="G302" s="324"/>
      <c r="H302" s="387"/>
      <c r="I302" s="387"/>
      <c r="J302" s="322"/>
      <c r="K302" s="75" t="s">
        <v>1115</v>
      </c>
      <c r="L302" s="346">
        <v>0.5</v>
      </c>
      <c r="M302" s="371">
        <f>'F&amp;B'!$F$280</f>
        <v>2970</v>
      </c>
      <c r="N302" s="67">
        <f t="shared" si="31"/>
        <v>1485</v>
      </c>
      <c r="O302" s="324"/>
      <c r="P302" s="451"/>
    </row>
    <row r="303" ht="12.75" customHeight="1">
      <c r="A303" s="322"/>
      <c r="B303" s="75" t="s">
        <v>1163</v>
      </c>
      <c r="C303" s="346">
        <v>0.05</v>
      </c>
      <c r="D303" s="371" t="str">
        <f>STARTERS!D244</f>
        <v/>
      </c>
      <c r="E303" s="67">
        <f t="shared" si="30"/>
        <v>0</v>
      </c>
      <c r="F303" s="324"/>
      <c r="G303" s="324"/>
      <c r="H303" s="387"/>
      <c r="I303" s="387"/>
      <c r="J303" s="322"/>
      <c r="K303" s="75" t="s">
        <v>1198</v>
      </c>
      <c r="L303" s="346">
        <v>0.06</v>
      </c>
      <c r="M303" s="371">
        <v>0.0</v>
      </c>
      <c r="N303" s="67">
        <f t="shared" si="31"/>
        <v>0</v>
      </c>
      <c r="O303" s="324"/>
      <c r="P303" s="451"/>
    </row>
    <row r="304" ht="12.75" customHeight="1">
      <c r="A304" s="322"/>
      <c r="B304" s="75" t="s">
        <v>1164</v>
      </c>
      <c r="C304" s="346">
        <v>1.0</v>
      </c>
      <c r="D304" s="371">
        <f>SAUCES!$D$152</f>
        <v>1471.976447</v>
      </c>
      <c r="E304" s="67">
        <f t="shared" si="30"/>
        <v>1471.976447</v>
      </c>
      <c r="F304" s="324"/>
      <c r="G304" s="324"/>
      <c r="H304" s="387"/>
      <c r="I304" s="387"/>
      <c r="J304" s="322"/>
      <c r="K304" s="75" t="s">
        <v>37</v>
      </c>
      <c r="L304" s="346">
        <v>1.0</v>
      </c>
      <c r="M304" s="371">
        <f>SAUCES!$L$16</f>
        <v>629.9629934</v>
      </c>
      <c r="N304" s="67">
        <f t="shared" si="31"/>
        <v>629.9629934</v>
      </c>
      <c r="O304" s="324"/>
      <c r="P304" s="451"/>
    </row>
    <row r="305" ht="12.75" customHeight="1">
      <c r="A305" s="322"/>
      <c r="B305" s="75" t="s">
        <v>1165</v>
      </c>
      <c r="C305" s="346">
        <v>0.045</v>
      </c>
      <c r="D305" s="347">
        <f>'F&amp;B'!$F$293</f>
        <v>6750</v>
      </c>
      <c r="E305" s="67">
        <f t="shared" si="30"/>
        <v>303.75</v>
      </c>
      <c r="F305" s="324"/>
      <c r="G305" s="324"/>
      <c r="H305" s="387"/>
      <c r="I305" s="387"/>
      <c r="J305" s="322"/>
      <c r="K305" s="75" t="s">
        <v>1165</v>
      </c>
      <c r="L305" s="346">
        <v>0.01</v>
      </c>
      <c r="M305" s="371">
        <f>'F&amp;B'!$F$293</f>
        <v>6750</v>
      </c>
      <c r="N305" s="67">
        <f t="shared" si="31"/>
        <v>67.5</v>
      </c>
      <c r="O305" s="324"/>
      <c r="P305" s="451"/>
    </row>
    <row r="306" ht="12.75" customHeight="1">
      <c r="A306" s="322"/>
      <c r="B306" s="348"/>
      <c r="C306" s="346"/>
      <c r="D306" s="373"/>
      <c r="E306" s="67">
        <f t="shared" si="30"/>
        <v>0</v>
      </c>
      <c r="F306" s="324"/>
      <c r="G306" s="324"/>
      <c r="H306" s="387"/>
      <c r="I306" s="387"/>
      <c r="J306" s="322"/>
      <c r="K306" s="75" t="s">
        <v>1164</v>
      </c>
      <c r="L306" s="346">
        <v>1.0</v>
      </c>
      <c r="M306" s="371">
        <f>SAUCES!$D$152</f>
        <v>1471.976447</v>
      </c>
      <c r="N306" s="67">
        <f t="shared" si="31"/>
        <v>1471.976447</v>
      </c>
      <c r="O306" s="324"/>
      <c r="P306" s="451"/>
    </row>
    <row r="307" ht="12.75" customHeight="1">
      <c r="A307" s="322"/>
      <c r="B307" s="348"/>
      <c r="C307" s="346"/>
      <c r="D307" s="373"/>
      <c r="E307" s="67">
        <f t="shared" si="30"/>
        <v>0</v>
      </c>
      <c r="F307" s="324"/>
      <c r="G307" s="324"/>
      <c r="H307" s="387"/>
      <c r="I307" s="387"/>
      <c r="J307" s="322"/>
      <c r="K307" s="348"/>
      <c r="L307" s="346"/>
      <c r="M307" s="373"/>
      <c r="N307" s="67">
        <f t="shared" si="31"/>
        <v>0</v>
      </c>
      <c r="O307" s="324"/>
      <c r="P307" s="451"/>
    </row>
    <row r="308" ht="12.75" customHeight="1">
      <c r="A308" s="322"/>
      <c r="B308" s="354"/>
      <c r="C308" s="355"/>
      <c r="D308" s="356"/>
      <c r="E308" s="67">
        <f t="shared" si="30"/>
        <v>0</v>
      </c>
      <c r="F308" s="324"/>
      <c r="G308" s="324"/>
      <c r="H308" s="387"/>
      <c r="I308" s="387"/>
      <c r="J308" s="322"/>
      <c r="K308" s="354"/>
      <c r="L308" s="355"/>
      <c r="M308" s="356"/>
      <c r="N308" s="67">
        <f t="shared" si="31"/>
        <v>0</v>
      </c>
      <c r="O308" s="324"/>
      <c r="P308" s="451"/>
    </row>
    <row r="309" ht="12.75" customHeight="1">
      <c r="A309" s="322"/>
      <c r="B309" s="362" t="s">
        <v>84</v>
      </c>
      <c r="C309" s="374"/>
      <c r="D309" s="374"/>
      <c r="E309" s="375">
        <f>IF(SUM(E299:E308)=0,"",SUM(E299:E308))</f>
        <v>6268.726447</v>
      </c>
      <c r="F309" s="324"/>
      <c r="G309" s="324"/>
      <c r="H309" s="387"/>
      <c r="I309" s="387"/>
      <c r="J309" s="322"/>
      <c r="K309" s="362" t="s">
        <v>84</v>
      </c>
      <c r="L309" s="374"/>
      <c r="M309" s="374"/>
      <c r="N309" s="375">
        <f>IF(SUM(N299:N308)=0,"",SUM(N299:N308))</f>
        <v>13488.43944</v>
      </c>
      <c r="O309" s="324"/>
      <c r="P309" s="451"/>
    </row>
    <row r="310" ht="12.75" customHeight="1">
      <c r="A310" s="322"/>
      <c r="B310" s="360"/>
      <c r="C310" s="360"/>
      <c r="D310" s="360"/>
      <c r="E310" s="361"/>
      <c r="F310" s="324"/>
      <c r="G310" s="324"/>
      <c r="H310" s="387"/>
      <c r="I310" s="387"/>
      <c r="J310" s="322"/>
      <c r="K310" s="360"/>
      <c r="L310" s="360"/>
      <c r="M310" s="360"/>
      <c r="N310" s="361"/>
      <c r="O310" s="324"/>
      <c r="P310" s="451"/>
    </row>
    <row r="311" ht="12.75" customHeight="1">
      <c r="A311" s="322"/>
      <c r="B311" s="34" t="s">
        <v>17</v>
      </c>
      <c r="C311" s="35"/>
      <c r="D311" s="35"/>
      <c r="E311" s="35"/>
      <c r="F311" s="324"/>
      <c r="G311" s="324"/>
      <c r="H311" s="387"/>
      <c r="I311" s="387"/>
      <c r="J311" s="322"/>
      <c r="K311" s="34" t="s">
        <v>17</v>
      </c>
      <c r="L311" s="35"/>
      <c r="M311" s="35"/>
      <c r="N311" s="35"/>
      <c r="O311" s="324"/>
      <c r="P311" s="451"/>
    </row>
    <row r="312" ht="12.75" customHeight="1">
      <c r="A312" s="322"/>
      <c r="B312" s="52" t="s">
        <v>42</v>
      </c>
      <c r="C312" s="54"/>
      <c r="D312" s="54"/>
      <c r="E312" s="56" t="s">
        <v>35</v>
      </c>
      <c r="F312" s="324"/>
      <c r="G312" s="324"/>
      <c r="H312" s="387"/>
      <c r="I312" s="387"/>
      <c r="J312" s="322"/>
      <c r="K312" s="52" t="s">
        <v>42</v>
      </c>
      <c r="L312" s="54"/>
      <c r="M312" s="54"/>
      <c r="N312" s="56" t="s">
        <v>35</v>
      </c>
      <c r="O312" s="324"/>
      <c r="P312" s="451"/>
    </row>
    <row r="313" ht="12.75" customHeight="1">
      <c r="A313" s="322"/>
      <c r="B313" s="60" t="s">
        <v>40</v>
      </c>
      <c r="C313" s="343">
        <f>'UTL COST'!$B$3</f>
        <v>369000</v>
      </c>
      <c r="D313" s="379">
        <f>'UTL COST'!$C$3</f>
        <v>0.0075</v>
      </c>
      <c r="E313" s="67">
        <f>'UTL COST'!$D$3</f>
        <v>2767.5</v>
      </c>
      <c r="F313" s="324"/>
      <c r="G313" s="324"/>
      <c r="H313" s="387"/>
      <c r="I313" s="387"/>
      <c r="J313" s="322"/>
      <c r="K313" s="60" t="s">
        <v>40</v>
      </c>
      <c r="L313" s="343">
        <f>'UTL COST'!$B$3</f>
        <v>369000</v>
      </c>
      <c r="M313" s="379">
        <f>'UTL COST'!$C$3</f>
        <v>0.0075</v>
      </c>
      <c r="N313" s="67">
        <v>0.0</v>
      </c>
      <c r="O313" s="324"/>
      <c r="P313" s="451"/>
    </row>
    <row r="314" ht="12.75" customHeight="1">
      <c r="A314" s="322"/>
      <c r="B314" s="75" t="s">
        <v>51</v>
      </c>
      <c r="C314" s="371" t="str">
        <f>'UTL COST'!$B$4</f>
        <v>#REF!</v>
      </c>
      <c r="D314" s="382">
        <f>'UTL COST'!$C$4</f>
        <v>7000</v>
      </c>
      <c r="E314" s="76" t="str">
        <f>'UTL COST'!$D$4</f>
        <v>#REF!</v>
      </c>
      <c r="F314" s="324"/>
      <c r="G314" s="324"/>
      <c r="H314" s="387"/>
      <c r="I314" s="387"/>
      <c r="J314" s="322"/>
      <c r="K314" s="75" t="s">
        <v>51</v>
      </c>
      <c r="L314" s="371" t="str">
        <f>'UTL COST'!$B$4</f>
        <v>#REF!</v>
      </c>
      <c r="M314" s="382">
        <f>'UTL COST'!$C$4</f>
        <v>7000</v>
      </c>
      <c r="N314" s="76" t="str">
        <f>'UTL COST'!$D$4</f>
        <v>#REF!</v>
      </c>
      <c r="O314" s="324"/>
      <c r="P314" s="451"/>
    </row>
    <row r="315" ht="12.75" customHeight="1">
      <c r="A315" s="322"/>
      <c r="B315" s="75" t="s">
        <v>59</v>
      </c>
      <c r="C315" s="371" t="str">
        <f>'UTL COST'!$B$5</f>
        <v>#REF!</v>
      </c>
      <c r="D315" s="382">
        <f>'UTL COST'!$C$5</f>
        <v>45000</v>
      </c>
      <c r="E315" s="76" t="str">
        <f>'UTL COST'!$D$5</f>
        <v>#REF!</v>
      </c>
      <c r="F315" s="324"/>
      <c r="G315" s="324"/>
      <c r="H315" s="387"/>
      <c r="I315" s="387"/>
      <c r="J315" s="322"/>
      <c r="K315" s="75" t="s">
        <v>59</v>
      </c>
      <c r="L315" s="371" t="str">
        <f>'UTL COST'!$B$5</f>
        <v>#REF!</v>
      </c>
      <c r="M315" s="382">
        <f>'UTL COST'!$C$5</f>
        <v>45000</v>
      </c>
      <c r="N315" s="76" t="str">
        <f>'UTL COST'!$D$5</f>
        <v>#REF!</v>
      </c>
      <c r="O315" s="324"/>
      <c r="P315" s="451"/>
    </row>
    <row r="316" ht="12.75" customHeight="1">
      <c r="A316" s="322"/>
      <c r="B316" s="87" t="s">
        <v>78</v>
      </c>
      <c r="C316" s="371" t="str">
        <f>'UTL COST'!$B$6</f>
        <v>#REF!</v>
      </c>
      <c r="D316" s="383">
        <f>'UTL COST'!$C$6</f>
        <v>525</v>
      </c>
      <c r="E316" s="89">
        <v>0.1</v>
      </c>
      <c r="F316" s="324"/>
      <c r="G316" s="324"/>
      <c r="H316" s="387"/>
      <c r="I316" s="387"/>
      <c r="J316" s="322"/>
      <c r="K316" s="87" t="s">
        <v>78</v>
      </c>
      <c r="L316" s="371" t="str">
        <f>'UTL COST'!$B$6</f>
        <v>#REF!</v>
      </c>
      <c r="M316" s="383">
        <f>'UTL COST'!$C$6</f>
        <v>525</v>
      </c>
      <c r="N316" s="89">
        <v>0.1</v>
      </c>
      <c r="O316" s="324"/>
      <c r="P316" s="451"/>
    </row>
    <row r="317" ht="12.75" customHeight="1">
      <c r="A317" s="322"/>
      <c r="B317" s="34" t="s">
        <v>84</v>
      </c>
      <c r="C317" s="102"/>
      <c r="D317" s="102"/>
      <c r="E317" s="104" t="str">
        <f>IF(SUM(E313:E316)=0,"",SUM(E313:E316))</f>
        <v>#REF!</v>
      </c>
      <c r="F317" s="324"/>
      <c r="G317" s="324"/>
      <c r="H317" s="387"/>
      <c r="I317" s="387"/>
      <c r="J317" s="322"/>
      <c r="K317" s="34" t="s">
        <v>84</v>
      </c>
      <c r="L317" s="102"/>
      <c r="M317" s="102"/>
      <c r="N317" s="104" t="str">
        <f>IF(SUM(N313:N316)=0,"",SUM(N313:N316))</f>
        <v>#REF!</v>
      </c>
      <c r="O317" s="324"/>
      <c r="P317" s="451"/>
    </row>
    <row r="318" ht="12.75" customHeight="1">
      <c r="A318" s="322"/>
      <c r="B318" s="360"/>
      <c r="C318" s="360"/>
      <c r="D318" s="360"/>
      <c r="E318" s="361"/>
      <c r="F318" s="324"/>
      <c r="G318" s="324"/>
      <c r="H318" s="387"/>
      <c r="I318" s="387"/>
      <c r="J318" s="322"/>
      <c r="K318" s="360"/>
      <c r="L318" s="360"/>
      <c r="M318" s="360"/>
      <c r="N318" s="361"/>
      <c r="O318" s="324"/>
      <c r="P318" s="451"/>
    </row>
    <row r="319" ht="12.75" customHeight="1">
      <c r="A319" s="387"/>
      <c r="B319" s="387"/>
      <c r="C319" s="387"/>
      <c r="D319" s="387"/>
      <c r="E319" s="418"/>
      <c r="F319" s="387"/>
      <c r="G319" s="387"/>
      <c r="H319" s="387"/>
      <c r="I319" s="387"/>
      <c r="J319" s="387"/>
      <c r="K319" s="387"/>
      <c r="L319" s="387"/>
      <c r="M319" s="387"/>
      <c r="N319" s="387"/>
      <c r="O319" s="387"/>
      <c r="P319" s="387"/>
    </row>
    <row r="320" ht="12.75" customHeight="1">
      <c r="A320" s="387"/>
      <c r="B320" s="387"/>
      <c r="C320" s="387"/>
      <c r="D320" s="387"/>
      <c r="E320" s="418"/>
      <c r="F320" s="387"/>
      <c r="G320" s="387"/>
      <c r="H320" s="387"/>
      <c r="I320" s="387"/>
      <c r="J320" s="387"/>
      <c r="K320" s="387"/>
      <c r="L320" s="387"/>
      <c r="M320" s="387"/>
      <c r="N320" s="387"/>
      <c r="O320" s="387"/>
      <c r="P320" s="387"/>
    </row>
    <row r="321" ht="12.75" customHeight="1">
      <c r="A321" s="387"/>
      <c r="B321" s="387"/>
      <c r="C321" s="387"/>
      <c r="D321" s="387"/>
      <c r="E321" s="418"/>
      <c r="F321" s="387"/>
      <c r="G321" s="387"/>
      <c r="H321" s="387"/>
      <c r="I321" s="387"/>
      <c r="J321" s="387"/>
      <c r="K321" s="387"/>
      <c r="L321" s="387"/>
      <c r="M321" s="387"/>
      <c r="N321" s="387"/>
      <c r="O321" s="387"/>
      <c r="P321" s="387"/>
    </row>
    <row r="322" ht="12.75" customHeight="1">
      <c r="A322" s="322"/>
      <c r="B322" s="322"/>
      <c r="C322" s="322"/>
      <c r="D322" s="322"/>
      <c r="E322" s="323"/>
      <c r="F322" s="324"/>
      <c r="G322" s="324"/>
      <c r="H322" s="387"/>
      <c r="I322" s="387"/>
      <c r="J322" s="322"/>
      <c r="K322" s="322"/>
      <c r="L322" s="322"/>
      <c r="M322" s="322"/>
      <c r="N322" s="323"/>
      <c r="O322" s="324"/>
      <c r="P322" s="451"/>
    </row>
    <row r="323" ht="12.75" customHeight="1">
      <c r="A323" s="322"/>
      <c r="B323" s="325"/>
      <c r="C323" s="322"/>
      <c r="D323" s="322"/>
      <c r="E323" s="323"/>
      <c r="F323" s="326"/>
      <c r="G323" s="326"/>
      <c r="H323" s="404"/>
      <c r="I323" s="387"/>
      <c r="J323" s="322"/>
      <c r="K323" s="325"/>
      <c r="L323" s="322"/>
      <c r="M323" s="322"/>
      <c r="N323" s="323"/>
      <c r="O323" s="326"/>
      <c r="P323" s="452"/>
    </row>
    <row r="324" ht="12.75" customHeight="1">
      <c r="A324" s="322"/>
      <c r="B324" s="327" t="s">
        <v>931</v>
      </c>
      <c r="C324" s="328" t="s">
        <v>1201</v>
      </c>
      <c r="D324" s="329"/>
      <c r="E324" s="323"/>
      <c r="F324" s="326"/>
      <c r="G324" s="326"/>
      <c r="H324" s="404"/>
      <c r="I324" s="387"/>
      <c r="J324" s="322"/>
      <c r="K324" s="327" t="s">
        <v>931</v>
      </c>
      <c r="L324" s="328" t="s">
        <v>1202</v>
      </c>
      <c r="M324" s="329"/>
      <c r="N324" s="323"/>
      <c r="O324" s="326"/>
      <c r="P324" s="452"/>
    </row>
    <row r="325" ht="12.75" customHeight="1">
      <c r="A325" s="322"/>
      <c r="B325" s="325"/>
      <c r="C325" s="322"/>
      <c r="D325" s="322"/>
      <c r="E325" s="323"/>
      <c r="F325" s="326"/>
      <c r="G325" s="326"/>
      <c r="H325" s="404"/>
      <c r="I325" s="387"/>
      <c r="J325" s="322"/>
      <c r="K325" s="325"/>
      <c r="L325" s="322"/>
      <c r="M325" s="322"/>
      <c r="N325" s="323"/>
      <c r="O325" s="326"/>
      <c r="P325" s="452"/>
    </row>
    <row r="326" ht="12.75" customHeight="1">
      <c r="A326" s="322"/>
      <c r="B326" s="327" t="s">
        <v>935</v>
      </c>
      <c r="C326" s="331">
        <v>250000.0</v>
      </c>
      <c r="D326" s="329"/>
      <c r="E326" s="323"/>
      <c r="F326" s="326"/>
      <c r="G326" s="326"/>
      <c r="H326" s="404"/>
      <c r="I326" s="387"/>
      <c r="J326" s="322"/>
      <c r="K326" s="327" t="s">
        <v>935</v>
      </c>
      <c r="L326" s="331">
        <v>180000.0</v>
      </c>
      <c r="M326" s="329"/>
      <c r="N326" s="323"/>
      <c r="O326" s="326"/>
      <c r="P326" s="452"/>
    </row>
    <row r="327" ht="12.75" customHeight="1">
      <c r="A327" s="322"/>
      <c r="B327" s="327"/>
      <c r="C327" s="332"/>
      <c r="D327" s="332"/>
      <c r="E327" s="323"/>
      <c r="F327" s="326"/>
      <c r="G327" s="326"/>
      <c r="H327" s="404"/>
      <c r="I327" s="387"/>
      <c r="J327" s="322"/>
      <c r="K327" s="327"/>
      <c r="L327" s="332"/>
      <c r="M327" s="332"/>
      <c r="N327" s="323"/>
      <c r="O327" s="326"/>
      <c r="P327" s="452"/>
    </row>
    <row r="328" ht="12.75" customHeight="1">
      <c r="A328" s="322"/>
      <c r="B328" s="327" t="s">
        <v>939</v>
      </c>
      <c r="C328" s="333" t="str">
        <f>IF(SUM(E340,E355,E363)=0,"",SUM(E340,E355,E363))</f>
        <v>#REF!</v>
      </c>
      <c r="D328" s="321"/>
      <c r="E328" s="323"/>
      <c r="F328" s="326"/>
      <c r="G328" s="326"/>
      <c r="H328" s="404"/>
      <c r="I328" s="387"/>
      <c r="J328" s="322"/>
      <c r="K328" s="327" t="s">
        <v>939</v>
      </c>
      <c r="L328" s="333" t="str">
        <f>IF(SUM(N340,N355,N363)=0,"",SUM(N340,N355,N363))</f>
        <v>#REF!</v>
      </c>
      <c r="M328" s="321"/>
      <c r="N328" s="323"/>
      <c r="O328" s="326"/>
      <c r="P328" s="452"/>
    </row>
    <row r="329" ht="12.75" customHeight="1">
      <c r="A329" s="322"/>
      <c r="B329" s="327"/>
      <c r="C329" s="334"/>
      <c r="D329" s="334"/>
      <c r="E329" s="323"/>
      <c r="F329" s="326"/>
      <c r="G329" s="326"/>
      <c r="H329" s="404"/>
      <c r="I329" s="387"/>
      <c r="J329" s="322"/>
      <c r="K329" s="327"/>
      <c r="L329" s="334"/>
      <c r="M329" s="334"/>
      <c r="N329" s="323"/>
      <c r="O329" s="326"/>
      <c r="P329" s="452"/>
    </row>
    <row r="330" ht="12.75" customHeight="1">
      <c r="A330" s="322"/>
      <c r="B330" s="327" t="s">
        <v>946</v>
      </c>
      <c r="C330" s="335" t="str">
        <f>IF(C328="","",IF(ISBLANK(C326),"",C328/C326))</f>
        <v>#REF!</v>
      </c>
      <c r="D330" s="321"/>
      <c r="E330" s="323"/>
      <c r="F330" s="326"/>
      <c r="G330" s="326"/>
      <c r="H330" s="404"/>
      <c r="I330" s="387"/>
      <c r="J330" s="322"/>
      <c r="K330" s="327" t="s">
        <v>946</v>
      </c>
      <c r="L330" s="335" t="str">
        <f>IF(L328="","",IF(ISBLANK(L326),"",L328/L326))</f>
        <v>#REF!</v>
      </c>
      <c r="M330" s="321"/>
      <c r="N330" s="323"/>
      <c r="O330" s="326"/>
      <c r="P330" s="452"/>
    </row>
    <row r="331" ht="12.75" customHeight="1">
      <c r="A331" s="322"/>
      <c r="B331" s="327"/>
      <c r="C331" s="334"/>
      <c r="D331" s="334"/>
      <c r="E331" s="323"/>
      <c r="F331" s="326"/>
      <c r="G331" s="326"/>
      <c r="H331" s="404"/>
      <c r="I331" s="387"/>
      <c r="J331" s="322"/>
      <c r="K331" s="327"/>
      <c r="L331" s="334"/>
      <c r="M331" s="334"/>
      <c r="N331" s="323"/>
      <c r="O331" s="326"/>
      <c r="P331" s="452"/>
    </row>
    <row r="332" ht="12.75" customHeight="1">
      <c r="A332" s="322"/>
      <c r="B332" s="327" t="s">
        <v>950</v>
      </c>
      <c r="C332" s="333" t="str">
        <f>C326-C328</f>
        <v>#REF!</v>
      </c>
      <c r="D332" s="321"/>
      <c r="E332" s="323"/>
      <c r="F332" s="326"/>
      <c r="G332" s="326"/>
      <c r="H332" s="404"/>
      <c r="I332" s="387"/>
      <c r="J332" s="322"/>
      <c r="K332" s="327" t="s">
        <v>950</v>
      </c>
      <c r="L332" s="333" t="str">
        <f>L326-L328</f>
        <v>#REF!</v>
      </c>
      <c r="M332" s="321"/>
      <c r="N332" s="323"/>
      <c r="O332" s="326"/>
      <c r="P332" s="452"/>
    </row>
    <row r="333" ht="12.75" customHeight="1">
      <c r="A333" s="322"/>
      <c r="B333" s="322"/>
      <c r="C333" s="322"/>
      <c r="D333" s="322"/>
      <c r="E333" s="323"/>
      <c r="F333" s="324"/>
      <c r="G333" s="324"/>
      <c r="H333" s="404"/>
      <c r="I333" s="387"/>
      <c r="J333" s="322"/>
      <c r="K333" s="322"/>
      <c r="L333" s="322"/>
      <c r="M333" s="322"/>
      <c r="N333" s="323"/>
      <c r="O333" s="324"/>
      <c r="P333" s="451"/>
    </row>
    <row r="334" ht="12.75" customHeight="1">
      <c r="A334" s="322"/>
      <c r="B334" s="322"/>
      <c r="C334" s="322"/>
      <c r="D334" s="322"/>
      <c r="E334" s="337"/>
      <c r="F334" s="324"/>
      <c r="G334" s="324"/>
      <c r="H334" s="387"/>
      <c r="I334" s="387"/>
      <c r="J334" s="322"/>
      <c r="K334" s="322"/>
      <c r="L334" s="322"/>
      <c r="M334" s="322"/>
      <c r="N334" s="337"/>
      <c r="O334" s="324"/>
      <c r="P334" s="451"/>
    </row>
    <row r="335" ht="12.75" customHeight="1">
      <c r="A335" s="322"/>
      <c r="B335" s="338" t="s">
        <v>951</v>
      </c>
      <c r="C335" s="339"/>
      <c r="D335" s="339"/>
      <c r="E335" s="339"/>
      <c r="F335" s="324"/>
      <c r="G335" s="324"/>
      <c r="H335" s="410"/>
      <c r="I335" s="387"/>
      <c r="J335" s="322"/>
      <c r="K335" s="338" t="s">
        <v>951</v>
      </c>
      <c r="L335" s="339"/>
      <c r="M335" s="339"/>
      <c r="N335" s="339"/>
      <c r="O335" s="324"/>
      <c r="P335" s="451"/>
    </row>
    <row r="336" ht="12.75" customHeight="1">
      <c r="A336" s="322"/>
      <c r="B336" s="340" t="s">
        <v>953</v>
      </c>
      <c r="C336" s="341" t="s">
        <v>954</v>
      </c>
      <c r="D336" s="341" t="s">
        <v>955</v>
      </c>
      <c r="E336" s="341" t="s">
        <v>35</v>
      </c>
      <c r="F336" s="324"/>
      <c r="G336" s="324"/>
      <c r="H336" s="387"/>
      <c r="I336" s="387"/>
      <c r="J336" s="322"/>
      <c r="K336" s="340" t="s">
        <v>953</v>
      </c>
      <c r="L336" s="341" t="s">
        <v>954</v>
      </c>
      <c r="M336" s="341" t="s">
        <v>955</v>
      </c>
      <c r="N336" s="341" t="s">
        <v>35</v>
      </c>
      <c r="O336" s="324"/>
      <c r="P336" s="451"/>
    </row>
    <row r="337" ht="12.75" customHeight="1">
      <c r="A337" s="322"/>
      <c r="B337" s="60" t="s">
        <v>1106</v>
      </c>
      <c r="C337" s="342">
        <v>0.16</v>
      </c>
      <c r="D337" s="343">
        <f>'F&amp;B'!$F$274</f>
        <v>94500</v>
      </c>
      <c r="E337" s="67">
        <f t="shared" ref="E337:E339" si="32">IF(OR(ISBLANK(C337),ISBLANK(D337)),"",D337*C337)</f>
        <v>15120</v>
      </c>
      <c r="F337" s="324"/>
      <c r="G337" s="324"/>
      <c r="H337" s="387"/>
      <c r="I337" s="387"/>
      <c r="J337" s="322"/>
      <c r="K337" s="60" t="s">
        <v>225</v>
      </c>
      <c r="L337" s="342">
        <v>1.0</v>
      </c>
      <c r="M337" s="343">
        <f>'F&amp;B'!$F$84/30</f>
        <v>1299</v>
      </c>
      <c r="N337" s="67">
        <f>IF(OR(ISBLANK(L337),ISBLANK(M337)),"",M337*L337)</f>
        <v>1299</v>
      </c>
      <c r="O337" s="324"/>
      <c r="P337" s="451"/>
    </row>
    <row r="338" ht="12.75" customHeight="1">
      <c r="A338" s="322"/>
      <c r="B338" s="75" t="s">
        <v>1173</v>
      </c>
      <c r="C338" s="370">
        <v>1.0</v>
      </c>
      <c r="D338" s="371">
        <f>'F&amp;B'!$F$301</f>
        <v>13500</v>
      </c>
      <c r="E338" s="67">
        <f t="shared" si="32"/>
        <v>13500</v>
      </c>
      <c r="F338" s="324"/>
      <c r="G338" s="324"/>
      <c r="H338" s="387"/>
      <c r="I338" s="387"/>
      <c r="J338" s="322"/>
      <c r="K338" s="60" t="s">
        <v>1151</v>
      </c>
      <c r="L338" s="342">
        <v>0.12</v>
      </c>
      <c r="M338" s="343">
        <f>'F&amp;B'!$F$285</f>
        <v>8100</v>
      </c>
      <c r="N338" s="67">
        <f t="shared" ref="N338:N339" si="33">M338*L338</f>
        <v>972</v>
      </c>
      <c r="O338" s="324"/>
      <c r="P338" s="451"/>
    </row>
    <row r="339" ht="12.75" customHeight="1">
      <c r="A339" s="322"/>
      <c r="B339" s="87"/>
      <c r="C339" s="412"/>
      <c r="D339" s="408"/>
      <c r="E339" s="67" t="str">
        <f t="shared" si="32"/>
        <v/>
      </c>
      <c r="F339" s="324"/>
      <c r="G339" s="324"/>
      <c r="H339" s="387"/>
      <c r="I339" s="387"/>
      <c r="J339" s="322"/>
      <c r="K339" s="75" t="s">
        <v>1080</v>
      </c>
      <c r="L339" s="370">
        <v>0.04</v>
      </c>
      <c r="M339" s="371">
        <f>'F&amp;B'!$F$60*3</f>
        <v>29700</v>
      </c>
      <c r="N339" s="67">
        <f t="shared" si="33"/>
        <v>1188</v>
      </c>
      <c r="O339" s="324"/>
      <c r="P339" s="451"/>
    </row>
    <row r="340" ht="12.75" customHeight="1">
      <c r="A340" s="322"/>
      <c r="B340" s="338" t="s">
        <v>84</v>
      </c>
      <c r="C340" s="358"/>
      <c r="D340" s="358"/>
      <c r="E340" s="359">
        <f>IF(SUM(E337:E339)=0,"",SUM(E337:E339))</f>
        <v>28620</v>
      </c>
      <c r="F340" s="324"/>
      <c r="G340" s="324"/>
      <c r="H340" s="387"/>
      <c r="I340" s="387"/>
      <c r="J340" s="322"/>
      <c r="K340" s="338" t="s">
        <v>84</v>
      </c>
      <c r="L340" s="358"/>
      <c r="M340" s="358"/>
      <c r="N340" s="359">
        <f>IF(SUM(N337:N339)=0,"",SUM(N337:N339))</f>
        <v>3459</v>
      </c>
      <c r="O340" s="324"/>
      <c r="P340" s="451"/>
    </row>
    <row r="341" ht="12.75" customHeight="1">
      <c r="A341" s="322"/>
      <c r="B341" s="360"/>
      <c r="C341" s="360"/>
      <c r="D341" s="360"/>
      <c r="E341" s="361"/>
      <c r="F341" s="324"/>
      <c r="G341" s="324"/>
      <c r="H341" s="387"/>
      <c r="I341" s="387"/>
      <c r="J341" s="322"/>
      <c r="K341" s="360"/>
      <c r="L341" s="360"/>
      <c r="M341" s="360"/>
      <c r="N341" s="361"/>
      <c r="O341" s="324"/>
      <c r="P341" s="451"/>
    </row>
    <row r="342" ht="12.75" customHeight="1">
      <c r="A342" s="322"/>
      <c r="B342" s="362" t="s">
        <v>972</v>
      </c>
      <c r="C342" s="363"/>
      <c r="D342" s="363"/>
      <c r="E342" s="363"/>
      <c r="F342" s="324"/>
      <c r="G342" s="324"/>
      <c r="H342" s="387"/>
      <c r="I342" s="387"/>
      <c r="J342" s="322"/>
      <c r="K342" s="362" t="s">
        <v>972</v>
      </c>
      <c r="L342" s="363"/>
      <c r="M342" s="363"/>
      <c r="N342" s="363"/>
      <c r="O342" s="324"/>
      <c r="P342" s="451"/>
    </row>
    <row r="343" ht="12.75" customHeight="1">
      <c r="A343" s="322"/>
      <c r="B343" s="365" t="s">
        <v>953</v>
      </c>
      <c r="C343" s="366" t="s">
        <v>3</v>
      </c>
      <c r="D343" s="366" t="s">
        <v>975</v>
      </c>
      <c r="E343" s="367" t="s">
        <v>35</v>
      </c>
      <c r="F343" s="324"/>
      <c r="G343" s="324"/>
      <c r="H343" s="387"/>
      <c r="I343" s="387"/>
      <c r="J343" s="322"/>
      <c r="K343" s="365" t="s">
        <v>953</v>
      </c>
      <c r="L343" s="366" t="s">
        <v>3</v>
      </c>
      <c r="M343" s="366" t="s">
        <v>975</v>
      </c>
      <c r="N343" s="367" t="s">
        <v>35</v>
      </c>
      <c r="O343" s="324"/>
      <c r="P343" s="451"/>
    </row>
    <row r="344" ht="12.75" customHeight="1">
      <c r="A344" s="322"/>
      <c r="B344" s="368"/>
      <c r="C344" s="366"/>
      <c r="D344" s="366"/>
      <c r="E344" s="368"/>
      <c r="F344" s="324"/>
      <c r="G344" s="324"/>
      <c r="H344" s="387"/>
      <c r="I344" s="387"/>
      <c r="J344" s="322"/>
      <c r="K344" s="368"/>
      <c r="L344" s="366"/>
      <c r="M344" s="366"/>
      <c r="N344" s="368"/>
      <c r="O344" s="324"/>
      <c r="P344" s="451"/>
    </row>
    <row r="345" ht="12.75" customHeight="1">
      <c r="A345" s="322"/>
      <c r="B345" s="60" t="s">
        <v>349</v>
      </c>
      <c r="C345" s="342">
        <v>0.005</v>
      </c>
      <c r="D345" s="343">
        <f t="shared" ref="D345:D346" si="34">D209</f>
        <v>47250</v>
      </c>
      <c r="E345" s="67">
        <f t="shared" ref="E345:E354" si="35">D345*C345</f>
        <v>236.25</v>
      </c>
      <c r="F345" s="324"/>
      <c r="G345" s="324"/>
      <c r="H345" s="387"/>
      <c r="I345" s="387"/>
      <c r="J345" s="322"/>
      <c r="K345" s="60" t="s">
        <v>1205</v>
      </c>
      <c r="L345" s="342">
        <v>0.055</v>
      </c>
      <c r="M345" s="343">
        <f>'F&amp;B'!$F$220</f>
        <v>128700</v>
      </c>
      <c r="N345" s="67">
        <f t="shared" ref="N345:N354" si="36">M345*L345</f>
        <v>7078.5</v>
      </c>
      <c r="O345" s="324"/>
      <c r="P345" s="451"/>
    </row>
    <row r="346" ht="12.75" customHeight="1">
      <c r="A346" s="322"/>
      <c r="B346" s="75" t="s">
        <v>817</v>
      </c>
      <c r="C346" s="370">
        <v>0.03</v>
      </c>
      <c r="D346" s="371">
        <f t="shared" si="34"/>
        <v>6750</v>
      </c>
      <c r="E346" s="67">
        <f t="shared" si="35"/>
        <v>202.5</v>
      </c>
      <c r="F346" s="324"/>
      <c r="G346" s="324"/>
      <c r="H346" s="387"/>
      <c r="I346" s="387"/>
      <c r="J346" s="322"/>
      <c r="K346" s="75" t="s">
        <v>1206</v>
      </c>
      <c r="L346" s="370">
        <v>0.22</v>
      </c>
      <c r="M346" s="371">
        <f>'F&amp;B'!$F$288</f>
        <v>54000</v>
      </c>
      <c r="N346" s="67">
        <f t="shared" si="36"/>
        <v>11880</v>
      </c>
      <c r="O346" s="324"/>
      <c r="P346" s="451"/>
    </row>
    <row r="347" ht="12.75" customHeight="1">
      <c r="A347" s="322"/>
      <c r="B347" s="75" t="s">
        <v>738</v>
      </c>
      <c r="C347" s="370">
        <v>0.01</v>
      </c>
      <c r="D347" s="371">
        <f>'F&amp;B'!F284</f>
        <v>7200</v>
      </c>
      <c r="E347" s="67">
        <f t="shared" si="35"/>
        <v>72</v>
      </c>
      <c r="F347" s="324"/>
      <c r="G347" s="324"/>
      <c r="H347" s="387"/>
      <c r="I347" s="387"/>
      <c r="J347" s="322"/>
      <c r="K347" s="75" t="s">
        <v>703</v>
      </c>
      <c r="L347" s="370">
        <v>0.16</v>
      </c>
      <c r="M347" s="371">
        <f>$M$63</f>
        <v>81000</v>
      </c>
      <c r="N347" s="67">
        <f t="shared" si="36"/>
        <v>12960</v>
      </c>
      <c r="O347" s="324"/>
      <c r="P347" s="451"/>
    </row>
    <row r="348" ht="12.75" customHeight="1">
      <c r="A348" s="322"/>
      <c r="B348" s="228" t="s">
        <v>1178</v>
      </c>
      <c r="C348" s="346">
        <v>0.015</v>
      </c>
      <c r="D348" s="371">
        <f t="shared" ref="D348:D349" si="37">D212</f>
        <v>99000</v>
      </c>
      <c r="E348" s="67">
        <f t="shared" si="35"/>
        <v>1485</v>
      </c>
      <c r="F348" s="324"/>
      <c r="G348" s="324"/>
      <c r="H348" s="387"/>
      <c r="I348" s="387"/>
      <c r="J348" s="322"/>
      <c r="K348" s="75" t="s">
        <v>1207</v>
      </c>
      <c r="L348" s="346">
        <v>0.08</v>
      </c>
      <c r="M348" s="371">
        <f>SAUCES!$D$137</f>
        <v>32710.58771</v>
      </c>
      <c r="N348" s="67">
        <f t="shared" si="36"/>
        <v>2616.847017</v>
      </c>
      <c r="O348" s="324"/>
      <c r="P348" s="451"/>
    </row>
    <row r="349" ht="12.75" customHeight="1">
      <c r="A349" s="322"/>
      <c r="B349" s="75" t="s">
        <v>1179</v>
      </c>
      <c r="C349" s="346">
        <v>0.008</v>
      </c>
      <c r="D349" s="371">
        <f t="shared" si="37"/>
        <v>41400</v>
      </c>
      <c r="E349" s="67">
        <f t="shared" si="35"/>
        <v>331.2</v>
      </c>
      <c r="F349" s="324"/>
      <c r="G349" s="324"/>
      <c r="H349" s="387"/>
      <c r="I349" s="387"/>
      <c r="J349" s="322"/>
      <c r="K349" s="75"/>
      <c r="L349" s="346"/>
      <c r="M349" s="371"/>
      <c r="N349" s="67">
        <f t="shared" si="36"/>
        <v>0</v>
      </c>
      <c r="O349" s="324"/>
      <c r="P349" s="451"/>
    </row>
    <row r="350" ht="12.75" customHeight="1">
      <c r="A350" s="322"/>
      <c r="B350" s="75" t="s">
        <v>1114</v>
      </c>
      <c r="C350" s="346">
        <v>0.016</v>
      </c>
      <c r="D350" s="371">
        <f>'F&amp;B'!$F$300</f>
        <v>13500</v>
      </c>
      <c r="E350" s="67">
        <f t="shared" si="35"/>
        <v>216</v>
      </c>
      <c r="F350" s="324"/>
      <c r="G350" s="324"/>
      <c r="H350" s="387"/>
      <c r="I350" s="387"/>
      <c r="J350" s="322"/>
      <c r="K350" s="75"/>
      <c r="L350" s="346"/>
      <c r="M350" s="371"/>
      <c r="N350" s="67">
        <f t="shared" si="36"/>
        <v>0</v>
      </c>
      <c r="O350" s="324"/>
      <c r="P350" s="451"/>
    </row>
    <row r="351" ht="12.75" customHeight="1">
      <c r="A351" s="322"/>
      <c r="B351" s="75" t="s">
        <v>1182</v>
      </c>
      <c r="C351" s="346">
        <v>0.045</v>
      </c>
      <c r="D351" s="347">
        <f>SAUCES!$L$1</f>
        <v>13999.17763</v>
      </c>
      <c r="E351" s="67">
        <f t="shared" si="35"/>
        <v>629.9629934</v>
      </c>
      <c r="F351" s="324"/>
      <c r="G351" s="324"/>
      <c r="H351" s="387"/>
      <c r="I351" s="387"/>
      <c r="J351" s="322"/>
      <c r="K351" s="75"/>
      <c r="L351" s="346"/>
      <c r="M351" s="371"/>
      <c r="N351" s="67">
        <f t="shared" si="36"/>
        <v>0</v>
      </c>
      <c r="O351" s="324"/>
      <c r="P351" s="451"/>
    </row>
    <row r="352" ht="12.75" customHeight="1">
      <c r="A352" s="322"/>
      <c r="B352" s="348"/>
      <c r="C352" s="346"/>
      <c r="D352" s="373"/>
      <c r="E352" s="67">
        <f t="shared" si="35"/>
        <v>0</v>
      </c>
      <c r="F352" s="324"/>
      <c r="G352" s="324"/>
      <c r="H352" s="387"/>
      <c r="I352" s="387"/>
      <c r="J352" s="322"/>
      <c r="K352" s="348"/>
      <c r="L352" s="346"/>
      <c r="M352" s="373"/>
      <c r="N352" s="67">
        <f t="shared" si="36"/>
        <v>0</v>
      </c>
      <c r="O352" s="324"/>
      <c r="P352" s="451"/>
    </row>
    <row r="353" ht="12.75" customHeight="1">
      <c r="A353" s="322"/>
      <c r="B353" s="348"/>
      <c r="C353" s="346"/>
      <c r="D353" s="373"/>
      <c r="E353" s="67">
        <f t="shared" si="35"/>
        <v>0</v>
      </c>
      <c r="F353" s="324"/>
      <c r="G353" s="324"/>
      <c r="H353" s="387"/>
      <c r="I353" s="387"/>
      <c r="J353" s="322"/>
      <c r="K353" s="348"/>
      <c r="L353" s="346"/>
      <c r="M353" s="373"/>
      <c r="N353" s="67">
        <f t="shared" si="36"/>
        <v>0</v>
      </c>
      <c r="O353" s="324"/>
      <c r="P353" s="451"/>
    </row>
    <row r="354" ht="12.75" customHeight="1">
      <c r="A354" s="322"/>
      <c r="B354" s="354"/>
      <c r="C354" s="355"/>
      <c r="D354" s="356"/>
      <c r="E354" s="67">
        <f t="shared" si="35"/>
        <v>0</v>
      </c>
      <c r="F354" s="324"/>
      <c r="G354" s="324"/>
      <c r="H354" s="387"/>
      <c r="I354" s="387"/>
      <c r="J354" s="322"/>
      <c r="K354" s="354"/>
      <c r="L354" s="355"/>
      <c r="M354" s="356"/>
      <c r="N354" s="67">
        <f t="shared" si="36"/>
        <v>0</v>
      </c>
      <c r="O354" s="324"/>
      <c r="P354" s="451"/>
    </row>
    <row r="355" ht="12.75" customHeight="1">
      <c r="A355" s="322"/>
      <c r="B355" s="362" t="s">
        <v>84</v>
      </c>
      <c r="C355" s="374"/>
      <c r="D355" s="374"/>
      <c r="E355" s="375">
        <f>IF(SUM(E345:E354)=0,"",SUM(E345:E354))</f>
        <v>3172.912993</v>
      </c>
      <c r="F355" s="324"/>
      <c r="G355" s="324"/>
      <c r="H355" s="387"/>
      <c r="I355" s="387"/>
      <c r="J355" s="322"/>
      <c r="K355" s="362" t="s">
        <v>84</v>
      </c>
      <c r="L355" s="374"/>
      <c r="M355" s="374"/>
      <c r="N355" s="375">
        <f>IF(SUM(N345:N354)=0,"",SUM(N345:N354))</f>
        <v>34535.34702</v>
      </c>
      <c r="O355" s="324"/>
      <c r="P355" s="451"/>
    </row>
    <row r="356" ht="12.75" customHeight="1">
      <c r="A356" s="322"/>
      <c r="B356" s="360"/>
      <c r="C356" s="360"/>
      <c r="D356" s="360"/>
      <c r="E356" s="361"/>
      <c r="F356" s="324"/>
      <c r="G356" s="324"/>
      <c r="H356" s="387"/>
      <c r="I356" s="387"/>
      <c r="J356" s="322"/>
      <c r="K356" s="360"/>
      <c r="L356" s="360"/>
      <c r="M356" s="360"/>
      <c r="N356" s="361"/>
      <c r="O356" s="324"/>
      <c r="P356" s="451"/>
    </row>
    <row r="357" ht="12.75" customHeight="1">
      <c r="A357" s="322"/>
      <c r="B357" s="34" t="s">
        <v>17</v>
      </c>
      <c r="C357" s="35"/>
      <c r="D357" s="35"/>
      <c r="E357" s="35"/>
      <c r="F357" s="324"/>
      <c r="G357" s="324"/>
      <c r="H357" s="387"/>
      <c r="I357" s="387"/>
      <c r="J357" s="322"/>
      <c r="K357" s="34" t="s">
        <v>17</v>
      </c>
      <c r="L357" s="35"/>
      <c r="M357" s="35"/>
      <c r="N357" s="35"/>
      <c r="O357" s="324"/>
      <c r="P357" s="451"/>
    </row>
    <row r="358" ht="12.75" customHeight="1">
      <c r="A358" s="322"/>
      <c r="B358" s="52" t="s">
        <v>42</v>
      </c>
      <c r="C358" s="54"/>
      <c r="D358" s="54"/>
      <c r="E358" s="56" t="s">
        <v>35</v>
      </c>
      <c r="F358" s="324"/>
      <c r="G358" s="324"/>
      <c r="H358" s="387"/>
      <c r="I358" s="387"/>
      <c r="J358" s="322"/>
      <c r="K358" s="52" t="s">
        <v>42</v>
      </c>
      <c r="L358" s="54"/>
      <c r="M358" s="54"/>
      <c r="N358" s="56" t="s">
        <v>35</v>
      </c>
      <c r="O358" s="324"/>
      <c r="P358" s="451"/>
    </row>
    <row r="359" ht="12.75" customHeight="1">
      <c r="A359" s="322"/>
      <c r="B359" s="60" t="s">
        <v>40</v>
      </c>
      <c r="C359" s="343">
        <f>'UTL COST'!$B$3</f>
        <v>369000</v>
      </c>
      <c r="D359" s="379">
        <f>'UTL COST'!$C$3</f>
        <v>0.0075</v>
      </c>
      <c r="E359" s="67">
        <v>0.0</v>
      </c>
      <c r="F359" s="324"/>
      <c r="G359" s="324"/>
      <c r="H359" s="387"/>
      <c r="I359" s="387"/>
      <c r="J359" s="322"/>
      <c r="K359" s="60" t="s">
        <v>40</v>
      </c>
      <c r="L359" s="343">
        <f>'UTL COST'!$B$3</f>
        <v>369000</v>
      </c>
      <c r="M359" s="379">
        <f>'UTL COST'!$C$3</f>
        <v>0.0075</v>
      </c>
      <c r="N359" s="67">
        <v>0.0</v>
      </c>
      <c r="O359" s="324"/>
      <c r="P359" s="451"/>
    </row>
    <row r="360" ht="12.75" customHeight="1">
      <c r="A360" s="322"/>
      <c r="B360" s="75" t="s">
        <v>51</v>
      </c>
      <c r="C360" s="371" t="str">
        <f>'UTL COST'!$B$4</f>
        <v>#REF!</v>
      </c>
      <c r="D360" s="382">
        <f>'UTL COST'!$C$4</f>
        <v>7000</v>
      </c>
      <c r="E360" s="76" t="str">
        <f>'UTL COST'!$D$4</f>
        <v>#REF!</v>
      </c>
      <c r="F360" s="324"/>
      <c r="G360" s="324"/>
      <c r="H360" s="387"/>
      <c r="I360" s="387"/>
      <c r="J360" s="322"/>
      <c r="K360" s="75" t="s">
        <v>51</v>
      </c>
      <c r="L360" s="371" t="str">
        <f>'UTL COST'!$B$4</f>
        <v>#REF!</v>
      </c>
      <c r="M360" s="382">
        <f>'UTL COST'!$C$4</f>
        <v>7000</v>
      </c>
      <c r="N360" s="76" t="str">
        <f>'UTL COST'!$D$4</f>
        <v>#REF!</v>
      </c>
      <c r="O360" s="324"/>
      <c r="P360" s="451"/>
    </row>
    <row r="361" ht="12.75" customHeight="1">
      <c r="A361" s="322"/>
      <c r="B361" s="75" t="s">
        <v>59</v>
      </c>
      <c r="C361" s="371" t="str">
        <f>'UTL COST'!$B$5</f>
        <v>#REF!</v>
      </c>
      <c r="D361" s="382">
        <f>'UTL COST'!$C$5</f>
        <v>45000</v>
      </c>
      <c r="E361" s="76" t="str">
        <f>'UTL COST'!$D$5</f>
        <v>#REF!</v>
      </c>
      <c r="F361" s="324"/>
      <c r="G361" s="324"/>
      <c r="H361" s="387"/>
      <c r="I361" s="387"/>
      <c r="J361" s="322"/>
      <c r="K361" s="75" t="s">
        <v>59</v>
      </c>
      <c r="L361" s="371" t="str">
        <f>'UTL COST'!$B$5</f>
        <v>#REF!</v>
      </c>
      <c r="M361" s="382">
        <f>'UTL COST'!$C$5</f>
        <v>45000</v>
      </c>
      <c r="N361" s="76" t="str">
        <f>'UTL COST'!$D$5</f>
        <v>#REF!</v>
      </c>
      <c r="O361" s="324"/>
      <c r="P361" s="451"/>
    </row>
    <row r="362" ht="12.75" customHeight="1">
      <c r="A362" s="322"/>
      <c r="B362" s="87" t="s">
        <v>78</v>
      </c>
      <c r="C362" s="371" t="str">
        <f>'UTL COST'!$B$6</f>
        <v>#REF!</v>
      </c>
      <c r="D362" s="383">
        <f>'UTL COST'!$C$6</f>
        <v>525</v>
      </c>
      <c r="E362" s="89">
        <v>0.1</v>
      </c>
      <c r="F362" s="324"/>
      <c r="G362" s="324"/>
      <c r="H362" s="387"/>
      <c r="I362" s="387"/>
      <c r="J362" s="322"/>
      <c r="K362" s="87" t="s">
        <v>78</v>
      </c>
      <c r="L362" s="371" t="str">
        <f>'UTL COST'!$B$6</f>
        <v>#REF!</v>
      </c>
      <c r="M362" s="383">
        <f>'UTL COST'!$C$6</f>
        <v>525</v>
      </c>
      <c r="N362" s="89">
        <v>0.1</v>
      </c>
      <c r="O362" s="324"/>
      <c r="P362" s="451"/>
    </row>
    <row r="363" ht="12.75" customHeight="1">
      <c r="A363" s="322"/>
      <c r="B363" s="34" t="s">
        <v>84</v>
      </c>
      <c r="C363" s="102"/>
      <c r="D363" s="102"/>
      <c r="E363" s="104" t="str">
        <f>IF(SUM(E359:E362)=0,"",SUM(E359:E362))</f>
        <v>#REF!</v>
      </c>
      <c r="F363" s="324"/>
      <c r="G363" s="324"/>
      <c r="H363" s="387"/>
      <c r="I363" s="387"/>
      <c r="J363" s="322"/>
      <c r="K363" s="34" t="s">
        <v>84</v>
      </c>
      <c r="L363" s="102"/>
      <c r="M363" s="102"/>
      <c r="N363" s="104" t="str">
        <f>IF(SUM(N359:N362)=0,"",SUM(N359:N362))</f>
        <v>#REF!</v>
      </c>
      <c r="O363" s="324"/>
      <c r="P363" s="451"/>
    </row>
    <row r="364" ht="12.75" customHeight="1">
      <c r="A364" s="322"/>
      <c r="B364" s="360"/>
      <c r="C364" s="360"/>
      <c r="D364" s="360"/>
      <c r="E364" s="361"/>
      <c r="F364" s="324"/>
      <c r="G364" s="324"/>
      <c r="H364" s="387"/>
      <c r="I364" s="387"/>
      <c r="J364" s="322"/>
      <c r="K364" s="360"/>
      <c r="L364" s="360"/>
      <c r="M364" s="360"/>
      <c r="N364" s="361"/>
      <c r="O364" s="324"/>
      <c r="P364" s="451"/>
    </row>
    <row r="365" ht="12.75" customHeight="1">
      <c r="A365" s="387"/>
      <c r="B365" s="387"/>
      <c r="C365" s="387"/>
      <c r="D365" s="387"/>
      <c r="E365" s="418"/>
      <c r="F365" s="387"/>
      <c r="G365" s="387"/>
      <c r="H365" s="387"/>
      <c r="I365" s="387"/>
      <c r="J365" s="387"/>
      <c r="K365" s="387"/>
      <c r="L365" s="387"/>
      <c r="M365" s="387"/>
      <c r="N365" s="387"/>
      <c r="O365" s="387"/>
      <c r="P365" s="387"/>
    </row>
    <row r="366" ht="12.75" customHeight="1">
      <c r="A366" s="387"/>
      <c r="B366" s="387"/>
      <c r="C366" s="387"/>
      <c r="D366" s="387"/>
      <c r="E366" s="418"/>
      <c r="F366" s="387"/>
      <c r="G366" s="387"/>
      <c r="H366" s="387"/>
      <c r="I366" s="387"/>
      <c r="J366" s="387"/>
      <c r="K366" s="387"/>
      <c r="L366" s="387"/>
      <c r="M366" s="387"/>
      <c r="N366" s="387"/>
      <c r="O366" s="387"/>
      <c r="P366" s="387"/>
    </row>
    <row r="367" ht="12.75" customHeight="1">
      <c r="A367" s="322"/>
      <c r="B367" s="322"/>
      <c r="C367" s="322"/>
      <c r="D367" s="322"/>
      <c r="E367" s="323"/>
      <c r="F367" s="324"/>
      <c r="G367" s="324"/>
      <c r="H367" s="387"/>
      <c r="I367" s="387"/>
      <c r="J367" s="322"/>
      <c r="K367" s="322"/>
      <c r="L367" s="322"/>
      <c r="M367" s="322"/>
      <c r="N367" s="323"/>
      <c r="O367" s="324"/>
      <c r="P367" s="387"/>
    </row>
    <row r="368" ht="12.75" customHeight="1">
      <c r="A368" s="322"/>
      <c r="B368" s="325"/>
      <c r="C368" s="322"/>
      <c r="D368" s="322"/>
      <c r="E368" s="323"/>
      <c r="F368" s="326"/>
      <c r="G368" s="326"/>
      <c r="H368" s="387"/>
      <c r="I368" s="387"/>
      <c r="J368" s="322"/>
      <c r="K368" s="325"/>
      <c r="L368" s="322"/>
      <c r="M368" s="322"/>
      <c r="N368" s="323"/>
      <c r="O368" s="326"/>
      <c r="P368" s="387"/>
    </row>
    <row r="369" ht="12.75" customHeight="1">
      <c r="A369" s="322"/>
      <c r="B369" s="327" t="s">
        <v>931</v>
      </c>
      <c r="C369" s="328" t="s">
        <v>1208</v>
      </c>
      <c r="D369" s="329"/>
      <c r="E369" s="323"/>
      <c r="F369" s="326"/>
      <c r="G369" s="326"/>
      <c r="H369" s="387"/>
      <c r="I369" s="387"/>
      <c r="J369" s="322"/>
      <c r="K369" s="327" t="s">
        <v>931</v>
      </c>
      <c r="L369" s="330" t="s">
        <v>245</v>
      </c>
      <c r="M369" s="329"/>
      <c r="N369" s="323"/>
      <c r="O369" s="326"/>
      <c r="P369" s="387"/>
    </row>
    <row r="370" ht="12.75" customHeight="1">
      <c r="A370" s="322"/>
      <c r="B370" s="325"/>
      <c r="C370" s="322"/>
      <c r="D370" s="322"/>
      <c r="E370" s="323"/>
      <c r="F370" s="326"/>
      <c r="G370" s="326"/>
      <c r="H370" s="387"/>
      <c r="I370" s="387"/>
      <c r="J370" s="322"/>
      <c r="K370" s="325"/>
      <c r="L370" s="322"/>
      <c r="M370" s="322"/>
      <c r="N370" s="323"/>
      <c r="O370" s="326"/>
      <c r="P370" s="387"/>
    </row>
    <row r="371" ht="12.75" customHeight="1">
      <c r="A371" s="322"/>
      <c r="B371" s="327" t="s">
        <v>935</v>
      </c>
      <c r="C371" s="331">
        <v>250000.0</v>
      </c>
      <c r="D371" s="329"/>
      <c r="E371" s="323"/>
      <c r="F371" s="326"/>
      <c r="G371" s="326"/>
      <c r="H371" s="387"/>
      <c r="I371" s="387"/>
      <c r="J371" s="322"/>
      <c r="K371" s="327" t="s">
        <v>935</v>
      </c>
      <c r="L371" s="440">
        <v>1200000.0</v>
      </c>
      <c r="M371" s="329"/>
      <c r="N371" s="323">
        <f>L371/90000</f>
        <v>13.33333333</v>
      </c>
      <c r="O371" s="326"/>
      <c r="P371" s="387"/>
    </row>
    <row r="372" ht="12.75" customHeight="1">
      <c r="A372" s="322"/>
      <c r="B372" s="327"/>
      <c r="C372" s="332"/>
      <c r="D372" s="332"/>
      <c r="E372" s="323"/>
      <c r="F372" s="326"/>
      <c r="G372" s="326"/>
      <c r="H372" s="387"/>
      <c r="I372" s="387"/>
      <c r="J372" s="322"/>
      <c r="K372" s="327"/>
      <c r="L372" s="332"/>
      <c r="M372" s="332" t="str">
        <f>L373/90000</f>
        <v>#REF!</v>
      </c>
      <c r="N372" s="323"/>
      <c r="O372" s="326"/>
      <c r="P372" s="387"/>
    </row>
    <row r="373" ht="12.75" customHeight="1">
      <c r="A373" s="322"/>
      <c r="B373" s="327" t="s">
        <v>939</v>
      </c>
      <c r="C373" s="333" t="str">
        <f>IF(SUM(E385,E400,E408)=0,"",SUM(E385,E400,E408))</f>
        <v>#REF!</v>
      </c>
      <c r="D373" s="321"/>
      <c r="E373" s="323"/>
      <c r="F373" s="326"/>
      <c r="G373" s="326"/>
      <c r="H373" s="387"/>
      <c r="I373" s="387"/>
      <c r="J373" s="322"/>
      <c r="K373" s="327" t="s">
        <v>939</v>
      </c>
      <c r="L373" s="333" t="str">
        <f>IF(SUM(N385,N400,N408)=0,"",SUM(N385,N400,N408))</f>
        <v>#REF!</v>
      </c>
      <c r="M373" s="321"/>
      <c r="N373" s="323" t="str">
        <f>L373/90000</f>
        <v>#REF!</v>
      </c>
      <c r="O373" s="326"/>
      <c r="P373" s="387"/>
    </row>
    <row r="374" ht="12.75" customHeight="1">
      <c r="A374" s="322"/>
      <c r="B374" s="327"/>
      <c r="C374" s="334"/>
      <c r="D374" s="334"/>
      <c r="E374" s="323"/>
      <c r="F374" s="326"/>
      <c r="G374" s="326"/>
      <c r="H374" s="387"/>
      <c r="I374" s="387"/>
      <c r="J374" s="322"/>
      <c r="K374" s="327"/>
      <c r="L374" s="334"/>
      <c r="M374" s="334"/>
      <c r="N374" s="323"/>
      <c r="O374" s="326"/>
      <c r="P374" s="387"/>
    </row>
    <row r="375" ht="12.75" customHeight="1">
      <c r="A375" s="322"/>
      <c r="B375" s="327" t="s">
        <v>946</v>
      </c>
      <c r="C375" s="335" t="str">
        <f>IF(C373="","",IF(ISBLANK(C371),"",C373/C371))</f>
        <v>#REF!</v>
      </c>
      <c r="D375" s="321"/>
      <c r="E375" s="323"/>
      <c r="F375" s="326"/>
      <c r="G375" s="326"/>
      <c r="H375" s="387"/>
      <c r="I375" s="387"/>
      <c r="J375" s="322"/>
      <c r="K375" s="327" t="s">
        <v>946</v>
      </c>
      <c r="L375" s="335" t="str">
        <f>IF(L373="","",IF(ISBLANK(L371),"",L373/L371))</f>
        <v>#REF!</v>
      </c>
      <c r="M375" s="321"/>
      <c r="N375" s="323"/>
      <c r="O375" s="326"/>
      <c r="P375" s="387"/>
    </row>
    <row r="376" ht="12.75" customHeight="1">
      <c r="A376" s="322"/>
      <c r="B376" s="327"/>
      <c r="C376" s="334"/>
      <c r="D376" s="334"/>
      <c r="E376" s="323"/>
      <c r="F376" s="326"/>
      <c r="G376" s="326"/>
      <c r="H376" s="387"/>
      <c r="I376" s="387"/>
      <c r="J376" s="322"/>
      <c r="K376" s="327"/>
      <c r="L376" s="334"/>
      <c r="M376" s="334"/>
      <c r="N376" s="323"/>
      <c r="O376" s="326"/>
      <c r="P376" s="387"/>
    </row>
    <row r="377" ht="12.75" customHeight="1">
      <c r="A377" s="322"/>
      <c r="B377" s="327" t="s">
        <v>950</v>
      </c>
      <c r="C377" s="333" t="str">
        <f>C371-C373</f>
        <v>#REF!</v>
      </c>
      <c r="D377" s="321"/>
      <c r="E377" s="323"/>
      <c r="F377" s="326"/>
      <c r="G377" s="326"/>
      <c r="H377" s="387"/>
      <c r="I377" s="387"/>
      <c r="J377" s="322"/>
      <c r="K377" s="327" t="s">
        <v>950</v>
      </c>
      <c r="L377" s="333" t="str">
        <f>L371-L373</f>
        <v>#REF!</v>
      </c>
      <c r="M377" s="321"/>
      <c r="N377" s="323"/>
      <c r="O377" s="326"/>
      <c r="P377" s="387"/>
    </row>
    <row r="378" ht="12.75" customHeight="1">
      <c r="A378" s="322"/>
      <c r="B378" s="322"/>
      <c r="C378" s="322"/>
      <c r="D378" s="322"/>
      <c r="E378" s="323"/>
      <c r="F378" s="324"/>
      <c r="G378" s="324"/>
      <c r="H378" s="387"/>
      <c r="I378" s="387"/>
      <c r="J378" s="322"/>
      <c r="K378" s="322"/>
      <c r="L378" s="322"/>
      <c r="M378" s="322"/>
      <c r="N378" s="323"/>
      <c r="O378" s="324"/>
      <c r="P378" s="387"/>
    </row>
    <row r="379" ht="12.75" customHeight="1">
      <c r="A379" s="322"/>
      <c r="B379" s="322"/>
      <c r="C379" s="322"/>
      <c r="D379" s="322"/>
      <c r="E379" s="337"/>
      <c r="F379" s="324"/>
      <c r="G379" s="324"/>
      <c r="H379" s="387"/>
      <c r="I379" s="387"/>
      <c r="J379" s="322"/>
      <c r="K379" s="322"/>
      <c r="L379" s="322"/>
      <c r="M379" s="322"/>
      <c r="N379" s="337"/>
      <c r="O379" s="324"/>
      <c r="P379" s="387"/>
    </row>
    <row r="380" ht="12.75" customHeight="1">
      <c r="A380" s="322"/>
      <c r="B380" s="338" t="s">
        <v>951</v>
      </c>
      <c r="C380" s="339"/>
      <c r="D380" s="339"/>
      <c r="E380" s="339"/>
      <c r="F380" s="324"/>
      <c r="G380" s="324"/>
      <c r="H380" s="387"/>
      <c r="I380" s="387"/>
      <c r="J380" s="322"/>
      <c r="K380" s="338" t="s">
        <v>951</v>
      </c>
      <c r="L380" s="339"/>
      <c r="M380" s="339"/>
      <c r="N380" s="339"/>
      <c r="O380" s="324"/>
      <c r="P380" s="387"/>
    </row>
    <row r="381" ht="12.75" customHeight="1">
      <c r="A381" s="322"/>
      <c r="B381" s="340" t="s">
        <v>953</v>
      </c>
      <c r="C381" s="341" t="s">
        <v>954</v>
      </c>
      <c r="D381" s="341" t="s">
        <v>955</v>
      </c>
      <c r="E381" s="341" t="s">
        <v>35</v>
      </c>
      <c r="F381" s="324"/>
      <c r="G381" s="324"/>
      <c r="H381" s="387"/>
      <c r="I381" s="387"/>
      <c r="J381" s="322"/>
      <c r="K381" s="340" t="s">
        <v>953</v>
      </c>
      <c r="L381" s="341" t="s">
        <v>954</v>
      </c>
      <c r="M381" s="341" t="s">
        <v>955</v>
      </c>
      <c r="N381" s="341" t="s">
        <v>35</v>
      </c>
      <c r="O381" s="324"/>
      <c r="P381" s="387"/>
    </row>
    <row r="382" ht="12.75" customHeight="1">
      <c r="A382" s="322"/>
      <c r="B382" s="60" t="s">
        <v>1209</v>
      </c>
      <c r="C382" s="342">
        <v>0.05</v>
      </c>
      <c r="D382" s="343">
        <f>'F&amp;B'!F$129</f>
        <v>67500</v>
      </c>
      <c r="E382" s="67">
        <f t="shared" ref="E382:E384" si="38">IF(OR(ISBLANK(C382),ISBLANK(D382)),"",D382*C382)</f>
        <v>3375</v>
      </c>
      <c r="F382" s="324"/>
      <c r="G382" s="324"/>
      <c r="H382" s="387"/>
      <c r="I382" s="387"/>
      <c r="J382" s="322"/>
      <c r="K382" s="60" t="s">
        <v>1147</v>
      </c>
      <c r="L382" s="342">
        <v>0.12</v>
      </c>
      <c r="M382" s="343">
        <f>'F&amp;B'!$F$90</f>
        <v>108000</v>
      </c>
      <c r="N382" s="67">
        <f t="shared" ref="N382:N384" si="39">IF(OR(ISBLANK(L382),ISBLANK(M382)),"",M382*L382)</f>
        <v>12960</v>
      </c>
      <c r="O382" s="324"/>
      <c r="P382" s="387"/>
    </row>
    <row r="383" ht="12.75" customHeight="1">
      <c r="A383" s="322"/>
      <c r="B383" s="75" t="s">
        <v>262</v>
      </c>
      <c r="C383" s="370">
        <v>0.25</v>
      </c>
      <c r="D383" s="371">
        <f>'F&amp;B'!$F$302</f>
        <v>10800</v>
      </c>
      <c r="E383" s="67">
        <f t="shared" si="38"/>
        <v>2700</v>
      </c>
      <c r="F383" s="324"/>
      <c r="G383" s="324"/>
      <c r="H383" s="387"/>
      <c r="I383" s="387"/>
      <c r="J383" s="322"/>
      <c r="K383" s="228" t="s">
        <v>1210</v>
      </c>
      <c r="L383" s="405">
        <v>0.08</v>
      </c>
      <c r="M383" s="371">
        <f>4*90000</f>
        <v>360000</v>
      </c>
      <c r="N383" s="67">
        <f t="shared" si="39"/>
        <v>28800</v>
      </c>
      <c r="O383" s="324"/>
      <c r="P383" s="387"/>
    </row>
    <row r="384" ht="12.75" customHeight="1">
      <c r="A384" s="322"/>
      <c r="B384" s="87" t="s">
        <v>1126</v>
      </c>
      <c r="C384" s="412">
        <v>0.1</v>
      </c>
      <c r="D384" s="408">
        <f>'F&amp;B'!$F$268</f>
        <v>234000</v>
      </c>
      <c r="E384" s="67">
        <f t="shared" si="38"/>
        <v>23400</v>
      </c>
      <c r="F384" s="324"/>
      <c r="G384" s="324"/>
      <c r="H384" s="387"/>
      <c r="I384" s="387"/>
      <c r="J384" s="322"/>
      <c r="K384" s="406" t="s">
        <v>1098</v>
      </c>
      <c r="L384" s="407">
        <v>0.5</v>
      </c>
      <c r="M384" s="371">
        <f>'F&amp;B'!F280</f>
        <v>2970</v>
      </c>
      <c r="N384" s="67">
        <f t="shared" si="39"/>
        <v>1485</v>
      </c>
      <c r="O384" s="324"/>
      <c r="P384" s="387"/>
    </row>
    <row r="385" ht="12.75" customHeight="1">
      <c r="A385" s="322"/>
      <c r="B385" s="338" t="s">
        <v>84</v>
      </c>
      <c r="C385" s="358"/>
      <c r="D385" s="358"/>
      <c r="E385" s="359">
        <f>IF(SUM(E382:E384)=0,"",SUM(E382:E384))</f>
        <v>29475</v>
      </c>
      <c r="F385" s="324"/>
      <c r="G385" s="324"/>
      <c r="H385" s="387"/>
      <c r="I385" s="387"/>
      <c r="J385" s="322"/>
      <c r="K385" s="338" t="s">
        <v>84</v>
      </c>
      <c r="L385" s="358"/>
      <c r="M385" s="358"/>
      <c r="N385" s="359">
        <f>IF(SUM(N382:N384)=0,"",SUM(N382:N384))</f>
        <v>43245</v>
      </c>
      <c r="O385" s="324"/>
      <c r="P385" s="387"/>
    </row>
    <row r="386" ht="12.75" customHeight="1">
      <c r="A386" s="322"/>
      <c r="B386" s="360"/>
      <c r="C386" s="360"/>
      <c r="D386" s="360"/>
      <c r="E386" s="361"/>
      <c r="F386" s="324"/>
      <c r="G386" s="324"/>
      <c r="H386" s="387"/>
      <c r="I386" s="387"/>
      <c r="J386" s="322"/>
      <c r="K386" s="360"/>
      <c r="L386" s="360"/>
      <c r="M386" s="360"/>
      <c r="N386" s="361"/>
      <c r="O386" s="324"/>
      <c r="P386" s="387"/>
    </row>
    <row r="387" ht="12.75" customHeight="1">
      <c r="A387" s="322"/>
      <c r="B387" s="362" t="s">
        <v>972</v>
      </c>
      <c r="C387" s="363"/>
      <c r="D387" s="363"/>
      <c r="E387" s="363"/>
      <c r="F387" s="324"/>
      <c r="G387" s="324"/>
      <c r="H387" s="387"/>
      <c r="I387" s="387"/>
      <c r="J387" s="322"/>
      <c r="K387" s="362" t="s">
        <v>972</v>
      </c>
      <c r="L387" s="363"/>
      <c r="M387" s="363"/>
      <c r="N387" s="363"/>
      <c r="O387" s="324"/>
      <c r="P387" s="387"/>
    </row>
    <row r="388" ht="12.75" customHeight="1">
      <c r="A388" s="322"/>
      <c r="B388" s="365" t="s">
        <v>953</v>
      </c>
      <c r="C388" s="366" t="s">
        <v>3</v>
      </c>
      <c r="D388" s="366" t="s">
        <v>975</v>
      </c>
      <c r="E388" s="367" t="s">
        <v>35</v>
      </c>
      <c r="F388" s="324"/>
      <c r="G388" s="324"/>
      <c r="H388" s="387"/>
      <c r="I388" s="387"/>
      <c r="J388" s="322"/>
      <c r="K388" s="365" t="s">
        <v>953</v>
      </c>
      <c r="L388" s="366" t="s">
        <v>3</v>
      </c>
      <c r="M388" s="366" t="s">
        <v>975</v>
      </c>
      <c r="N388" s="367" t="s">
        <v>35</v>
      </c>
      <c r="O388" s="324"/>
      <c r="P388" s="387"/>
    </row>
    <row r="389" ht="12.75" customHeight="1">
      <c r="A389" s="322"/>
      <c r="B389" s="368"/>
      <c r="C389" s="366"/>
      <c r="D389" s="366"/>
      <c r="E389" s="368"/>
      <c r="F389" s="324"/>
      <c r="G389" s="324"/>
      <c r="H389" s="387"/>
      <c r="I389" s="387"/>
      <c r="J389" s="322"/>
      <c r="K389" s="368"/>
      <c r="L389" s="366"/>
      <c r="M389" s="366"/>
      <c r="N389" s="368"/>
      <c r="O389" s="324"/>
      <c r="P389" s="387"/>
    </row>
    <row r="390" ht="12.75" customHeight="1">
      <c r="A390" s="322"/>
      <c r="B390" s="60" t="s">
        <v>547</v>
      </c>
      <c r="C390" s="342">
        <v>0.08</v>
      </c>
      <c r="D390" s="343">
        <f>SAUCES!$L$122</f>
        <v>28970.23839</v>
      </c>
      <c r="E390" s="67">
        <f t="shared" ref="E390:E399" si="40">D390*C390</f>
        <v>2317.619071</v>
      </c>
      <c r="F390" s="324"/>
      <c r="G390" s="324"/>
      <c r="H390" s="387"/>
      <c r="I390" s="387"/>
      <c r="J390" s="322"/>
      <c r="K390" s="139" t="s">
        <v>1211</v>
      </c>
      <c r="L390" s="344">
        <v>1.0</v>
      </c>
      <c r="M390" s="343">
        <f>M472</f>
        <v>9000</v>
      </c>
      <c r="N390" s="67">
        <f>IF(OR(ISBLANK(L390),ISBLANK(M390)),"",M390*L390)</f>
        <v>9000</v>
      </c>
      <c r="O390" s="324"/>
      <c r="P390" s="387"/>
    </row>
    <row r="391" ht="12.75" customHeight="1">
      <c r="A391" s="322"/>
      <c r="B391" s="75"/>
      <c r="C391" s="370"/>
      <c r="D391" s="371"/>
      <c r="E391" s="67">
        <f t="shared" si="40"/>
        <v>0</v>
      </c>
      <c r="F391" s="324"/>
      <c r="G391" s="324"/>
      <c r="H391" s="387"/>
      <c r="I391" s="387"/>
      <c r="J391" s="322"/>
      <c r="K391" s="75" t="s">
        <v>310</v>
      </c>
      <c r="L391" s="370">
        <v>1.0</v>
      </c>
      <c r="M391" s="371">
        <f>M258</f>
        <v>1471.976447</v>
      </c>
      <c r="N391" s="67">
        <f t="shared" ref="N391:N399" si="41">M391*L391</f>
        <v>1471.976447</v>
      </c>
      <c r="O391" s="324"/>
      <c r="P391" s="387"/>
    </row>
    <row r="392" ht="12.75" customHeight="1">
      <c r="A392" s="322"/>
      <c r="B392" s="75"/>
      <c r="C392" s="370"/>
      <c r="D392" s="371"/>
      <c r="E392" s="67">
        <f t="shared" si="40"/>
        <v>0</v>
      </c>
      <c r="F392" s="324"/>
      <c r="G392" s="324"/>
      <c r="H392" s="387"/>
      <c r="I392" s="387"/>
      <c r="J392" s="322"/>
      <c r="K392" s="75" t="s">
        <v>1114</v>
      </c>
      <c r="L392" s="398">
        <v>0.09</v>
      </c>
      <c r="M392" s="371">
        <f>'F&amp;B'!$F$300</f>
        <v>13500</v>
      </c>
      <c r="N392" s="67">
        <f t="shared" si="41"/>
        <v>1215</v>
      </c>
      <c r="O392" s="324"/>
      <c r="P392" s="387"/>
    </row>
    <row r="393" ht="12.75" customHeight="1">
      <c r="A393" s="322"/>
      <c r="B393" s="75"/>
      <c r="C393" s="346"/>
      <c r="D393" s="371"/>
      <c r="E393" s="67">
        <f t="shared" si="40"/>
        <v>0</v>
      </c>
      <c r="F393" s="324"/>
      <c r="G393" s="324"/>
      <c r="H393" s="387"/>
      <c r="I393" s="387"/>
      <c r="J393" s="322"/>
      <c r="K393" s="228" t="s">
        <v>817</v>
      </c>
      <c r="L393" s="398">
        <v>0.03</v>
      </c>
      <c r="M393" s="371">
        <f>'F&amp;B'!F293</f>
        <v>6750</v>
      </c>
      <c r="N393" s="67">
        <f t="shared" si="41"/>
        <v>202.5</v>
      </c>
      <c r="O393" s="324"/>
      <c r="P393" s="387"/>
    </row>
    <row r="394" ht="12.75" customHeight="1">
      <c r="A394" s="322"/>
      <c r="B394" s="75"/>
      <c r="C394" s="346"/>
      <c r="D394" s="371"/>
      <c r="E394" s="67">
        <f t="shared" si="40"/>
        <v>0</v>
      </c>
      <c r="F394" s="324"/>
      <c r="G394" s="324"/>
      <c r="H394" s="387"/>
      <c r="I394" s="387"/>
      <c r="J394" s="322"/>
      <c r="K394" s="228" t="s">
        <v>1153</v>
      </c>
      <c r="L394" s="398">
        <v>0.02</v>
      </c>
      <c r="M394" s="371">
        <f>'F&amp;B'!F189</f>
        <v>144000</v>
      </c>
      <c r="N394" s="67">
        <f t="shared" si="41"/>
        <v>2880</v>
      </c>
      <c r="O394" s="324"/>
      <c r="P394" s="387"/>
    </row>
    <row r="395" ht="12.75" customHeight="1">
      <c r="A395" s="322"/>
      <c r="B395" s="75"/>
      <c r="C395" s="346"/>
      <c r="D395" s="371"/>
      <c r="E395" s="67">
        <f t="shared" si="40"/>
        <v>0</v>
      </c>
      <c r="F395" s="324"/>
      <c r="G395" s="324"/>
      <c r="H395" s="387"/>
      <c r="I395" s="387"/>
      <c r="J395" s="322"/>
      <c r="K395" s="75" t="s">
        <v>1113</v>
      </c>
      <c r="L395" s="346">
        <v>0.02</v>
      </c>
      <c r="M395" s="371">
        <f>'F&amp;B'!$F$146</f>
        <v>65250</v>
      </c>
      <c r="N395" s="67">
        <f t="shared" si="41"/>
        <v>1305</v>
      </c>
      <c r="O395" s="324"/>
      <c r="P395" s="387"/>
    </row>
    <row r="396" ht="12.75" customHeight="1">
      <c r="A396" s="322"/>
      <c r="B396" s="75"/>
      <c r="C396" s="346"/>
      <c r="D396" s="347"/>
      <c r="E396" s="67">
        <f t="shared" si="40"/>
        <v>0</v>
      </c>
      <c r="F396" s="324"/>
      <c r="G396" s="324"/>
      <c r="H396" s="387"/>
      <c r="I396" s="387"/>
      <c r="J396" s="322"/>
      <c r="K396" s="348"/>
      <c r="L396" s="346"/>
      <c r="M396" s="373"/>
      <c r="N396" s="67">
        <f t="shared" si="41"/>
        <v>0</v>
      </c>
      <c r="O396" s="324"/>
      <c r="P396" s="387"/>
    </row>
    <row r="397" ht="12.75" customHeight="1">
      <c r="A397" s="322"/>
      <c r="B397" s="348"/>
      <c r="C397" s="346"/>
      <c r="D397" s="373"/>
      <c r="E397" s="67">
        <f t="shared" si="40"/>
        <v>0</v>
      </c>
      <c r="F397" s="324"/>
      <c r="G397" s="324"/>
      <c r="H397" s="387"/>
      <c r="I397" s="387"/>
      <c r="J397" s="322"/>
      <c r="K397" s="348"/>
      <c r="L397" s="346"/>
      <c r="M397" s="373"/>
      <c r="N397" s="67">
        <f t="shared" si="41"/>
        <v>0</v>
      </c>
      <c r="O397" s="324"/>
      <c r="P397" s="387"/>
    </row>
    <row r="398" ht="12.75" customHeight="1">
      <c r="A398" s="322"/>
      <c r="B398" s="348"/>
      <c r="C398" s="346"/>
      <c r="D398" s="373"/>
      <c r="E398" s="67">
        <f t="shared" si="40"/>
        <v>0</v>
      </c>
      <c r="F398" s="324"/>
      <c r="G398" s="324"/>
      <c r="H398" s="387"/>
      <c r="I398" s="387"/>
      <c r="J398" s="322"/>
      <c r="K398" s="348"/>
      <c r="L398" s="346"/>
      <c r="M398" s="373"/>
      <c r="N398" s="67">
        <f t="shared" si="41"/>
        <v>0</v>
      </c>
      <c r="O398" s="324"/>
      <c r="P398" s="387"/>
    </row>
    <row r="399" ht="12.75" customHeight="1">
      <c r="A399" s="322"/>
      <c r="B399" s="354"/>
      <c r="C399" s="355"/>
      <c r="D399" s="356"/>
      <c r="E399" s="67">
        <f t="shared" si="40"/>
        <v>0</v>
      </c>
      <c r="F399" s="324"/>
      <c r="G399" s="324"/>
      <c r="H399" s="387"/>
      <c r="I399" s="387"/>
      <c r="J399" s="322"/>
      <c r="K399" s="354"/>
      <c r="L399" s="355"/>
      <c r="M399" s="356"/>
      <c r="N399" s="67">
        <f t="shared" si="41"/>
        <v>0</v>
      </c>
      <c r="O399" s="324"/>
      <c r="P399" s="387"/>
    </row>
    <row r="400" ht="12.75" customHeight="1">
      <c r="A400" s="322"/>
      <c r="B400" s="362" t="s">
        <v>84</v>
      </c>
      <c r="C400" s="374"/>
      <c r="D400" s="374"/>
      <c r="E400" s="375">
        <f>IF(SUM(E390:E399)=0,"",SUM(E390:E399))</f>
        <v>2317.619071</v>
      </c>
      <c r="F400" s="324"/>
      <c r="G400" s="324"/>
      <c r="H400" s="387"/>
      <c r="I400" s="387"/>
      <c r="J400" s="322"/>
      <c r="K400" s="362" t="s">
        <v>84</v>
      </c>
      <c r="L400" s="374"/>
      <c r="M400" s="374"/>
      <c r="N400" s="375">
        <f>IF(SUM(N390:N399)=0,"",SUM(N390:N399))</f>
        <v>16074.47645</v>
      </c>
      <c r="O400" s="324"/>
      <c r="P400" s="387"/>
    </row>
    <row r="401" ht="12.75" customHeight="1">
      <c r="A401" s="322"/>
      <c r="B401" s="360"/>
      <c r="C401" s="360"/>
      <c r="D401" s="360"/>
      <c r="E401" s="361"/>
      <c r="F401" s="324"/>
      <c r="G401" s="324"/>
      <c r="H401" s="387"/>
      <c r="I401" s="387"/>
      <c r="J401" s="322"/>
      <c r="K401" s="360"/>
      <c r="L401" s="360"/>
      <c r="M401" s="360"/>
      <c r="N401" s="361"/>
      <c r="O401" s="324"/>
      <c r="P401" s="387"/>
    </row>
    <row r="402" ht="12.75" customHeight="1">
      <c r="A402" s="322"/>
      <c r="B402" s="34" t="s">
        <v>17</v>
      </c>
      <c r="C402" s="35"/>
      <c r="D402" s="35"/>
      <c r="E402" s="35"/>
      <c r="F402" s="324"/>
      <c r="G402" s="324"/>
      <c r="H402" s="387"/>
      <c r="I402" s="387"/>
      <c r="J402" s="322"/>
      <c r="K402" s="34" t="s">
        <v>17</v>
      </c>
      <c r="L402" s="35"/>
      <c r="M402" s="35"/>
      <c r="N402" s="35"/>
      <c r="O402" s="324"/>
      <c r="P402" s="387"/>
    </row>
    <row r="403" ht="12.75" customHeight="1">
      <c r="A403" s="322"/>
      <c r="B403" s="52" t="s">
        <v>42</v>
      </c>
      <c r="C403" s="54"/>
      <c r="D403" s="54"/>
      <c r="E403" s="56" t="s">
        <v>35</v>
      </c>
      <c r="F403" s="324"/>
      <c r="G403" s="324"/>
      <c r="H403" s="387"/>
      <c r="I403" s="387"/>
      <c r="J403" s="322"/>
      <c r="K403" s="52" t="s">
        <v>42</v>
      </c>
      <c r="L403" s="54"/>
      <c r="M403" s="54"/>
      <c r="N403" s="56" t="s">
        <v>35</v>
      </c>
      <c r="O403" s="324"/>
      <c r="P403" s="387"/>
    </row>
    <row r="404" ht="12.75" customHeight="1">
      <c r="A404" s="322"/>
      <c r="B404" s="60" t="s">
        <v>40</v>
      </c>
      <c r="C404" s="343">
        <f>'UTL COST'!$B$3</f>
        <v>369000</v>
      </c>
      <c r="D404" s="379">
        <f>'UTL COST'!$C$3</f>
        <v>0.0075</v>
      </c>
      <c r="E404" s="67">
        <v>0.0</v>
      </c>
      <c r="F404" s="324"/>
      <c r="G404" s="324"/>
      <c r="H404" s="387"/>
      <c r="I404" s="387"/>
      <c r="J404" s="322"/>
      <c r="K404" s="60" t="s">
        <v>40</v>
      </c>
      <c r="L404" s="343">
        <f>'UTL COST'!$B$3</f>
        <v>369000</v>
      </c>
      <c r="M404" s="379">
        <f>'UTL COST'!$C$3</f>
        <v>0.0075</v>
      </c>
      <c r="N404" s="67">
        <v>0.0</v>
      </c>
      <c r="O404" s="324"/>
      <c r="P404" s="387"/>
    </row>
    <row r="405" ht="12.75" customHeight="1">
      <c r="A405" s="322"/>
      <c r="B405" s="75" t="s">
        <v>51</v>
      </c>
      <c r="C405" s="371" t="str">
        <f>'UTL COST'!$B$4</f>
        <v>#REF!</v>
      </c>
      <c r="D405" s="382">
        <f>'UTL COST'!$C$4</f>
        <v>7000</v>
      </c>
      <c r="E405" s="76" t="str">
        <f>'UTL COST'!$D$4</f>
        <v>#REF!</v>
      </c>
      <c r="F405" s="324"/>
      <c r="G405" s="324"/>
      <c r="H405" s="387"/>
      <c r="I405" s="387"/>
      <c r="J405" s="322"/>
      <c r="K405" s="75" t="s">
        <v>51</v>
      </c>
      <c r="L405" s="371" t="str">
        <f>'UTL COST'!$B$4</f>
        <v>#REF!</v>
      </c>
      <c r="M405" s="382">
        <f>'UTL COST'!$C$4</f>
        <v>7000</v>
      </c>
      <c r="N405" s="76" t="str">
        <f>'UTL COST'!$D$4</f>
        <v>#REF!</v>
      </c>
      <c r="O405" s="324"/>
      <c r="P405" s="387"/>
    </row>
    <row r="406" ht="12.75" customHeight="1">
      <c r="A406" s="322"/>
      <c r="B406" s="75" t="s">
        <v>59</v>
      </c>
      <c r="C406" s="371" t="str">
        <f>'UTL COST'!$B$5</f>
        <v>#REF!</v>
      </c>
      <c r="D406" s="382">
        <f>'UTL COST'!$C$5</f>
        <v>45000</v>
      </c>
      <c r="E406" s="76" t="str">
        <f>'UTL COST'!$D$5</f>
        <v>#REF!</v>
      </c>
      <c r="F406" s="324"/>
      <c r="G406" s="324"/>
      <c r="H406" s="387"/>
      <c r="I406" s="387"/>
      <c r="J406" s="322"/>
      <c r="K406" s="75" t="s">
        <v>59</v>
      </c>
      <c r="L406" s="371" t="str">
        <f>'UTL COST'!$B$5</f>
        <v>#REF!</v>
      </c>
      <c r="M406" s="382">
        <f>'UTL COST'!$C$5</f>
        <v>45000</v>
      </c>
      <c r="N406" s="76" t="str">
        <f>'UTL COST'!$D$5</f>
        <v>#REF!</v>
      </c>
      <c r="O406" s="324"/>
      <c r="P406" s="387"/>
    </row>
    <row r="407" ht="12.75" customHeight="1">
      <c r="A407" s="322"/>
      <c r="B407" s="87" t="s">
        <v>78</v>
      </c>
      <c r="C407" s="371" t="str">
        <f>'UTL COST'!$B$6</f>
        <v>#REF!</v>
      </c>
      <c r="D407" s="383">
        <f>'UTL COST'!$C$6</f>
        <v>525</v>
      </c>
      <c r="E407" s="89">
        <v>0.1</v>
      </c>
      <c r="F407" s="324"/>
      <c r="G407" s="324"/>
      <c r="H407" s="387"/>
      <c r="I407" s="387"/>
      <c r="J407" s="322"/>
      <c r="K407" s="87" t="s">
        <v>78</v>
      </c>
      <c r="L407" s="371" t="str">
        <f>'UTL COST'!$B$6</f>
        <v>#REF!</v>
      </c>
      <c r="M407" s="383">
        <f>'UTL COST'!$C$6</f>
        <v>525</v>
      </c>
      <c r="N407" s="89">
        <v>0.1</v>
      </c>
      <c r="O407" s="324"/>
      <c r="P407" s="387"/>
    </row>
    <row r="408" ht="12.75" customHeight="1">
      <c r="A408" s="322"/>
      <c r="B408" s="34" t="s">
        <v>84</v>
      </c>
      <c r="C408" s="102"/>
      <c r="D408" s="102"/>
      <c r="E408" s="104" t="str">
        <f>IF(SUM(E404:E407)=0,"",SUM(E404:E407))</f>
        <v>#REF!</v>
      </c>
      <c r="F408" s="324"/>
      <c r="G408" s="324"/>
      <c r="H408" s="387"/>
      <c r="I408" s="387"/>
      <c r="J408" s="322"/>
      <c r="K408" s="34" t="s">
        <v>84</v>
      </c>
      <c r="L408" s="102"/>
      <c r="M408" s="102"/>
      <c r="N408" s="104" t="str">
        <f>IF(SUM(N404:N407)=0,"",SUM(N404:N407))</f>
        <v>#REF!</v>
      </c>
      <c r="O408" s="324"/>
      <c r="P408" s="387"/>
    </row>
    <row r="409" ht="12.75" customHeight="1">
      <c r="A409" s="322"/>
      <c r="B409" s="360"/>
      <c r="C409" s="360"/>
      <c r="D409" s="360"/>
      <c r="E409" s="361"/>
      <c r="F409" s="324"/>
      <c r="G409" s="324"/>
      <c r="H409" s="387"/>
      <c r="I409" s="387"/>
      <c r="J409" s="322"/>
      <c r="K409" s="360"/>
      <c r="L409" s="360"/>
      <c r="M409" s="360"/>
      <c r="N409" s="361"/>
      <c r="O409" s="324"/>
      <c r="P409" s="387"/>
    </row>
    <row r="410" ht="15.75" customHeight="1"/>
    <row r="411" ht="15.75" customHeight="1"/>
    <row r="412" ht="15.75" customHeight="1">
      <c r="A412" s="322"/>
      <c r="B412" s="322"/>
      <c r="C412" s="322"/>
      <c r="D412" s="322"/>
      <c r="E412" s="323"/>
      <c r="F412" s="324"/>
      <c r="J412" s="322"/>
      <c r="K412" s="322"/>
      <c r="L412" s="322"/>
      <c r="M412" s="322"/>
      <c r="N412" s="323"/>
      <c r="O412" s="324"/>
    </row>
    <row r="413" ht="15.75" customHeight="1">
      <c r="A413" s="322"/>
      <c r="B413" s="325"/>
      <c r="C413" s="322"/>
      <c r="D413" s="322"/>
      <c r="E413" s="323"/>
      <c r="F413" s="326"/>
      <c r="J413" s="322"/>
      <c r="K413" s="325"/>
      <c r="L413" s="322"/>
      <c r="M413" s="322"/>
      <c r="N413" s="323"/>
      <c r="O413" s="326"/>
    </row>
    <row r="414" ht="15.75" customHeight="1">
      <c r="A414" s="322"/>
      <c r="B414" s="327" t="s">
        <v>931</v>
      </c>
      <c r="C414" s="330" t="s">
        <v>1214</v>
      </c>
      <c r="D414" s="329"/>
      <c r="E414" s="323"/>
      <c r="F414" s="326"/>
      <c r="J414" s="322"/>
      <c r="K414" s="327" t="s">
        <v>931</v>
      </c>
      <c r="L414" s="330" t="s">
        <v>1215</v>
      </c>
      <c r="M414" s="329"/>
      <c r="N414" s="323"/>
      <c r="O414" s="326"/>
    </row>
    <row r="415" ht="15.75" customHeight="1">
      <c r="A415" s="322"/>
      <c r="B415" s="325"/>
      <c r="C415" s="322"/>
      <c r="D415" s="322"/>
      <c r="E415" s="323"/>
      <c r="F415" s="326"/>
      <c r="J415" s="322"/>
      <c r="K415" s="325"/>
      <c r="L415" s="322"/>
      <c r="M415" s="322"/>
      <c r="N415" s="323"/>
      <c r="O415" s="326"/>
    </row>
    <row r="416" ht="15.75" customHeight="1">
      <c r="A416" s="322"/>
      <c r="B416" s="327" t="s">
        <v>935</v>
      </c>
      <c r="C416" s="331">
        <v>184000.0</v>
      </c>
      <c r="D416" s="329"/>
      <c r="E416" s="323"/>
      <c r="F416" s="326"/>
      <c r="J416" s="322"/>
      <c r="K416" s="327" t="s">
        <v>935</v>
      </c>
      <c r="L416" s="331"/>
      <c r="M416" s="329"/>
      <c r="N416" s="323"/>
      <c r="O416" s="326"/>
    </row>
    <row r="417" ht="15.75" customHeight="1">
      <c r="A417" s="322"/>
      <c r="B417" s="327"/>
      <c r="C417" s="332"/>
      <c r="D417" s="332" t="str">
        <f>C418/90000</f>
        <v>#REF!</v>
      </c>
      <c r="E417" s="323"/>
      <c r="F417" s="326"/>
      <c r="J417" s="322"/>
      <c r="K417" s="327"/>
      <c r="L417" s="332"/>
      <c r="M417" s="332" t="str">
        <f>L418/90000</f>
        <v>#REF!</v>
      </c>
      <c r="N417" s="323"/>
      <c r="O417" s="326"/>
    </row>
    <row r="418" ht="15.75" customHeight="1">
      <c r="A418" s="322"/>
      <c r="B418" s="327" t="s">
        <v>939</v>
      </c>
      <c r="C418" s="333" t="str">
        <f>IF(SUM(E430,E445,E453)=0,"",SUM(E430,E445,E453))</f>
        <v>#REF!</v>
      </c>
      <c r="D418" s="321"/>
      <c r="E418" s="323" t="str">
        <f>C418/90000</f>
        <v>#REF!</v>
      </c>
      <c r="F418" s="326"/>
      <c r="J418" s="322"/>
      <c r="K418" s="327" t="s">
        <v>939</v>
      </c>
      <c r="L418" s="333" t="str">
        <f>IF(SUM(N430,N445,N453)=0,"",SUM(N430,N445,N453))</f>
        <v>#REF!</v>
      </c>
      <c r="M418" s="321"/>
      <c r="N418" s="323" t="str">
        <f>L418/90000</f>
        <v>#REF!</v>
      </c>
      <c r="O418" s="326"/>
    </row>
    <row r="419" ht="15.75" customHeight="1">
      <c r="A419" s="322"/>
      <c r="B419" s="327"/>
      <c r="C419" s="334"/>
      <c r="D419" s="334"/>
      <c r="E419" s="323"/>
      <c r="F419" s="326"/>
      <c r="J419" s="322"/>
      <c r="K419" s="327"/>
      <c r="L419" s="334"/>
      <c r="M419" s="334"/>
      <c r="N419" s="323"/>
      <c r="O419" s="326"/>
    </row>
    <row r="420" ht="15.75" customHeight="1">
      <c r="A420" s="322"/>
      <c r="B420" s="327" t="s">
        <v>946</v>
      </c>
      <c r="C420" s="335" t="str">
        <f>IF(C418="","",IF(ISBLANK(C416),"",C418/C416))</f>
        <v>#REF!</v>
      </c>
      <c r="D420" s="321"/>
      <c r="E420" s="323"/>
      <c r="F420" s="326"/>
      <c r="J420" s="322"/>
      <c r="K420" s="327" t="s">
        <v>946</v>
      </c>
      <c r="L420" s="335" t="str">
        <f>IF(L418="","",IF(ISBLANK(L416),"",L418/L416))</f>
        <v>#REF!</v>
      </c>
      <c r="M420" s="321"/>
      <c r="N420" s="323"/>
      <c r="O420" s="326"/>
    </row>
    <row r="421" ht="15.75" customHeight="1">
      <c r="A421" s="322"/>
      <c r="B421" s="327"/>
      <c r="C421" s="334"/>
      <c r="D421" s="334"/>
      <c r="E421" s="323"/>
      <c r="F421" s="326"/>
      <c r="J421" s="322"/>
      <c r="K421" s="327"/>
      <c r="L421" s="334"/>
      <c r="M421" s="334"/>
      <c r="N421" s="323"/>
      <c r="O421" s="326"/>
    </row>
    <row r="422" ht="15.75" customHeight="1">
      <c r="A422" s="322"/>
      <c r="B422" s="327" t="s">
        <v>950</v>
      </c>
      <c r="C422" s="333" t="str">
        <f>C416-C418</f>
        <v>#REF!</v>
      </c>
      <c r="D422" s="321"/>
      <c r="E422" s="323"/>
      <c r="F422" s="326"/>
      <c r="J422" s="322"/>
      <c r="K422" s="327" t="s">
        <v>950</v>
      </c>
      <c r="L422" s="333" t="str">
        <f>L416-L418</f>
        <v>#REF!</v>
      </c>
      <c r="M422" s="321"/>
      <c r="N422" s="323"/>
      <c r="O422" s="326"/>
    </row>
    <row r="423" ht="15.75" customHeight="1">
      <c r="A423" s="322"/>
      <c r="B423" s="322"/>
      <c r="C423" s="322"/>
      <c r="D423" s="322"/>
      <c r="E423" s="323"/>
      <c r="F423" s="324"/>
      <c r="J423" s="322"/>
      <c r="K423" s="322"/>
      <c r="L423" s="322"/>
      <c r="M423" s="322"/>
      <c r="N423" s="323"/>
      <c r="O423" s="324"/>
    </row>
    <row r="424" ht="15.75" customHeight="1">
      <c r="A424" s="322"/>
      <c r="B424" s="322"/>
      <c r="C424" s="322"/>
      <c r="D424" s="322"/>
      <c r="E424" s="337"/>
      <c r="F424" s="324"/>
      <c r="J424" s="322"/>
      <c r="K424" s="322"/>
      <c r="L424" s="322"/>
      <c r="M424" s="322"/>
      <c r="N424" s="337"/>
      <c r="O424" s="324"/>
    </row>
    <row r="425" ht="15.75" customHeight="1">
      <c r="A425" s="322"/>
      <c r="B425" s="338" t="s">
        <v>951</v>
      </c>
      <c r="C425" s="339"/>
      <c r="D425" s="339"/>
      <c r="E425" s="339"/>
      <c r="F425" s="324"/>
      <c r="J425" s="322"/>
      <c r="K425" s="338" t="s">
        <v>951</v>
      </c>
      <c r="L425" s="339"/>
      <c r="M425" s="339"/>
      <c r="N425" s="339"/>
      <c r="O425" s="324"/>
    </row>
    <row r="426" ht="15.75" customHeight="1">
      <c r="A426" s="322"/>
      <c r="B426" s="340" t="s">
        <v>953</v>
      </c>
      <c r="C426" s="341" t="s">
        <v>954</v>
      </c>
      <c r="D426" s="341" t="s">
        <v>955</v>
      </c>
      <c r="E426" s="341" t="s">
        <v>35</v>
      </c>
      <c r="F426" s="324"/>
      <c r="J426" s="322"/>
      <c r="K426" s="340" t="s">
        <v>953</v>
      </c>
      <c r="L426" s="341" t="s">
        <v>954</v>
      </c>
      <c r="M426" s="341" t="s">
        <v>955</v>
      </c>
      <c r="N426" s="341" t="s">
        <v>35</v>
      </c>
      <c r="O426" s="324"/>
    </row>
    <row r="427" ht="15.75" customHeight="1">
      <c r="A427" s="322"/>
      <c r="B427" s="139" t="s">
        <v>1216</v>
      </c>
      <c r="C427" s="344">
        <v>0.12</v>
      </c>
      <c r="D427" s="343">
        <f>'F&amp;B'!F225</f>
        <v>297000</v>
      </c>
      <c r="E427" s="67">
        <f t="shared" ref="E427:E429" si="42">IF(OR(ISBLANK(C427),ISBLANK(D427)),"",D427*C427)</f>
        <v>35640</v>
      </c>
      <c r="F427" s="324"/>
      <c r="J427" s="322"/>
      <c r="K427" s="139" t="s">
        <v>1217</v>
      </c>
      <c r="L427" s="344">
        <v>0.2</v>
      </c>
      <c r="M427" s="343">
        <f>'F&amp;B'!$F$242/12</f>
        <v>1125</v>
      </c>
      <c r="N427" s="67">
        <f t="shared" ref="N427:N429" si="43">IF(OR(ISBLANK(L427),ISBLANK(M427)),"",M427*L427)</f>
        <v>225</v>
      </c>
      <c r="O427" s="324"/>
    </row>
    <row r="428" ht="15.75" customHeight="1">
      <c r="A428" s="322"/>
      <c r="B428" s="228" t="s">
        <v>738</v>
      </c>
      <c r="C428" s="405">
        <v>0.01</v>
      </c>
      <c r="D428" s="371">
        <f>'F&amp;B'!F136</f>
        <v>90000</v>
      </c>
      <c r="E428" s="67">
        <f t="shared" si="42"/>
        <v>900</v>
      </c>
      <c r="F428" s="324"/>
      <c r="J428" s="322"/>
      <c r="K428" s="228" t="s">
        <v>351</v>
      </c>
      <c r="L428" s="405">
        <v>0.03</v>
      </c>
      <c r="M428" s="371">
        <f>'F&amp;B'!F251</f>
        <v>455400</v>
      </c>
      <c r="N428" s="67">
        <f t="shared" si="43"/>
        <v>13662</v>
      </c>
      <c r="O428" s="324"/>
    </row>
    <row r="429" ht="15.75" customHeight="1">
      <c r="A429" s="322"/>
      <c r="B429" s="406" t="s">
        <v>60</v>
      </c>
      <c r="C429" s="407">
        <v>0.02</v>
      </c>
      <c r="D429" s="371">
        <f>'F&amp;B'!F103</f>
        <v>148500</v>
      </c>
      <c r="E429" s="67">
        <f t="shared" si="42"/>
        <v>2970</v>
      </c>
      <c r="F429" s="324"/>
      <c r="J429" s="322"/>
      <c r="K429" s="406" t="s">
        <v>718</v>
      </c>
      <c r="L429" s="407">
        <v>0.1</v>
      </c>
      <c r="M429" s="371">
        <f>SAUCES!D172</f>
        <v>65027.16346</v>
      </c>
      <c r="N429" s="67">
        <f t="shared" si="43"/>
        <v>6502.716346</v>
      </c>
      <c r="O429" s="324"/>
    </row>
    <row r="430" ht="15.75" customHeight="1">
      <c r="A430" s="322"/>
      <c r="B430" s="338" t="s">
        <v>84</v>
      </c>
      <c r="C430" s="358"/>
      <c r="D430" s="358"/>
      <c r="E430" s="359">
        <f>IF(SUM(E427:E428)=0,"",SUM(E427:E428))</f>
        <v>36540</v>
      </c>
      <c r="F430" s="324"/>
      <c r="J430" s="322"/>
      <c r="K430" s="338" t="s">
        <v>84</v>
      </c>
      <c r="L430" s="358"/>
      <c r="M430" s="358"/>
      <c r="N430" s="359">
        <f>IF(SUM(N427:N428)=0,"",SUM(N427:N428))</f>
        <v>13887</v>
      </c>
      <c r="O430" s="324"/>
    </row>
    <row r="431" ht="15.75" customHeight="1">
      <c r="A431" s="322"/>
      <c r="B431" s="360"/>
      <c r="C431" s="360"/>
      <c r="D431" s="360"/>
      <c r="E431" s="361"/>
      <c r="F431" s="324"/>
      <c r="J431" s="322"/>
      <c r="K431" s="360"/>
      <c r="L431" s="360"/>
      <c r="M431" s="360"/>
      <c r="N431" s="361"/>
      <c r="O431" s="324"/>
    </row>
    <row r="432" ht="15.75" customHeight="1">
      <c r="A432" s="322"/>
      <c r="B432" s="362" t="s">
        <v>972</v>
      </c>
      <c r="C432" s="363"/>
      <c r="D432" s="363"/>
      <c r="E432" s="363"/>
      <c r="F432" s="324"/>
      <c r="J432" s="322"/>
      <c r="K432" s="362" t="s">
        <v>972</v>
      </c>
      <c r="L432" s="363"/>
      <c r="M432" s="363"/>
      <c r="N432" s="363"/>
      <c r="O432" s="324"/>
    </row>
    <row r="433" ht="15.75" customHeight="1">
      <c r="A433" s="322"/>
      <c r="B433" s="365" t="s">
        <v>953</v>
      </c>
      <c r="C433" s="366" t="s">
        <v>3</v>
      </c>
      <c r="D433" s="366" t="s">
        <v>975</v>
      </c>
      <c r="E433" s="367" t="s">
        <v>35</v>
      </c>
      <c r="F433" s="324"/>
      <c r="J433" s="322"/>
      <c r="K433" s="365" t="s">
        <v>953</v>
      </c>
      <c r="L433" s="366" t="s">
        <v>3</v>
      </c>
      <c r="M433" s="366" t="s">
        <v>975</v>
      </c>
      <c r="N433" s="367" t="s">
        <v>35</v>
      </c>
      <c r="O433" s="324"/>
    </row>
    <row r="434" ht="15.75" customHeight="1">
      <c r="A434" s="322"/>
      <c r="B434" s="368"/>
      <c r="C434" s="366"/>
      <c r="D434" s="366"/>
      <c r="E434" s="368"/>
      <c r="F434" s="324"/>
      <c r="J434" s="322"/>
      <c r="K434" s="368"/>
      <c r="L434" s="366"/>
      <c r="M434" s="366"/>
      <c r="N434" s="368"/>
      <c r="O434" s="324"/>
    </row>
    <row r="435" ht="15.75" customHeight="1">
      <c r="A435" s="322"/>
      <c r="B435" s="139" t="s">
        <v>1033</v>
      </c>
      <c r="C435" s="344">
        <v>0.05</v>
      </c>
      <c r="D435" s="343">
        <f>'F&amp;B'!F278</f>
        <v>103500</v>
      </c>
      <c r="E435" s="67">
        <f t="shared" ref="E435:E444" si="44">D435*C435</f>
        <v>5175</v>
      </c>
      <c r="F435" s="324"/>
      <c r="J435" s="322"/>
      <c r="K435" s="139" t="s">
        <v>273</v>
      </c>
      <c r="L435" s="344">
        <v>0.055</v>
      </c>
      <c r="M435" s="343">
        <f>'F&amp;B'!F283</f>
        <v>9000</v>
      </c>
      <c r="N435" s="67">
        <f t="shared" ref="N435:N444" si="45">M435*L435</f>
        <v>495</v>
      </c>
      <c r="O435" s="324"/>
    </row>
    <row r="436" ht="15.75" customHeight="1">
      <c r="A436" s="322"/>
      <c r="B436" s="228" t="s">
        <v>769</v>
      </c>
      <c r="C436" s="405">
        <v>1.0</v>
      </c>
      <c r="D436" s="371">
        <f>SAUCES!D46</f>
        <v>965.0953623</v>
      </c>
      <c r="E436" s="67">
        <f t="shared" si="44"/>
        <v>965.0953623</v>
      </c>
      <c r="F436" s="324"/>
      <c r="J436" s="322"/>
      <c r="K436" s="228" t="s">
        <v>1221</v>
      </c>
      <c r="L436" s="405">
        <v>0.015</v>
      </c>
      <c r="M436" s="371">
        <f>'F&amp;B'!F315</f>
        <v>2970</v>
      </c>
      <c r="N436" s="67">
        <f t="shared" si="45"/>
        <v>44.55</v>
      </c>
      <c r="O436" s="324"/>
    </row>
    <row r="437" ht="15.75" customHeight="1">
      <c r="A437" s="322"/>
      <c r="B437" s="228" t="s">
        <v>1180</v>
      </c>
      <c r="C437" s="398">
        <v>0.03</v>
      </c>
      <c r="D437" s="371">
        <f>'F&amp;B'!F283*4.5</f>
        <v>40500</v>
      </c>
      <c r="E437" s="67">
        <f t="shared" si="44"/>
        <v>1215</v>
      </c>
      <c r="F437" s="324"/>
      <c r="J437" s="322"/>
      <c r="K437" s="228" t="s">
        <v>1224</v>
      </c>
      <c r="L437" s="398">
        <v>0.03</v>
      </c>
      <c r="M437" s="371">
        <f>'F&amp;B'!F44/10</f>
        <v>23400</v>
      </c>
      <c r="N437" s="67">
        <f t="shared" si="45"/>
        <v>702</v>
      </c>
      <c r="O437" s="324"/>
    </row>
    <row r="438" ht="15.75" customHeight="1">
      <c r="A438" s="322"/>
      <c r="B438" s="228" t="s">
        <v>1225</v>
      </c>
      <c r="C438" s="398">
        <v>1.0</v>
      </c>
      <c r="D438" s="371">
        <f>'F&amp;B'!F302</f>
        <v>10800</v>
      </c>
      <c r="E438" s="67">
        <f t="shared" si="44"/>
        <v>10800</v>
      </c>
      <c r="F438" s="324"/>
      <c r="J438" s="322"/>
      <c r="K438" s="228" t="s">
        <v>262</v>
      </c>
      <c r="L438" s="398">
        <v>0.02</v>
      </c>
      <c r="M438" s="371">
        <f>'F&amp;B'!F302</f>
        <v>10800</v>
      </c>
      <c r="N438" s="67">
        <f t="shared" si="45"/>
        <v>216</v>
      </c>
      <c r="O438" s="324"/>
    </row>
    <row r="439" ht="15.75" customHeight="1">
      <c r="A439" s="322"/>
      <c r="B439" s="228" t="s">
        <v>1226</v>
      </c>
      <c r="C439" s="398"/>
      <c r="D439" s="371"/>
      <c r="E439" s="67">
        <f t="shared" si="44"/>
        <v>0</v>
      </c>
      <c r="F439" s="324"/>
      <c r="J439" s="322"/>
      <c r="K439" s="228" t="s">
        <v>1227</v>
      </c>
      <c r="L439" s="398">
        <v>0.125</v>
      </c>
      <c r="M439" s="371">
        <f>'F&amp;B'!F91</f>
        <v>119880</v>
      </c>
      <c r="N439" s="67">
        <f t="shared" si="45"/>
        <v>14985</v>
      </c>
      <c r="O439" s="324"/>
    </row>
    <row r="440" ht="15.75" customHeight="1">
      <c r="A440" s="322"/>
      <c r="B440" s="228" t="s">
        <v>1000</v>
      </c>
      <c r="C440" s="398">
        <v>1.0</v>
      </c>
      <c r="D440" s="371">
        <f>'F&amp;B'!F277</f>
        <v>13500</v>
      </c>
      <c r="E440" s="67">
        <f t="shared" si="44"/>
        <v>13500</v>
      </c>
      <c r="F440" s="324"/>
      <c r="J440" s="322"/>
      <c r="K440" s="228"/>
      <c r="L440" s="398"/>
      <c r="M440" s="371"/>
      <c r="N440" s="67">
        <f t="shared" si="45"/>
        <v>0</v>
      </c>
      <c r="O440" s="324"/>
    </row>
    <row r="441" ht="15.75" customHeight="1">
      <c r="A441" s="322"/>
      <c r="B441" s="348"/>
      <c r="C441" s="346"/>
      <c r="D441" s="373"/>
      <c r="E441" s="67">
        <f t="shared" si="44"/>
        <v>0</v>
      </c>
      <c r="F441" s="324"/>
      <c r="J441" s="322"/>
      <c r="K441" s="348"/>
      <c r="L441" s="346"/>
      <c r="M441" s="373"/>
      <c r="N441" s="67">
        <f t="shared" si="45"/>
        <v>0</v>
      </c>
      <c r="O441" s="324"/>
    </row>
    <row r="442" ht="15.75" customHeight="1">
      <c r="A442" s="322"/>
      <c r="B442" s="348"/>
      <c r="C442" s="346"/>
      <c r="D442" s="373"/>
      <c r="E442" s="67">
        <f t="shared" si="44"/>
        <v>0</v>
      </c>
      <c r="F442" s="324"/>
      <c r="J442" s="322"/>
      <c r="K442" s="348"/>
      <c r="L442" s="346"/>
      <c r="M442" s="373"/>
      <c r="N442" s="67">
        <f t="shared" si="45"/>
        <v>0</v>
      </c>
      <c r="O442" s="324"/>
    </row>
    <row r="443" ht="15.75" customHeight="1">
      <c r="A443" s="322"/>
      <c r="B443" s="348"/>
      <c r="C443" s="346"/>
      <c r="D443" s="373"/>
      <c r="E443" s="67">
        <f t="shared" si="44"/>
        <v>0</v>
      </c>
      <c r="F443" s="324"/>
      <c r="J443" s="322"/>
      <c r="K443" s="348"/>
      <c r="L443" s="346"/>
      <c r="M443" s="373"/>
      <c r="N443" s="67">
        <f t="shared" si="45"/>
        <v>0</v>
      </c>
      <c r="O443" s="324"/>
    </row>
    <row r="444" ht="15.75" customHeight="1">
      <c r="A444" s="322"/>
      <c r="B444" s="354"/>
      <c r="C444" s="355"/>
      <c r="D444" s="356"/>
      <c r="E444" s="67">
        <f t="shared" si="44"/>
        <v>0</v>
      </c>
      <c r="F444" s="324"/>
      <c r="J444" s="322"/>
      <c r="K444" s="354"/>
      <c r="L444" s="355"/>
      <c r="M444" s="356"/>
      <c r="N444" s="67">
        <f t="shared" si="45"/>
        <v>0</v>
      </c>
      <c r="O444" s="324"/>
    </row>
    <row r="445" ht="15.75" customHeight="1">
      <c r="A445" s="322"/>
      <c r="B445" s="362" t="s">
        <v>84</v>
      </c>
      <c r="C445" s="374"/>
      <c r="D445" s="374"/>
      <c r="E445" s="375">
        <f>IF(SUM(E435:E444)=0,"",SUM(E435:E444))</f>
        <v>31655.09536</v>
      </c>
      <c r="F445" s="324"/>
      <c r="J445" s="322"/>
      <c r="K445" s="362" t="s">
        <v>84</v>
      </c>
      <c r="L445" s="374"/>
      <c r="M445" s="374"/>
      <c r="N445" s="375">
        <f>IF(SUM(N435:N444)=0,"",SUM(N435:N444))</f>
        <v>16442.55</v>
      </c>
      <c r="O445" s="324"/>
    </row>
    <row r="446" ht="15.75" customHeight="1">
      <c r="A446" s="322"/>
      <c r="B446" s="360"/>
      <c r="C446" s="360"/>
      <c r="D446" s="360"/>
      <c r="E446" s="361"/>
      <c r="F446" s="324"/>
      <c r="J446" s="322"/>
      <c r="K446" s="360"/>
      <c r="L446" s="360"/>
      <c r="M446" s="360"/>
      <c r="N446" s="361"/>
      <c r="O446" s="324"/>
    </row>
    <row r="447" ht="15.75" customHeight="1">
      <c r="A447" s="322"/>
      <c r="B447" s="34" t="s">
        <v>17</v>
      </c>
      <c r="C447" s="35"/>
      <c r="D447" s="35"/>
      <c r="E447" s="35"/>
      <c r="F447" s="324"/>
      <c r="J447" s="322"/>
      <c r="K447" s="34" t="s">
        <v>17</v>
      </c>
      <c r="L447" s="35"/>
      <c r="M447" s="35"/>
      <c r="N447" s="35"/>
      <c r="O447" s="324"/>
    </row>
    <row r="448" ht="15.75" customHeight="1">
      <c r="A448" s="322"/>
      <c r="B448" s="52" t="s">
        <v>42</v>
      </c>
      <c r="C448" s="54"/>
      <c r="D448" s="54"/>
      <c r="E448" s="56" t="s">
        <v>35</v>
      </c>
      <c r="F448" s="324"/>
      <c r="J448" s="322"/>
      <c r="K448" s="52" t="s">
        <v>42</v>
      </c>
      <c r="L448" s="54"/>
      <c r="M448" s="54"/>
      <c r="N448" s="56" t="s">
        <v>35</v>
      </c>
      <c r="O448" s="324"/>
    </row>
    <row r="449" ht="15.75" customHeight="1">
      <c r="A449" s="322"/>
      <c r="B449" s="60" t="s">
        <v>40</v>
      </c>
      <c r="C449" s="343">
        <f>'UTL COST'!$B$3</f>
        <v>369000</v>
      </c>
      <c r="D449" s="379">
        <f>'UTL COST'!$C$3</f>
        <v>0.0075</v>
      </c>
      <c r="E449" s="67">
        <v>0.0</v>
      </c>
      <c r="F449" s="324"/>
      <c r="J449" s="322"/>
      <c r="K449" s="60" t="s">
        <v>40</v>
      </c>
      <c r="L449" s="343">
        <f>'UTL COST'!$B$3</f>
        <v>369000</v>
      </c>
      <c r="M449" s="379">
        <f>'UTL COST'!$C$3</f>
        <v>0.0075</v>
      </c>
      <c r="N449" s="67">
        <v>0.0</v>
      </c>
      <c r="O449" s="324"/>
    </row>
    <row r="450" ht="15.75" customHeight="1">
      <c r="A450" s="322"/>
      <c r="B450" s="75" t="s">
        <v>51</v>
      </c>
      <c r="C450" s="371" t="str">
        <f>'UTL COST'!$B$4</f>
        <v>#REF!</v>
      </c>
      <c r="D450" s="382">
        <f>'UTL COST'!$C$4</f>
        <v>7000</v>
      </c>
      <c r="E450" s="76" t="str">
        <f>'UTL COST'!$D$4</f>
        <v>#REF!</v>
      </c>
      <c r="F450" s="324"/>
      <c r="J450" s="322"/>
      <c r="K450" s="75" t="s">
        <v>51</v>
      </c>
      <c r="L450" s="371" t="str">
        <f>'UTL COST'!$B$4</f>
        <v>#REF!</v>
      </c>
      <c r="M450" s="382">
        <f>'UTL COST'!$C$4</f>
        <v>7000</v>
      </c>
      <c r="N450" s="76" t="str">
        <f>'UTL COST'!$D$4</f>
        <v>#REF!</v>
      </c>
      <c r="O450" s="324"/>
    </row>
    <row r="451" ht="15.75" customHeight="1">
      <c r="A451" s="322"/>
      <c r="B451" s="75" t="s">
        <v>59</v>
      </c>
      <c r="C451" s="371" t="str">
        <f>'UTL COST'!$B$5</f>
        <v>#REF!</v>
      </c>
      <c r="D451" s="382">
        <f>'UTL COST'!$C$5</f>
        <v>45000</v>
      </c>
      <c r="E451" s="76" t="str">
        <f>'UTL COST'!$D$5</f>
        <v>#REF!</v>
      </c>
      <c r="F451" s="324"/>
      <c r="J451" s="322"/>
      <c r="K451" s="75" t="s">
        <v>59</v>
      </c>
      <c r="L451" s="371" t="str">
        <f>'UTL COST'!$B$5</f>
        <v>#REF!</v>
      </c>
      <c r="M451" s="382">
        <f>'UTL COST'!$C$5</f>
        <v>45000</v>
      </c>
      <c r="N451" s="76" t="str">
        <f>'UTL COST'!$D$5</f>
        <v>#REF!</v>
      </c>
      <c r="O451" s="324"/>
    </row>
    <row r="452" ht="15.75" customHeight="1">
      <c r="A452" s="322"/>
      <c r="B452" s="87" t="s">
        <v>78</v>
      </c>
      <c r="C452" s="371" t="str">
        <f>'UTL COST'!$B$6</f>
        <v>#REF!</v>
      </c>
      <c r="D452" s="383">
        <f>'UTL COST'!$C$6</f>
        <v>525</v>
      </c>
      <c r="E452" s="89">
        <v>0.1</v>
      </c>
      <c r="F452" s="324"/>
      <c r="J452" s="322"/>
      <c r="K452" s="87" t="s">
        <v>78</v>
      </c>
      <c r="L452" s="371" t="str">
        <f>'UTL COST'!$B$6</f>
        <v>#REF!</v>
      </c>
      <c r="M452" s="383">
        <f>'UTL COST'!$C$6</f>
        <v>525</v>
      </c>
      <c r="N452" s="89">
        <v>0.1</v>
      </c>
      <c r="O452" s="324"/>
    </row>
    <row r="453" ht="15.75" customHeight="1">
      <c r="A453" s="322"/>
      <c r="B453" s="34" t="s">
        <v>84</v>
      </c>
      <c r="C453" s="102"/>
      <c r="D453" s="102"/>
      <c r="E453" s="104" t="str">
        <f>IF(SUM(E449:E452)=0,"",SUM(E449:E452))</f>
        <v>#REF!</v>
      </c>
      <c r="F453" s="324"/>
      <c r="J453" s="322"/>
      <c r="K453" s="34" t="s">
        <v>84</v>
      </c>
      <c r="L453" s="102"/>
      <c r="M453" s="102"/>
      <c r="N453" s="104" t="str">
        <f>IF(SUM(N449:N452)=0,"",SUM(N449:N452))</f>
        <v>#REF!</v>
      </c>
      <c r="O453" s="324"/>
    </row>
    <row r="454" ht="15.75" customHeight="1">
      <c r="A454" s="322"/>
      <c r="B454" s="360"/>
      <c r="C454" s="360"/>
      <c r="D454" s="360"/>
      <c r="E454" s="361"/>
      <c r="F454" s="324"/>
      <c r="J454" s="322"/>
      <c r="K454" s="360"/>
      <c r="L454" s="360"/>
      <c r="M454" s="360"/>
      <c r="N454" s="361"/>
      <c r="O454" s="324"/>
    </row>
    <row r="455" ht="15.75" customHeight="1"/>
    <row r="456" ht="15.75" customHeight="1"/>
    <row r="457" ht="15.75" customHeight="1">
      <c r="A457" s="322"/>
      <c r="B457" s="322"/>
      <c r="C457" s="322"/>
      <c r="D457" s="322"/>
      <c r="E457" s="323"/>
      <c r="F457" s="324"/>
      <c r="G457" s="324"/>
      <c r="J457" s="322"/>
      <c r="K457" s="322"/>
      <c r="L457" s="322"/>
      <c r="M457" s="322"/>
      <c r="N457" s="323"/>
      <c r="O457" s="324"/>
    </row>
    <row r="458" ht="15.75" customHeight="1">
      <c r="A458" s="322"/>
      <c r="B458" s="325"/>
      <c r="C458" s="322"/>
      <c r="D458" s="322"/>
      <c r="E458" s="323"/>
      <c r="F458" s="326"/>
      <c r="G458" s="326"/>
      <c r="J458" s="322"/>
      <c r="K458" s="325"/>
      <c r="L458" s="322"/>
      <c r="M458" s="322"/>
      <c r="N458" s="323"/>
      <c r="O458" s="326"/>
    </row>
    <row r="459" ht="15.75" customHeight="1">
      <c r="A459" s="322"/>
      <c r="B459" s="327" t="s">
        <v>931</v>
      </c>
      <c r="C459" s="330" t="s">
        <v>1230</v>
      </c>
      <c r="D459" s="329"/>
      <c r="E459" s="323"/>
      <c r="F459" s="326"/>
      <c r="G459" s="326"/>
      <c r="J459" s="322"/>
      <c r="K459" s="327" t="s">
        <v>931</v>
      </c>
      <c r="L459" s="330" t="s">
        <v>264</v>
      </c>
      <c r="M459" s="329"/>
      <c r="N459" s="323"/>
      <c r="O459" s="326"/>
    </row>
    <row r="460" ht="15.75" customHeight="1">
      <c r="A460" s="322"/>
      <c r="B460" s="325"/>
      <c r="C460" s="322"/>
      <c r="D460" s="322"/>
      <c r="E460" s="323"/>
      <c r="F460" s="326"/>
      <c r="G460" s="326"/>
      <c r="J460" s="322"/>
      <c r="K460" s="325"/>
      <c r="L460" s="322"/>
      <c r="M460" s="322"/>
      <c r="N460" s="323"/>
      <c r="O460" s="326"/>
    </row>
    <row r="461" ht="15.75" customHeight="1">
      <c r="A461" s="322"/>
      <c r="B461" s="327" t="s">
        <v>935</v>
      </c>
      <c r="C461" s="331">
        <v>140000.0</v>
      </c>
      <c r="D461" s="329"/>
      <c r="E461" s="323"/>
      <c r="F461" s="326"/>
      <c r="G461" s="326"/>
      <c r="J461" s="322"/>
      <c r="K461" s="327" t="s">
        <v>935</v>
      </c>
      <c r="L461" s="331">
        <f>N461*90000</f>
        <v>1350000</v>
      </c>
      <c r="M461" s="329"/>
      <c r="N461" s="394">
        <v>15.0</v>
      </c>
      <c r="O461" s="326"/>
    </row>
    <row r="462" ht="15.75" customHeight="1">
      <c r="A462" s="322"/>
      <c r="B462" s="327"/>
      <c r="C462" s="332"/>
      <c r="D462" s="332"/>
      <c r="E462" s="323"/>
      <c r="F462" s="326"/>
      <c r="G462" s="326"/>
      <c r="J462" s="322"/>
      <c r="K462" s="327"/>
      <c r="L462" s="332"/>
      <c r="M462" s="332"/>
      <c r="N462" s="323"/>
      <c r="O462" s="326"/>
    </row>
    <row r="463" ht="15.75" customHeight="1">
      <c r="A463" s="322"/>
      <c r="B463" s="327" t="s">
        <v>939</v>
      </c>
      <c r="C463" s="333" t="str">
        <f>IF(SUM(E475,E490,E498)=0,"",SUM(E475,E490,E498))</f>
        <v>#REF!</v>
      </c>
      <c r="D463" s="321"/>
      <c r="E463" s="323" t="str">
        <f>C463/90000</f>
        <v>#REF!</v>
      </c>
      <c r="F463" s="326"/>
      <c r="G463" s="326"/>
      <c r="J463" s="322"/>
      <c r="K463" s="327" t="s">
        <v>939</v>
      </c>
      <c r="L463" s="333" t="str">
        <f>IF(SUM(N475,N490,N498)=0,"",SUM(N475,N490,N498))</f>
        <v>#REF!</v>
      </c>
      <c r="M463" s="321"/>
      <c r="N463" s="323" t="str">
        <f>L463/90000</f>
        <v>#REF!</v>
      </c>
      <c r="O463" s="326"/>
    </row>
    <row r="464" ht="15.75" customHeight="1">
      <c r="A464" s="322"/>
      <c r="B464" s="327"/>
      <c r="C464" s="334"/>
      <c r="D464" s="334"/>
      <c r="E464" s="323"/>
      <c r="F464" s="326"/>
      <c r="G464" s="326"/>
      <c r="J464" s="322"/>
      <c r="K464" s="327"/>
      <c r="L464" s="334"/>
      <c r="M464" s="334"/>
      <c r="N464" s="323"/>
      <c r="O464" s="326"/>
    </row>
    <row r="465" ht="15.75" customHeight="1">
      <c r="A465" s="322"/>
      <c r="B465" s="327" t="s">
        <v>946</v>
      </c>
      <c r="C465" s="335" t="str">
        <f>IF(C463="","",IF(ISBLANK(C461),"",C463/C461))</f>
        <v>#REF!</v>
      </c>
      <c r="D465" s="321"/>
      <c r="E465" s="323"/>
      <c r="F465" s="326"/>
      <c r="G465" s="326"/>
      <c r="J465" s="322"/>
      <c r="K465" s="327" t="s">
        <v>946</v>
      </c>
      <c r="L465" s="335" t="str">
        <f>IF(L463="","",IF(ISBLANK(L461),"",L463/L461))</f>
        <v>#REF!</v>
      </c>
      <c r="M465" s="321"/>
      <c r="N465" s="323"/>
      <c r="O465" s="326"/>
    </row>
    <row r="466" ht="15.75" customHeight="1">
      <c r="A466" s="322"/>
      <c r="B466" s="327"/>
      <c r="C466" s="334"/>
      <c r="D466" s="334"/>
      <c r="E466" s="323"/>
      <c r="F466" s="326"/>
      <c r="G466" s="326"/>
      <c r="J466" s="322"/>
      <c r="K466" s="327"/>
      <c r="L466" s="334"/>
      <c r="M466" s="334"/>
      <c r="N466" s="323"/>
      <c r="O466" s="326"/>
    </row>
    <row r="467" ht="15.75" customHeight="1">
      <c r="A467" s="322"/>
      <c r="B467" s="327" t="s">
        <v>950</v>
      </c>
      <c r="C467" s="333" t="str">
        <f>C461-C463</f>
        <v>#REF!</v>
      </c>
      <c r="D467" s="321"/>
      <c r="E467" s="323"/>
      <c r="F467" s="326"/>
      <c r="G467" s="326"/>
      <c r="J467" s="322"/>
      <c r="K467" s="327" t="s">
        <v>950</v>
      </c>
      <c r="L467" s="333" t="str">
        <f>L461-L463</f>
        <v>#REF!</v>
      </c>
      <c r="M467" s="321"/>
      <c r="N467" s="323"/>
      <c r="O467" s="326"/>
    </row>
    <row r="468" ht="15.75" customHeight="1">
      <c r="A468" s="322"/>
      <c r="B468" s="322"/>
      <c r="C468" s="322"/>
      <c r="D468" s="322"/>
      <c r="E468" s="323"/>
      <c r="F468" s="324"/>
      <c r="G468" s="324"/>
      <c r="J468" s="322"/>
      <c r="K468" s="322"/>
      <c r="L468" s="322"/>
      <c r="M468" s="322"/>
      <c r="N468" s="323"/>
      <c r="O468" s="324"/>
    </row>
    <row r="469" ht="15.75" customHeight="1">
      <c r="A469" s="322"/>
      <c r="B469" s="322"/>
      <c r="C469" s="322"/>
      <c r="D469" s="322"/>
      <c r="E469" s="337"/>
      <c r="F469" s="324"/>
      <c r="G469" s="324"/>
      <c r="J469" s="322"/>
      <c r="K469" s="322"/>
      <c r="L469" s="322"/>
      <c r="M469" s="322"/>
      <c r="N469" s="337"/>
      <c r="O469" s="324"/>
    </row>
    <row r="470" ht="15.75" customHeight="1">
      <c r="A470" s="322"/>
      <c r="B470" s="338" t="s">
        <v>951</v>
      </c>
      <c r="C470" s="339"/>
      <c r="D470" s="339"/>
      <c r="E470" s="339"/>
      <c r="F470" s="324"/>
      <c r="G470" s="324"/>
      <c r="J470" s="322"/>
      <c r="K470" s="338" t="s">
        <v>951</v>
      </c>
      <c r="L470" s="339"/>
      <c r="M470" s="339"/>
      <c r="N470" s="339"/>
      <c r="O470" s="324"/>
    </row>
    <row r="471" ht="15.75" customHeight="1">
      <c r="A471" s="322"/>
      <c r="B471" s="340" t="s">
        <v>953</v>
      </c>
      <c r="C471" s="341" t="s">
        <v>954</v>
      </c>
      <c r="D471" s="341" t="s">
        <v>955</v>
      </c>
      <c r="E471" s="341" t="s">
        <v>35</v>
      </c>
      <c r="F471" s="324"/>
      <c r="G471" s="324"/>
      <c r="J471" s="322"/>
      <c r="K471" s="340" t="s">
        <v>953</v>
      </c>
      <c r="L471" s="341" t="s">
        <v>954</v>
      </c>
      <c r="M471" s="341" t="s">
        <v>955</v>
      </c>
      <c r="N471" s="341" t="s">
        <v>35</v>
      </c>
      <c r="O471" s="324"/>
    </row>
    <row r="472" ht="15.75" customHeight="1">
      <c r="A472" s="322"/>
      <c r="B472" s="60"/>
      <c r="C472" s="342"/>
      <c r="D472" s="343"/>
      <c r="E472" s="67"/>
      <c r="F472" s="324"/>
      <c r="G472" s="324"/>
      <c r="J472" s="322"/>
      <c r="K472" s="139" t="s">
        <v>1211</v>
      </c>
      <c r="L472" s="344">
        <v>1.0</v>
      </c>
      <c r="M472" s="343">
        <f>'F&amp;B'!F318</f>
        <v>9000</v>
      </c>
      <c r="N472" s="67">
        <f t="shared" ref="N472:N474" si="46">IF(OR(ISBLANK(L472),ISBLANK(M472)),"",M472*L472)</f>
        <v>9000</v>
      </c>
      <c r="O472" s="324"/>
    </row>
    <row r="473" ht="15.75" customHeight="1">
      <c r="A473" s="322"/>
      <c r="B473" s="75" t="s">
        <v>1109</v>
      </c>
      <c r="C473" s="370">
        <v>1.0</v>
      </c>
      <c r="D473" s="371">
        <f>SAUCES!$L$133</f>
        <v>1303.660727</v>
      </c>
      <c r="E473" s="67">
        <f t="shared" ref="E473:E474" si="47">IF(OR(ISBLANK(C473),ISBLANK(D473)),"",D473*C473)</f>
        <v>1303.660727</v>
      </c>
      <c r="F473" s="324"/>
      <c r="G473" s="324"/>
      <c r="J473" s="322"/>
      <c r="K473" s="228" t="s">
        <v>714</v>
      </c>
      <c r="L473" s="405">
        <v>0.03</v>
      </c>
      <c r="M473" s="371">
        <f>'F&amp;B'!F309</f>
        <v>22500</v>
      </c>
      <c r="N473" s="67">
        <f t="shared" si="46"/>
        <v>675</v>
      </c>
      <c r="O473" s="324"/>
    </row>
    <row r="474" ht="15.75" customHeight="1">
      <c r="A474" s="322"/>
      <c r="B474" s="354"/>
      <c r="C474" s="355"/>
      <c r="D474" s="356"/>
      <c r="E474" s="67" t="str">
        <f t="shared" si="47"/>
        <v/>
      </c>
      <c r="F474" s="324"/>
      <c r="G474" s="324"/>
      <c r="J474" s="322"/>
      <c r="K474" s="350" t="s">
        <v>1231</v>
      </c>
      <c r="L474" s="351">
        <v>0.2</v>
      </c>
      <c r="M474" s="371">
        <f>'F&amp;B'!F289</f>
        <v>5400</v>
      </c>
      <c r="N474" s="67">
        <f t="shared" si="46"/>
        <v>1080</v>
      </c>
      <c r="O474" s="324"/>
    </row>
    <row r="475" ht="15.75" customHeight="1">
      <c r="A475" s="322"/>
      <c r="B475" s="338" t="s">
        <v>84</v>
      </c>
      <c r="C475" s="358"/>
      <c r="D475" s="358"/>
      <c r="E475" s="359">
        <f>IF(SUM(E472:E474)=0,"",SUM(E472:E474))</f>
        <v>1303.660727</v>
      </c>
      <c r="F475" s="324"/>
      <c r="G475" s="324"/>
      <c r="J475" s="322"/>
      <c r="K475" s="338" t="s">
        <v>84</v>
      </c>
      <c r="L475" s="358"/>
      <c r="M475" s="358"/>
      <c r="N475" s="359">
        <f>IF(SUM(N472:N474)=0,"",SUM(N472:N474))</f>
        <v>10755</v>
      </c>
      <c r="O475" s="324"/>
    </row>
    <row r="476" ht="15.75" customHeight="1">
      <c r="A476" s="322"/>
      <c r="B476" s="360"/>
      <c r="C476" s="360"/>
      <c r="D476" s="360"/>
      <c r="E476" s="361"/>
      <c r="F476" s="324"/>
      <c r="G476" s="324"/>
      <c r="J476" s="322"/>
      <c r="K476" s="360"/>
      <c r="L476" s="360"/>
      <c r="M476" s="360"/>
      <c r="N476" s="361"/>
      <c r="O476" s="324"/>
    </row>
    <row r="477" ht="15.75" customHeight="1">
      <c r="A477" s="322"/>
      <c r="B477" s="362" t="s">
        <v>972</v>
      </c>
      <c r="C477" s="363"/>
      <c r="D477" s="363"/>
      <c r="E477" s="363"/>
      <c r="F477" s="324"/>
      <c r="G477" s="324"/>
      <c r="J477" s="322"/>
      <c r="K477" s="362" t="s">
        <v>972</v>
      </c>
      <c r="L477" s="363"/>
      <c r="M477" s="363"/>
      <c r="N477" s="363"/>
      <c r="O477" s="324"/>
    </row>
    <row r="478" ht="15.75" customHeight="1">
      <c r="A478" s="322"/>
      <c r="B478" s="365" t="s">
        <v>953</v>
      </c>
      <c r="C478" s="366" t="s">
        <v>3</v>
      </c>
      <c r="D478" s="366" t="s">
        <v>975</v>
      </c>
      <c r="E478" s="367" t="s">
        <v>35</v>
      </c>
      <c r="F478" s="324"/>
      <c r="G478" s="324"/>
      <c r="J478" s="322"/>
      <c r="K478" s="365" t="s">
        <v>953</v>
      </c>
      <c r="L478" s="366" t="s">
        <v>3</v>
      </c>
      <c r="M478" s="366" t="s">
        <v>975</v>
      </c>
      <c r="N478" s="367" t="s">
        <v>35</v>
      </c>
      <c r="O478" s="324"/>
    </row>
    <row r="479" ht="15.75" customHeight="1">
      <c r="A479" s="322"/>
      <c r="B479" s="368"/>
      <c r="C479" s="366"/>
      <c r="D479" s="366"/>
      <c r="E479" s="368"/>
      <c r="F479" s="324"/>
      <c r="G479" s="324"/>
      <c r="J479" s="322"/>
      <c r="K479" s="368"/>
      <c r="L479" s="366"/>
      <c r="M479" s="366"/>
      <c r="N479" s="368"/>
      <c r="O479" s="324"/>
    </row>
    <row r="480" ht="15.75" customHeight="1">
      <c r="A480" s="322"/>
      <c r="B480" s="60" t="s">
        <v>1098</v>
      </c>
      <c r="C480" s="342">
        <v>1.0</v>
      </c>
      <c r="D480" s="343">
        <f>'F&amp;B'!$F$280</f>
        <v>2970</v>
      </c>
      <c r="E480" s="67">
        <f t="shared" ref="E480:E482" si="48">D480*C480</f>
        <v>2970</v>
      </c>
      <c r="F480" s="324"/>
      <c r="G480" s="324"/>
      <c r="J480" s="322"/>
      <c r="K480" s="139" t="s">
        <v>1233</v>
      </c>
      <c r="L480" s="344">
        <v>0.05</v>
      </c>
      <c r="M480" s="343">
        <f>'F&amp;B'!F78</f>
        <v>117000</v>
      </c>
      <c r="N480" s="67">
        <f t="shared" ref="N480:N489" si="49">M480*L480</f>
        <v>5850</v>
      </c>
      <c r="O480" s="324"/>
    </row>
    <row r="481" ht="15.75" customHeight="1">
      <c r="A481" s="322"/>
      <c r="B481" s="75" t="s">
        <v>1033</v>
      </c>
      <c r="C481" s="370">
        <v>0.05</v>
      </c>
      <c r="D481" s="371">
        <f>'F&amp;B'!$F$278</f>
        <v>103500</v>
      </c>
      <c r="E481" s="67">
        <f t="shared" si="48"/>
        <v>5175</v>
      </c>
      <c r="F481" s="324"/>
      <c r="G481" s="324"/>
      <c r="J481" s="322"/>
      <c r="K481" s="228" t="s">
        <v>1113</v>
      </c>
      <c r="L481" s="405">
        <v>0.03</v>
      </c>
      <c r="M481" s="371">
        <f>'F&amp;B'!F146</f>
        <v>65250</v>
      </c>
      <c r="N481" s="67">
        <f t="shared" si="49"/>
        <v>1957.5</v>
      </c>
      <c r="O481" s="324"/>
    </row>
    <row r="482" ht="15.75" customHeight="1">
      <c r="A482" s="322"/>
      <c r="B482" s="75" t="s">
        <v>273</v>
      </c>
      <c r="C482" s="370">
        <v>0.03</v>
      </c>
      <c r="D482" s="371">
        <f>'F&amp;B'!$F$283</f>
        <v>9000</v>
      </c>
      <c r="E482" s="67">
        <f t="shared" si="48"/>
        <v>270</v>
      </c>
      <c r="F482" s="324"/>
      <c r="G482" s="324"/>
      <c r="J482" s="322"/>
      <c r="K482" s="228" t="s">
        <v>1234</v>
      </c>
      <c r="L482" s="405">
        <v>0.03</v>
      </c>
      <c r="M482" s="371">
        <f>'F&amp;B'!F151</f>
        <v>99000</v>
      </c>
      <c r="N482" s="67">
        <f t="shared" si="49"/>
        <v>2970</v>
      </c>
      <c r="O482" s="324"/>
    </row>
    <row r="483" ht="15.75" customHeight="1">
      <c r="A483" s="322"/>
      <c r="B483" s="75" t="s">
        <v>769</v>
      </c>
      <c r="C483" s="346">
        <v>0.06</v>
      </c>
      <c r="D483" s="371">
        <f>SAUCES!$D$36</f>
        <v>21446.56361</v>
      </c>
      <c r="E483" s="67"/>
      <c r="F483" s="324"/>
      <c r="G483" s="324"/>
      <c r="J483" s="322"/>
      <c r="K483" s="228" t="s">
        <v>703</v>
      </c>
      <c r="L483" s="398">
        <v>0.14</v>
      </c>
      <c r="M483" s="371">
        <f>'F&amp;B'!F229</f>
        <v>81000</v>
      </c>
      <c r="N483" s="67">
        <f t="shared" si="49"/>
        <v>11340</v>
      </c>
      <c r="O483" s="324"/>
    </row>
    <row r="484" ht="15.75" customHeight="1">
      <c r="A484" s="322"/>
      <c r="B484" s="228" t="s">
        <v>1174</v>
      </c>
      <c r="C484" s="405">
        <v>0.1</v>
      </c>
      <c r="D484" s="371">
        <f>0.67*90000</f>
        <v>60300</v>
      </c>
      <c r="E484" s="67">
        <f t="shared" ref="E484:E489" si="50">D484*C484</f>
        <v>6030</v>
      </c>
      <c r="F484" s="324"/>
      <c r="G484" s="324"/>
      <c r="J484" s="322"/>
      <c r="K484" s="228" t="s">
        <v>1235</v>
      </c>
      <c r="L484" s="405">
        <v>1.0</v>
      </c>
      <c r="M484" s="371">
        <f>SAUCES!K16</f>
        <v>22000</v>
      </c>
      <c r="N484" s="67">
        <f t="shared" si="49"/>
        <v>22000</v>
      </c>
      <c r="O484" s="324"/>
    </row>
    <row r="485" ht="15.75" customHeight="1">
      <c r="A485" s="322"/>
      <c r="B485" s="75" t="s">
        <v>1114</v>
      </c>
      <c r="C485" s="398">
        <v>0.05</v>
      </c>
      <c r="D485" s="371">
        <f>'F&amp;B'!$F$300</f>
        <v>13500</v>
      </c>
      <c r="E485" s="67">
        <f t="shared" si="50"/>
        <v>675</v>
      </c>
      <c r="F485" s="324"/>
      <c r="G485" s="324"/>
      <c r="J485" s="322"/>
      <c r="K485" s="75"/>
      <c r="L485" s="398"/>
      <c r="M485" s="371"/>
      <c r="N485" s="67">
        <f t="shared" si="49"/>
        <v>0</v>
      </c>
      <c r="O485" s="324"/>
    </row>
    <row r="486" ht="15.75" customHeight="1">
      <c r="A486" s="322"/>
      <c r="B486" s="348"/>
      <c r="C486" s="346"/>
      <c r="D486" s="373"/>
      <c r="E486" s="67">
        <f t="shared" si="50"/>
        <v>0</v>
      </c>
      <c r="F486" s="324"/>
      <c r="G486" s="324"/>
      <c r="J486" s="322"/>
      <c r="K486" s="348"/>
      <c r="L486" s="346"/>
      <c r="M486" s="373"/>
      <c r="N486" s="67">
        <f t="shared" si="49"/>
        <v>0</v>
      </c>
      <c r="O486" s="324"/>
    </row>
    <row r="487" ht="15.75" customHeight="1">
      <c r="A487" s="322"/>
      <c r="B487" s="348"/>
      <c r="C487" s="346"/>
      <c r="D487" s="373"/>
      <c r="E487" s="67">
        <f t="shared" si="50"/>
        <v>0</v>
      </c>
      <c r="F487" s="324"/>
      <c r="G487" s="324"/>
      <c r="J487" s="322"/>
      <c r="K487" s="348"/>
      <c r="L487" s="346"/>
      <c r="M487" s="373"/>
      <c r="N487" s="67">
        <f t="shared" si="49"/>
        <v>0</v>
      </c>
      <c r="O487" s="324"/>
    </row>
    <row r="488" ht="15.75" customHeight="1">
      <c r="A488" s="322"/>
      <c r="B488" s="348"/>
      <c r="C488" s="346"/>
      <c r="D488" s="373"/>
      <c r="E488" s="67">
        <f t="shared" si="50"/>
        <v>0</v>
      </c>
      <c r="F488" s="324"/>
      <c r="G488" s="324"/>
      <c r="J488" s="322"/>
      <c r="K488" s="348"/>
      <c r="L488" s="346"/>
      <c r="M488" s="373"/>
      <c r="N488" s="67">
        <f t="shared" si="49"/>
        <v>0</v>
      </c>
      <c r="O488" s="324"/>
    </row>
    <row r="489" ht="15.75" customHeight="1">
      <c r="A489" s="322"/>
      <c r="B489" s="354"/>
      <c r="C489" s="355"/>
      <c r="D489" s="356"/>
      <c r="E489" s="67">
        <f t="shared" si="50"/>
        <v>0</v>
      </c>
      <c r="F489" s="324"/>
      <c r="G489" s="324"/>
      <c r="J489" s="322"/>
      <c r="K489" s="354"/>
      <c r="L489" s="355"/>
      <c r="M489" s="356"/>
      <c r="N489" s="67">
        <f t="shared" si="49"/>
        <v>0</v>
      </c>
      <c r="O489" s="324"/>
    </row>
    <row r="490" ht="15.75" customHeight="1">
      <c r="A490" s="322"/>
      <c r="B490" s="362" t="s">
        <v>84</v>
      </c>
      <c r="C490" s="374"/>
      <c r="D490" s="374"/>
      <c r="E490" s="375">
        <f>IF(SUM(E480:E489)=0,"",SUM(E480:E489))</f>
        <v>15120</v>
      </c>
      <c r="F490" s="324"/>
      <c r="G490" s="324"/>
      <c r="J490" s="322"/>
      <c r="K490" s="362" t="s">
        <v>84</v>
      </c>
      <c r="L490" s="374"/>
      <c r="M490" s="374"/>
      <c r="N490" s="375">
        <f>IF(SUM(N480:N489)=0,"",SUM(N480:N489))</f>
        <v>44117.5</v>
      </c>
      <c r="O490" s="324"/>
    </row>
    <row r="491" ht="15.75" customHeight="1">
      <c r="A491" s="322"/>
      <c r="B491" s="360"/>
      <c r="C491" s="360"/>
      <c r="D491" s="360"/>
      <c r="E491" s="361"/>
      <c r="F491" s="324"/>
      <c r="G491" s="324"/>
      <c r="J491" s="322"/>
      <c r="K491" s="360"/>
      <c r="L491" s="360"/>
      <c r="M491" s="360"/>
      <c r="N491" s="361"/>
      <c r="O491" s="324"/>
    </row>
    <row r="492" ht="15.75" customHeight="1">
      <c r="A492" s="322"/>
      <c r="B492" s="34" t="s">
        <v>17</v>
      </c>
      <c r="C492" s="35"/>
      <c r="D492" s="35"/>
      <c r="E492" s="35"/>
      <c r="F492" s="324"/>
      <c r="G492" s="324"/>
      <c r="J492" s="322"/>
      <c r="K492" s="34" t="s">
        <v>17</v>
      </c>
      <c r="L492" s="35"/>
      <c r="M492" s="35"/>
      <c r="N492" s="35"/>
      <c r="O492" s="324"/>
    </row>
    <row r="493" ht="15.75" customHeight="1">
      <c r="A493" s="322"/>
      <c r="B493" s="52" t="s">
        <v>42</v>
      </c>
      <c r="C493" s="54"/>
      <c r="D493" s="54"/>
      <c r="E493" s="56" t="s">
        <v>35</v>
      </c>
      <c r="F493" s="324"/>
      <c r="G493" s="324"/>
      <c r="J493" s="322"/>
      <c r="K493" s="52" t="s">
        <v>42</v>
      </c>
      <c r="L493" s="54"/>
      <c r="M493" s="54"/>
      <c r="N493" s="56" t="s">
        <v>35</v>
      </c>
      <c r="O493" s="324"/>
    </row>
    <row r="494" ht="15.75" customHeight="1">
      <c r="A494" s="322"/>
      <c r="B494" s="60" t="s">
        <v>40</v>
      </c>
      <c r="C494" s="343">
        <f>'UTL COST'!$B$3</f>
        <v>369000</v>
      </c>
      <c r="D494" s="379">
        <f>'UTL COST'!$C$3</f>
        <v>0.0075</v>
      </c>
      <c r="E494" s="67">
        <v>0.0</v>
      </c>
      <c r="F494" s="324"/>
      <c r="G494" s="324"/>
      <c r="J494" s="322"/>
      <c r="K494" s="60" t="s">
        <v>40</v>
      </c>
      <c r="L494" s="343">
        <f>'UTL COST'!$B$3</f>
        <v>369000</v>
      </c>
      <c r="M494" s="379">
        <f>'UTL COST'!$C$3</f>
        <v>0.0075</v>
      </c>
      <c r="N494" s="67">
        <v>0.0</v>
      </c>
      <c r="O494" s="324"/>
    </row>
    <row r="495" ht="15.75" customHeight="1">
      <c r="A495" s="322"/>
      <c r="B495" s="75" t="s">
        <v>51</v>
      </c>
      <c r="C495" s="371" t="str">
        <f>'UTL COST'!$B$4</f>
        <v>#REF!</v>
      </c>
      <c r="D495" s="382">
        <f>'UTL COST'!$C$4</f>
        <v>7000</v>
      </c>
      <c r="E495" s="76">
        <v>0.0</v>
      </c>
      <c r="F495" s="324"/>
      <c r="G495" s="324"/>
      <c r="J495" s="322"/>
      <c r="K495" s="75" t="s">
        <v>51</v>
      </c>
      <c r="L495" s="371" t="str">
        <f>'UTL COST'!$B$4</f>
        <v>#REF!</v>
      </c>
      <c r="M495" s="382">
        <f>'UTL COST'!$C$4</f>
        <v>7000</v>
      </c>
      <c r="N495" s="76">
        <v>0.0</v>
      </c>
      <c r="O495" s="324"/>
    </row>
    <row r="496" ht="15.75" customHeight="1">
      <c r="A496" s="322"/>
      <c r="B496" s="75" t="s">
        <v>59</v>
      </c>
      <c r="C496" s="371" t="str">
        <f>'UTL COST'!$B$5</f>
        <v>#REF!</v>
      </c>
      <c r="D496" s="382">
        <f>'UTL COST'!$C$5</f>
        <v>45000</v>
      </c>
      <c r="E496" s="76" t="str">
        <f>'UTL COST'!$D$5</f>
        <v>#REF!</v>
      </c>
      <c r="F496" s="324"/>
      <c r="G496" s="324"/>
      <c r="J496" s="322"/>
      <c r="K496" s="75" t="s">
        <v>59</v>
      </c>
      <c r="L496" s="371" t="str">
        <f>'UTL COST'!$B$5</f>
        <v>#REF!</v>
      </c>
      <c r="M496" s="382">
        <f>'UTL COST'!$C$5</f>
        <v>45000</v>
      </c>
      <c r="N496" s="76" t="str">
        <f>'UTL COST'!$D$5</f>
        <v>#REF!</v>
      </c>
      <c r="O496" s="324"/>
    </row>
    <row r="497" ht="15.75" customHeight="1">
      <c r="A497" s="322"/>
      <c r="B497" s="87" t="s">
        <v>78</v>
      </c>
      <c r="C497" s="371" t="str">
        <f>'UTL COST'!$B$6</f>
        <v>#REF!</v>
      </c>
      <c r="D497" s="383">
        <f>'UTL COST'!$C$6</f>
        <v>525</v>
      </c>
      <c r="E497" s="89">
        <v>0.1</v>
      </c>
      <c r="F497" s="324"/>
      <c r="G497" s="324"/>
      <c r="J497" s="322"/>
      <c r="K497" s="87" t="s">
        <v>78</v>
      </c>
      <c r="L497" s="371" t="str">
        <f>'UTL COST'!$B$6</f>
        <v>#REF!</v>
      </c>
      <c r="M497" s="383">
        <f>'UTL COST'!$C$6</f>
        <v>525</v>
      </c>
      <c r="N497" s="89">
        <v>0.1</v>
      </c>
      <c r="O497" s="324"/>
    </row>
    <row r="498" ht="15.75" customHeight="1">
      <c r="A498" s="322"/>
      <c r="B498" s="34" t="s">
        <v>84</v>
      </c>
      <c r="C498" s="102"/>
      <c r="D498" s="102"/>
      <c r="E498" s="104" t="str">
        <f>IF(SUM(E494:E497)=0,"",SUM(E494:E497))</f>
        <v>#REF!</v>
      </c>
      <c r="F498" s="324"/>
      <c r="G498" s="324"/>
      <c r="J498" s="322"/>
      <c r="K498" s="34" t="s">
        <v>84</v>
      </c>
      <c r="L498" s="102"/>
      <c r="M498" s="102"/>
      <c r="N498" s="104" t="str">
        <f>IF(SUM(N494:N497)=0,"",SUM(N494:N497))</f>
        <v>#REF!</v>
      </c>
      <c r="O498" s="324"/>
    </row>
    <row r="499" ht="15.75" customHeight="1">
      <c r="A499" s="322"/>
      <c r="B499" s="360"/>
      <c r="C499" s="360"/>
      <c r="D499" s="360"/>
      <c r="E499" s="361"/>
      <c r="F499" s="324"/>
      <c r="G499" s="324"/>
      <c r="J499" s="322"/>
      <c r="K499" s="360"/>
      <c r="L499" s="360"/>
      <c r="M499" s="360"/>
      <c r="N499" s="361"/>
      <c r="O499" s="324"/>
    </row>
    <row r="500" ht="15.75" customHeight="1"/>
    <row r="501" ht="15.75" customHeight="1"/>
    <row r="502" ht="15.75" customHeight="1"/>
    <row r="503" ht="15.75" customHeight="1">
      <c r="A503" s="322"/>
      <c r="B503" s="322"/>
      <c r="C503" s="322"/>
      <c r="D503" s="322"/>
      <c r="E503" s="323"/>
      <c r="F503" s="324"/>
      <c r="G503" s="324"/>
      <c r="J503" s="447"/>
      <c r="K503" s="447"/>
      <c r="L503" s="447"/>
      <c r="M503" s="447"/>
      <c r="N503" s="448"/>
      <c r="O503" s="449"/>
    </row>
    <row r="504" ht="15.75" customHeight="1">
      <c r="A504" s="322"/>
      <c r="B504" s="325"/>
      <c r="C504" s="322"/>
      <c r="D504" s="322"/>
      <c r="E504" s="323"/>
      <c r="F504" s="326"/>
      <c r="G504" s="326"/>
      <c r="J504" s="322"/>
      <c r="K504" s="325"/>
      <c r="L504" s="322"/>
      <c r="M504" s="322"/>
      <c r="N504" s="323"/>
      <c r="O504" s="326"/>
    </row>
    <row r="505" ht="15.75" customHeight="1">
      <c r="A505" s="322"/>
      <c r="B505" s="327" t="s">
        <v>931</v>
      </c>
      <c r="C505" s="330" t="s">
        <v>287</v>
      </c>
      <c r="D505" s="329"/>
      <c r="E505" s="323"/>
      <c r="F505" s="326"/>
      <c r="G505" s="326"/>
      <c r="J505" s="322"/>
      <c r="K505" s="327" t="s">
        <v>931</v>
      </c>
      <c r="L505" s="330" t="s">
        <v>1237</v>
      </c>
      <c r="M505" s="329"/>
      <c r="N505" s="323"/>
      <c r="O505" s="326"/>
    </row>
    <row r="506" ht="15.75" customHeight="1">
      <c r="A506" s="322"/>
      <c r="B506" s="325"/>
      <c r="C506" s="322"/>
      <c r="D506" s="322"/>
      <c r="E506" s="323"/>
      <c r="F506" s="326"/>
      <c r="G506" s="326"/>
      <c r="J506" s="322"/>
      <c r="K506" s="325"/>
      <c r="L506" s="322"/>
      <c r="M506" s="322"/>
      <c r="N506" s="323"/>
      <c r="O506" s="326"/>
    </row>
    <row r="507" ht="15.75" customHeight="1">
      <c r="A507" s="322"/>
      <c r="B507" s="327" t="s">
        <v>935</v>
      </c>
      <c r="C507" s="331">
        <f>E507*90000</f>
        <v>1170000</v>
      </c>
      <c r="D507" s="329"/>
      <c r="E507" s="394">
        <v>13.0</v>
      </c>
      <c r="F507" s="326"/>
      <c r="G507" s="326"/>
      <c r="J507" s="322"/>
      <c r="K507" s="327" t="s">
        <v>935</v>
      </c>
      <c r="L507" s="331">
        <f>N507*90000</f>
        <v>1170000</v>
      </c>
      <c r="M507" s="329"/>
      <c r="N507" s="394">
        <v>13.0</v>
      </c>
      <c r="O507" s="326"/>
    </row>
    <row r="508" ht="15.75" customHeight="1">
      <c r="A508" s="322"/>
      <c r="B508" s="327"/>
      <c r="C508" s="332"/>
      <c r="D508" s="332"/>
      <c r="E508" s="323"/>
      <c r="F508" s="326"/>
      <c r="G508" s="326"/>
      <c r="J508" s="322"/>
      <c r="K508" s="327"/>
      <c r="L508" s="332"/>
      <c r="M508" s="332"/>
      <c r="N508" s="323"/>
      <c r="O508" s="326"/>
    </row>
    <row r="509" ht="15.75" customHeight="1">
      <c r="A509" s="322"/>
      <c r="B509" s="327" t="s">
        <v>939</v>
      </c>
      <c r="C509" s="333" t="str">
        <f>IF(SUM(E521,E536,E544)=0,"",SUM(E521,E536,E544))</f>
        <v>#REF!</v>
      </c>
      <c r="D509" s="321"/>
      <c r="E509" s="323" t="str">
        <f>C509/90000</f>
        <v>#REF!</v>
      </c>
      <c r="F509" s="326"/>
      <c r="G509" s="326"/>
      <c r="J509" s="322"/>
      <c r="K509" s="327" t="s">
        <v>939</v>
      </c>
      <c r="L509" s="333" t="str">
        <f>IF(SUM(N521,N536,N544)=0,"",SUM(N521,N536,N544))</f>
        <v>#REF!</v>
      </c>
      <c r="M509" s="321"/>
      <c r="N509" s="323" t="str">
        <f>L509/90000</f>
        <v>#REF!</v>
      </c>
      <c r="O509" s="326"/>
    </row>
    <row r="510" ht="15.75" customHeight="1">
      <c r="A510" s="322"/>
      <c r="B510" s="327"/>
      <c r="C510" s="334"/>
      <c r="D510" s="334"/>
      <c r="E510" s="323"/>
      <c r="F510" s="326"/>
      <c r="G510" s="326"/>
      <c r="J510" s="322"/>
      <c r="K510" s="327"/>
      <c r="L510" s="334"/>
      <c r="M510" s="334"/>
      <c r="N510" s="323"/>
      <c r="O510" s="326"/>
    </row>
    <row r="511" ht="15.75" customHeight="1">
      <c r="A511" s="322"/>
      <c r="B511" s="327" t="s">
        <v>946</v>
      </c>
      <c r="C511" s="335" t="str">
        <f>IF(C509="","",IF(ISBLANK(C507),"",C509/C507))</f>
        <v>#REF!</v>
      </c>
      <c r="D511" s="321"/>
      <c r="E511" s="323"/>
      <c r="F511" s="326"/>
      <c r="G511" s="326"/>
      <c r="J511" s="322"/>
      <c r="K511" s="327" t="s">
        <v>946</v>
      </c>
      <c r="L511" s="335" t="str">
        <f>IF(L509="","",IF(ISBLANK(L507),"",L509/L507))</f>
        <v>#REF!</v>
      </c>
      <c r="M511" s="321"/>
      <c r="N511" s="323"/>
      <c r="O511" s="326"/>
    </row>
    <row r="512" ht="15.75" customHeight="1">
      <c r="A512" s="322"/>
      <c r="B512" s="327"/>
      <c r="C512" s="334"/>
      <c r="D512" s="334"/>
      <c r="E512" s="323"/>
      <c r="F512" s="326"/>
      <c r="G512" s="326"/>
      <c r="J512" s="322"/>
      <c r="K512" s="327"/>
      <c r="L512" s="334"/>
      <c r="M512" s="334"/>
      <c r="N512" s="323"/>
      <c r="O512" s="326"/>
    </row>
    <row r="513" ht="15.75" customHeight="1">
      <c r="A513" s="322"/>
      <c r="B513" s="327" t="s">
        <v>950</v>
      </c>
      <c r="C513" s="333" t="str">
        <f>C507-C509</f>
        <v>#REF!</v>
      </c>
      <c r="D513" s="321"/>
      <c r="E513" s="323"/>
      <c r="F513" s="326"/>
      <c r="G513" s="326"/>
      <c r="J513" s="322"/>
      <c r="K513" s="327" t="s">
        <v>950</v>
      </c>
      <c r="L513" s="333" t="str">
        <f>L507-L509</f>
        <v>#REF!</v>
      </c>
      <c r="M513" s="321"/>
      <c r="N513" s="323"/>
      <c r="O513" s="326"/>
    </row>
    <row r="514" ht="15.75" customHeight="1">
      <c r="A514" s="322"/>
      <c r="B514" s="322"/>
      <c r="C514" s="322"/>
      <c r="D514" s="322"/>
      <c r="E514" s="323"/>
      <c r="F514" s="324"/>
      <c r="G514" s="324"/>
      <c r="J514" s="322"/>
      <c r="K514" s="322"/>
      <c r="L514" s="322"/>
      <c r="M514" s="322"/>
      <c r="N514" s="323"/>
      <c r="O514" s="324"/>
    </row>
    <row r="515" ht="15.75" customHeight="1">
      <c r="A515" s="322"/>
      <c r="B515" s="322"/>
      <c r="C515" s="322"/>
      <c r="D515" s="322"/>
      <c r="E515" s="337"/>
      <c r="F515" s="324"/>
      <c r="G515" s="324"/>
      <c r="J515" s="322"/>
      <c r="K515" s="322"/>
      <c r="L515" s="322"/>
      <c r="M515" s="322"/>
      <c r="N515" s="337"/>
      <c r="O515" s="324"/>
    </row>
    <row r="516" ht="15.75" customHeight="1">
      <c r="A516" s="322"/>
      <c r="B516" s="338" t="s">
        <v>951</v>
      </c>
      <c r="C516" s="339"/>
      <c r="D516" s="339"/>
      <c r="E516" s="339"/>
      <c r="F516" s="324"/>
      <c r="G516" s="324"/>
      <c r="J516" s="322"/>
      <c r="K516" s="338" t="s">
        <v>951</v>
      </c>
      <c r="L516" s="339"/>
      <c r="M516" s="339"/>
      <c r="N516" s="339"/>
      <c r="O516" s="324"/>
    </row>
    <row r="517" ht="15.75" customHeight="1">
      <c r="A517" s="322"/>
      <c r="B517" s="340" t="s">
        <v>953</v>
      </c>
      <c r="C517" s="341" t="s">
        <v>954</v>
      </c>
      <c r="D517" s="341" t="s">
        <v>955</v>
      </c>
      <c r="E517" s="341" t="s">
        <v>35</v>
      </c>
      <c r="F517" s="324"/>
      <c r="G517" s="324"/>
      <c r="J517" s="322"/>
      <c r="K517" s="340" t="s">
        <v>953</v>
      </c>
      <c r="L517" s="341" t="s">
        <v>954</v>
      </c>
      <c r="M517" s="341" t="s">
        <v>955</v>
      </c>
      <c r="N517" s="341" t="s">
        <v>35</v>
      </c>
      <c r="O517" s="324"/>
    </row>
    <row r="518" ht="15.75" customHeight="1">
      <c r="A518" s="322"/>
      <c r="B518" s="139" t="s">
        <v>1211</v>
      </c>
      <c r="C518" s="344">
        <v>1.0</v>
      </c>
      <c r="D518" s="343">
        <f>M472</f>
        <v>9000</v>
      </c>
      <c r="E518" s="67">
        <f t="shared" ref="E518:E520" si="51">IF(OR(ISBLANK(C518),ISBLANK(D518)),"",D518*C518)</f>
        <v>9000</v>
      </c>
      <c r="F518" s="324"/>
      <c r="G518" s="324"/>
      <c r="J518" s="322"/>
      <c r="K518" s="139" t="s">
        <v>1143</v>
      </c>
      <c r="L518" s="344">
        <v>0.5</v>
      </c>
      <c r="M518" s="343">
        <f t="shared" ref="M518:M519" si="52">D563</f>
        <v>2970</v>
      </c>
      <c r="N518" s="67">
        <f t="shared" ref="N518:N520" si="53">IF(OR(ISBLANK(L518),ISBLANK(M518)),"",M518*L518)</f>
        <v>1485</v>
      </c>
      <c r="O518" s="324"/>
    </row>
    <row r="519" ht="15.75" customHeight="1">
      <c r="A519" s="322"/>
      <c r="B519" s="228" t="s">
        <v>241</v>
      </c>
      <c r="C519" s="405">
        <v>0.05</v>
      </c>
      <c r="D519" s="371">
        <f>'F&amp;B'!F295</f>
        <v>4500</v>
      </c>
      <c r="E519" s="67">
        <f t="shared" si="51"/>
        <v>225</v>
      </c>
      <c r="F519" s="324"/>
      <c r="G519" s="324"/>
      <c r="J519" s="322"/>
      <c r="K519" s="228" t="s">
        <v>1238</v>
      </c>
      <c r="L519" s="405">
        <v>0.04</v>
      </c>
      <c r="M519" s="371">
        <f t="shared" si="52"/>
        <v>16650</v>
      </c>
      <c r="N519" s="67">
        <f t="shared" si="53"/>
        <v>666</v>
      </c>
      <c r="O519" s="324"/>
    </row>
    <row r="520" ht="15.75" customHeight="1">
      <c r="A520" s="322"/>
      <c r="B520" s="350" t="s">
        <v>1239</v>
      </c>
      <c r="C520" s="351">
        <v>0.05</v>
      </c>
      <c r="D520" s="423">
        <f>'F&amp;B'!F294</f>
        <v>6750</v>
      </c>
      <c r="E520" s="67">
        <f t="shared" si="51"/>
        <v>337.5</v>
      </c>
      <c r="F520" s="324"/>
      <c r="G520" s="324"/>
      <c r="J520" s="322"/>
      <c r="K520" s="350" t="s">
        <v>1240</v>
      </c>
      <c r="L520" s="351">
        <v>0.03</v>
      </c>
      <c r="M520" s="423">
        <f>'F&amp;B'!F129</f>
        <v>67500</v>
      </c>
      <c r="N520" s="67">
        <f t="shared" si="53"/>
        <v>2025</v>
      </c>
      <c r="O520" s="324"/>
    </row>
    <row r="521" ht="15.75" customHeight="1">
      <c r="A521" s="322"/>
      <c r="B521" s="338" t="s">
        <v>84</v>
      </c>
      <c r="C521" s="358"/>
      <c r="D521" s="358"/>
      <c r="E521" s="359">
        <f>IF(SUM(E518:E520)=0,"",SUM(E518:E520))</f>
        <v>9562.5</v>
      </c>
      <c r="F521" s="324"/>
      <c r="G521" s="324"/>
      <c r="J521" s="322"/>
      <c r="K521" s="338" t="s">
        <v>84</v>
      </c>
      <c r="L521" s="358"/>
      <c r="M521" s="358"/>
      <c r="N521" s="359">
        <f>IF(SUM(N518:N520)=0,"",SUM(N518:N520))</f>
        <v>4176</v>
      </c>
      <c r="O521" s="324"/>
    </row>
    <row r="522" ht="15.75" customHeight="1">
      <c r="A522" s="322"/>
      <c r="B522" s="360"/>
      <c r="C522" s="360"/>
      <c r="D522" s="360"/>
      <c r="E522" s="361"/>
      <c r="F522" s="324"/>
      <c r="G522" s="324"/>
      <c r="J522" s="322"/>
      <c r="K522" s="360"/>
      <c r="L522" s="360"/>
      <c r="M522" s="360"/>
      <c r="N522" s="361"/>
      <c r="O522" s="324"/>
    </row>
    <row r="523" ht="15.75" customHeight="1">
      <c r="A523" s="322"/>
      <c r="B523" s="362" t="s">
        <v>972</v>
      </c>
      <c r="C523" s="363"/>
      <c r="D523" s="363"/>
      <c r="E523" s="363"/>
      <c r="F523" s="324"/>
      <c r="G523" s="324"/>
      <c r="J523" s="322"/>
      <c r="K523" s="362" t="s">
        <v>972</v>
      </c>
      <c r="L523" s="363"/>
      <c r="M523" s="363"/>
      <c r="N523" s="363"/>
      <c r="O523" s="324"/>
    </row>
    <row r="524" ht="15.75" customHeight="1">
      <c r="A524" s="322"/>
      <c r="B524" s="365" t="s">
        <v>953</v>
      </c>
      <c r="C524" s="366" t="s">
        <v>3</v>
      </c>
      <c r="D524" s="366" t="s">
        <v>975</v>
      </c>
      <c r="E524" s="367" t="s">
        <v>35</v>
      </c>
      <c r="F524" s="324"/>
      <c r="G524" s="324"/>
      <c r="J524" s="322"/>
      <c r="K524" s="365" t="s">
        <v>953</v>
      </c>
      <c r="L524" s="366" t="s">
        <v>3</v>
      </c>
      <c r="M524" s="366" t="s">
        <v>975</v>
      </c>
      <c r="N524" s="367" t="s">
        <v>35</v>
      </c>
      <c r="O524" s="324"/>
    </row>
    <row r="525" ht="15.75" customHeight="1">
      <c r="A525" s="322"/>
      <c r="B525" s="368"/>
      <c r="C525" s="366"/>
      <c r="D525" s="366"/>
      <c r="E525" s="368"/>
      <c r="F525" s="324"/>
      <c r="G525" s="324"/>
      <c r="J525" s="322"/>
      <c r="K525" s="368"/>
      <c r="L525" s="366"/>
      <c r="M525" s="366"/>
      <c r="N525" s="368"/>
      <c r="O525" s="324"/>
    </row>
    <row r="526" ht="15.75" customHeight="1">
      <c r="A526" s="322"/>
      <c r="B526" s="139" t="s">
        <v>1241</v>
      </c>
      <c r="C526" s="344">
        <v>0.06</v>
      </c>
      <c r="D526" s="343">
        <f>'F&amp;B'!F284</f>
        <v>7200</v>
      </c>
      <c r="E526" s="67">
        <f t="shared" ref="E526:E535" si="54">D526*C526</f>
        <v>432</v>
      </c>
      <c r="F526" s="324"/>
      <c r="G526" s="324"/>
      <c r="J526" s="322"/>
      <c r="K526" s="139" t="s">
        <v>1242</v>
      </c>
      <c r="L526" s="344">
        <v>0.1</v>
      </c>
      <c r="M526" s="343">
        <f>'F&amp;B'!F269</f>
        <v>414000</v>
      </c>
      <c r="N526" s="67">
        <f t="shared" ref="N526:N535" si="55">M526*L526</f>
        <v>41400</v>
      </c>
      <c r="O526" s="324"/>
    </row>
    <row r="527" ht="15.75" customHeight="1">
      <c r="A527" s="322"/>
      <c r="B527" s="228" t="s">
        <v>817</v>
      </c>
      <c r="C527" s="405">
        <v>0.06</v>
      </c>
      <c r="D527" s="371">
        <f>'F&amp;B'!F293</f>
        <v>6750</v>
      </c>
      <c r="E527" s="67">
        <f t="shared" si="54"/>
        <v>405</v>
      </c>
      <c r="F527" s="324"/>
      <c r="G527" s="324"/>
      <c r="J527" s="322"/>
      <c r="K527" s="228" t="s">
        <v>1231</v>
      </c>
      <c r="L527" s="405">
        <v>0.005</v>
      </c>
      <c r="M527" s="371">
        <f>'F&amp;B'!F289</f>
        <v>5400</v>
      </c>
      <c r="N527" s="67">
        <f t="shared" si="55"/>
        <v>27</v>
      </c>
      <c r="O527" s="324"/>
    </row>
    <row r="528" ht="15.75" customHeight="1">
      <c r="A528" s="322"/>
      <c r="B528" s="228" t="s">
        <v>714</v>
      </c>
      <c r="C528" s="405">
        <v>0.03</v>
      </c>
      <c r="D528" s="371">
        <f>M473</f>
        <v>22500</v>
      </c>
      <c r="E528" s="67">
        <f t="shared" si="54"/>
        <v>675</v>
      </c>
      <c r="F528" s="324"/>
      <c r="G528" s="324"/>
      <c r="J528" s="322"/>
      <c r="K528" s="228" t="s">
        <v>351</v>
      </c>
      <c r="L528" s="405">
        <v>0.03</v>
      </c>
      <c r="M528" s="371">
        <f>'F&amp;B'!F251/3</f>
        <v>151800</v>
      </c>
      <c r="N528" s="67">
        <f t="shared" si="55"/>
        <v>4554</v>
      </c>
      <c r="O528" s="324"/>
    </row>
    <row r="529" ht="15.75" customHeight="1">
      <c r="A529" s="322"/>
      <c r="B529" s="228" t="s">
        <v>703</v>
      </c>
      <c r="C529" s="398">
        <v>0.14</v>
      </c>
      <c r="D529" s="371">
        <f t="shared" ref="D529:D530" si="56">M483</f>
        <v>81000</v>
      </c>
      <c r="E529" s="67">
        <f t="shared" si="54"/>
        <v>11340</v>
      </c>
      <c r="F529" s="324"/>
      <c r="G529" s="324"/>
      <c r="J529" s="322"/>
      <c r="K529" s="228" t="s">
        <v>37</v>
      </c>
      <c r="L529" s="398">
        <v>1.0</v>
      </c>
      <c r="M529" s="371">
        <f>M484</f>
        <v>22000</v>
      </c>
      <c r="N529" s="67">
        <f t="shared" si="55"/>
        <v>22000</v>
      </c>
      <c r="O529" s="324"/>
    </row>
    <row r="530" ht="15.75" customHeight="1">
      <c r="A530" s="322"/>
      <c r="B530" s="469" t="s">
        <v>1243</v>
      </c>
      <c r="C530" s="405">
        <v>1.5</v>
      </c>
      <c r="D530" s="371">
        <f t="shared" si="56"/>
        <v>22000</v>
      </c>
      <c r="E530" s="67">
        <f t="shared" si="54"/>
        <v>33000</v>
      </c>
      <c r="F530" s="324"/>
      <c r="G530" s="324"/>
      <c r="J530" s="322"/>
      <c r="K530" s="228"/>
      <c r="L530" s="405"/>
      <c r="M530" s="371" t="str">
        <f>V484</f>
        <v/>
      </c>
      <c r="N530" s="67">
        <f t="shared" si="55"/>
        <v>0</v>
      </c>
      <c r="O530" s="324"/>
    </row>
    <row r="531" ht="15.75" customHeight="1">
      <c r="A531" s="322"/>
      <c r="B531" s="228" t="s">
        <v>1244</v>
      </c>
      <c r="C531" s="398">
        <v>0.06</v>
      </c>
      <c r="D531" s="371">
        <f>'F&amp;B'!F74*2.5</f>
        <v>67725</v>
      </c>
      <c r="E531" s="67">
        <f t="shared" si="54"/>
        <v>4063.5</v>
      </c>
      <c r="F531" s="324"/>
      <c r="G531" s="324"/>
      <c r="J531" s="322"/>
      <c r="K531" s="228"/>
      <c r="L531" s="398"/>
      <c r="M531" s="371"/>
      <c r="N531" s="67">
        <f t="shared" si="55"/>
        <v>0</v>
      </c>
      <c r="O531" s="324"/>
    </row>
    <row r="532" ht="15.75" customHeight="1">
      <c r="A532" s="322"/>
      <c r="B532" s="345" t="s">
        <v>1245</v>
      </c>
      <c r="C532" s="398">
        <v>0.01</v>
      </c>
      <c r="D532" s="371">
        <f>'F&amp;B'!F156</f>
        <v>37800</v>
      </c>
      <c r="E532" s="67">
        <f t="shared" si="54"/>
        <v>378</v>
      </c>
      <c r="F532" s="324"/>
      <c r="G532" s="324"/>
      <c r="J532" s="322"/>
      <c r="K532" s="345"/>
      <c r="L532" s="398"/>
      <c r="M532" s="371" t="str">
        <f>'F&amp;B'!M156</f>
        <v/>
      </c>
      <c r="N532" s="67">
        <f t="shared" si="55"/>
        <v>0</v>
      </c>
      <c r="O532" s="324"/>
    </row>
    <row r="533" ht="15.75" customHeight="1">
      <c r="A533" s="322"/>
      <c r="B533" s="348"/>
      <c r="C533" s="346"/>
      <c r="D533" s="373"/>
      <c r="E533" s="67">
        <f t="shared" si="54"/>
        <v>0</v>
      </c>
      <c r="F533" s="324"/>
      <c r="G533" s="324"/>
      <c r="J533" s="322"/>
      <c r="K533" s="348"/>
      <c r="L533" s="346"/>
      <c r="M533" s="373"/>
      <c r="N533" s="67">
        <f t="shared" si="55"/>
        <v>0</v>
      </c>
      <c r="O533" s="324"/>
    </row>
    <row r="534" ht="15.75" customHeight="1">
      <c r="A534" s="322"/>
      <c r="B534" s="348"/>
      <c r="C534" s="346"/>
      <c r="D534" s="373"/>
      <c r="E534" s="67">
        <f t="shared" si="54"/>
        <v>0</v>
      </c>
      <c r="F534" s="324"/>
      <c r="G534" s="324"/>
      <c r="J534" s="322"/>
      <c r="K534" s="348"/>
      <c r="L534" s="346"/>
      <c r="M534" s="373"/>
      <c r="N534" s="67">
        <f t="shared" si="55"/>
        <v>0</v>
      </c>
      <c r="O534" s="324"/>
    </row>
    <row r="535" ht="15.75" customHeight="1">
      <c r="A535" s="322"/>
      <c r="B535" s="354"/>
      <c r="C535" s="355"/>
      <c r="D535" s="356"/>
      <c r="E535" s="67">
        <f t="shared" si="54"/>
        <v>0</v>
      </c>
      <c r="F535" s="324"/>
      <c r="G535" s="324"/>
      <c r="J535" s="322"/>
      <c r="K535" s="354"/>
      <c r="L535" s="355"/>
      <c r="M535" s="356"/>
      <c r="N535" s="67">
        <f t="shared" si="55"/>
        <v>0</v>
      </c>
      <c r="O535" s="324"/>
    </row>
    <row r="536" ht="15.75" customHeight="1">
      <c r="A536" s="322"/>
      <c r="B536" s="362" t="s">
        <v>84</v>
      </c>
      <c r="C536" s="374"/>
      <c r="D536" s="374"/>
      <c r="E536" s="375">
        <f>IF(SUM(E526:E535)=0,"",SUM(E526:E535))</f>
        <v>50293.5</v>
      </c>
      <c r="F536" s="324"/>
      <c r="G536" s="324"/>
      <c r="J536" s="322"/>
      <c r="K536" s="362" t="s">
        <v>84</v>
      </c>
      <c r="L536" s="374"/>
      <c r="M536" s="374"/>
      <c r="N536" s="375">
        <f>IF(SUM(N526:N535)=0,"",SUM(N526:N535))</f>
        <v>67981</v>
      </c>
      <c r="O536" s="324"/>
    </row>
    <row r="537" ht="15.75" customHeight="1">
      <c r="A537" s="322"/>
      <c r="B537" s="360"/>
      <c r="C537" s="360"/>
      <c r="D537" s="360"/>
      <c r="E537" s="361"/>
      <c r="F537" s="324"/>
      <c r="G537" s="324"/>
      <c r="J537" s="322"/>
      <c r="K537" s="360"/>
      <c r="L537" s="360"/>
      <c r="M537" s="360"/>
      <c r="N537" s="361"/>
      <c r="O537" s="324"/>
    </row>
    <row r="538" ht="15.75" customHeight="1">
      <c r="A538" s="322"/>
      <c r="B538" s="34" t="s">
        <v>17</v>
      </c>
      <c r="C538" s="35"/>
      <c r="D538" s="35"/>
      <c r="E538" s="35"/>
      <c r="F538" s="324"/>
      <c r="G538" s="324"/>
      <c r="J538" s="322"/>
      <c r="K538" s="34" t="s">
        <v>17</v>
      </c>
      <c r="L538" s="35"/>
      <c r="M538" s="35"/>
      <c r="N538" s="35"/>
      <c r="O538" s="324"/>
    </row>
    <row r="539" ht="15.75" customHeight="1">
      <c r="A539" s="322"/>
      <c r="B539" s="52" t="s">
        <v>42</v>
      </c>
      <c r="C539" s="54"/>
      <c r="D539" s="54"/>
      <c r="E539" s="56" t="s">
        <v>35</v>
      </c>
      <c r="F539" s="324"/>
      <c r="G539" s="324"/>
      <c r="J539" s="322"/>
      <c r="K539" s="52" t="s">
        <v>42</v>
      </c>
      <c r="L539" s="54"/>
      <c r="M539" s="54"/>
      <c r="N539" s="56" t="s">
        <v>35</v>
      </c>
      <c r="O539" s="324"/>
    </row>
    <row r="540" ht="15.75" customHeight="1">
      <c r="A540" s="322"/>
      <c r="B540" s="60" t="s">
        <v>40</v>
      </c>
      <c r="C540" s="343">
        <f>'UTL COST'!$B$3</f>
        <v>369000</v>
      </c>
      <c r="D540" s="379">
        <f>'UTL COST'!$C$3</f>
        <v>0.0075</v>
      </c>
      <c r="E540" s="67">
        <v>0.0</v>
      </c>
      <c r="F540" s="324"/>
      <c r="G540" s="324"/>
      <c r="J540" s="322"/>
      <c r="K540" s="60" t="s">
        <v>40</v>
      </c>
      <c r="L540" s="343">
        <f>'UTL COST'!$B$3</f>
        <v>369000</v>
      </c>
      <c r="M540" s="379">
        <f>'UTL COST'!$C$3</f>
        <v>0.0075</v>
      </c>
      <c r="N540" s="67">
        <v>0.0</v>
      </c>
      <c r="O540" s="324"/>
    </row>
    <row r="541" ht="15.75" customHeight="1">
      <c r="A541" s="322"/>
      <c r="B541" s="75" t="s">
        <v>51</v>
      </c>
      <c r="C541" s="371" t="str">
        <f>'UTL COST'!$B$4</f>
        <v>#REF!</v>
      </c>
      <c r="D541" s="382">
        <f>'UTL COST'!$C$4</f>
        <v>7000</v>
      </c>
      <c r="E541" s="76">
        <v>0.0</v>
      </c>
      <c r="F541" s="324"/>
      <c r="G541" s="324"/>
      <c r="J541" s="322"/>
      <c r="K541" s="75" t="s">
        <v>51</v>
      </c>
      <c r="L541" s="371" t="str">
        <f>'UTL COST'!$B$4</f>
        <v>#REF!</v>
      </c>
      <c r="M541" s="382">
        <f>'UTL COST'!$C$4</f>
        <v>7000</v>
      </c>
      <c r="N541" s="76">
        <v>0.0</v>
      </c>
      <c r="O541" s="324"/>
    </row>
    <row r="542" ht="15.75" customHeight="1">
      <c r="A542" s="322"/>
      <c r="B542" s="75" t="s">
        <v>59</v>
      </c>
      <c r="C542" s="371" t="str">
        <f>'UTL COST'!$B$5</f>
        <v>#REF!</v>
      </c>
      <c r="D542" s="382">
        <f>'UTL COST'!$C$5</f>
        <v>45000</v>
      </c>
      <c r="E542" s="76" t="str">
        <f>'UTL COST'!$D$5</f>
        <v>#REF!</v>
      </c>
      <c r="F542" s="324"/>
      <c r="G542" s="324"/>
      <c r="J542" s="322"/>
      <c r="K542" s="75" t="s">
        <v>59</v>
      </c>
      <c r="L542" s="371" t="str">
        <f>'UTL COST'!$B$5</f>
        <v>#REF!</v>
      </c>
      <c r="M542" s="382">
        <f>'UTL COST'!$C$5</f>
        <v>45000</v>
      </c>
      <c r="N542" s="76" t="str">
        <f>'UTL COST'!$D$5</f>
        <v>#REF!</v>
      </c>
      <c r="O542" s="324"/>
    </row>
    <row r="543" ht="15.75" customHeight="1">
      <c r="A543" s="322"/>
      <c r="B543" s="87" t="s">
        <v>78</v>
      </c>
      <c r="C543" s="371" t="str">
        <f>'UTL COST'!$B$6</f>
        <v>#REF!</v>
      </c>
      <c r="D543" s="383">
        <f>'UTL COST'!$C$6</f>
        <v>525</v>
      </c>
      <c r="E543" s="89">
        <v>0.1</v>
      </c>
      <c r="F543" s="324"/>
      <c r="G543" s="324"/>
      <c r="J543" s="322"/>
      <c r="K543" s="87" t="s">
        <v>78</v>
      </c>
      <c r="L543" s="371" t="str">
        <f>'UTL COST'!$B$6</f>
        <v>#REF!</v>
      </c>
      <c r="M543" s="383">
        <f>'UTL COST'!$C$6</f>
        <v>525</v>
      </c>
      <c r="N543" s="89">
        <v>0.1</v>
      </c>
      <c r="O543" s="324"/>
    </row>
    <row r="544" ht="15.75" customHeight="1">
      <c r="A544" s="322"/>
      <c r="B544" s="34" t="s">
        <v>84</v>
      </c>
      <c r="C544" s="102"/>
      <c r="D544" s="102"/>
      <c r="E544" s="104" t="str">
        <f>IF(SUM(E540:E543)=0,"",SUM(E540:E543))</f>
        <v>#REF!</v>
      </c>
      <c r="F544" s="324"/>
      <c r="G544" s="324"/>
      <c r="J544" s="322"/>
      <c r="K544" s="34" t="s">
        <v>84</v>
      </c>
      <c r="L544" s="102"/>
      <c r="M544" s="102"/>
      <c r="N544" s="104" t="str">
        <f>IF(SUM(N540:N543)=0,"",SUM(N540:N543))</f>
        <v>#REF!</v>
      </c>
      <c r="O544" s="324"/>
    </row>
    <row r="545" ht="15.75" customHeight="1">
      <c r="A545" s="322"/>
      <c r="B545" s="360"/>
      <c r="C545" s="360"/>
      <c r="D545" s="360"/>
      <c r="E545" s="361"/>
      <c r="F545" s="324"/>
      <c r="G545" s="324"/>
      <c r="J545" s="322"/>
      <c r="K545" s="360"/>
      <c r="L545" s="360"/>
      <c r="M545" s="360"/>
      <c r="N545" s="361"/>
      <c r="O545" s="324"/>
    </row>
    <row r="546" ht="15.75" customHeight="1"/>
    <row r="547" ht="15.75" customHeight="1"/>
    <row r="548" ht="15.75" customHeight="1">
      <c r="A548" s="447"/>
      <c r="B548" s="447"/>
      <c r="C548" s="447"/>
      <c r="D548" s="447"/>
      <c r="E548" s="448"/>
      <c r="F548" s="449"/>
    </row>
    <row r="549" ht="15.75" customHeight="1">
      <c r="A549" s="322"/>
      <c r="B549" s="325"/>
      <c r="C549" s="322"/>
      <c r="D549" s="322"/>
      <c r="E549" s="323"/>
      <c r="F549" s="326"/>
    </row>
    <row r="550" ht="15.75" customHeight="1">
      <c r="A550" s="322"/>
      <c r="B550" s="327" t="s">
        <v>931</v>
      </c>
      <c r="C550" s="330" t="s">
        <v>1111</v>
      </c>
      <c r="D550" s="329"/>
      <c r="E550" s="323"/>
      <c r="F550" s="326"/>
    </row>
    <row r="551" ht="15.75" customHeight="1">
      <c r="A551" s="322"/>
      <c r="B551" s="325"/>
      <c r="C551" s="322"/>
      <c r="D551" s="322"/>
      <c r="E551" s="323"/>
      <c r="F551" s="326"/>
    </row>
    <row r="552" ht="15.75" customHeight="1">
      <c r="A552" s="322"/>
      <c r="B552" s="327" t="s">
        <v>935</v>
      </c>
      <c r="C552" s="331">
        <f>E552*90000</f>
        <v>1170000</v>
      </c>
      <c r="D552" s="329"/>
      <c r="E552" s="394">
        <v>13.0</v>
      </c>
      <c r="F552" s="326"/>
    </row>
    <row r="553" ht="15.75" customHeight="1">
      <c r="A553" s="322"/>
      <c r="B553" s="327"/>
      <c r="C553" s="332"/>
      <c r="D553" s="332"/>
      <c r="E553" s="323"/>
      <c r="F553" s="326"/>
    </row>
    <row r="554" ht="15.75" customHeight="1">
      <c r="A554" s="322"/>
      <c r="B554" s="327" t="s">
        <v>939</v>
      </c>
      <c r="C554" s="333" t="str">
        <f>IF(SUM(E566,E581,E589)=0,"",SUM(E566,E581,E589))</f>
        <v>#REF!</v>
      </c>
      <c r="D554" s="321"/>
      <c r="E554" s="323" t="str">
        <f>C554/90000</f>
        <v>#REF!</v>
      </c>
      <c r="F554" s="326"/>
    </row>
    <row r="555" ht="15.75" customHeight="1">
      <c r="A555" s="322"/>
      <c r="B555" s="327"/>
      <c r="C555" s="334"/>
      <c r="D555" s="334"/>
      <c r="E555" s="323"/>
      <c r="F555" s="326"/>
    </row>
    <row r="556" ht="15.75" customHeight="1">
      <c r="A556" s="322"/>
      <c r="B556" s="327" t="s">
        <v>946</v>
      </c>
      <c r="C556" s="335" t="str">
        <f>IF(C554="","",IF(ISBLANK(C552),"",C554/C552))</f>
        <v>#REF!</v>
      </c>
      <c r="D556" s="321"/>
      <c r="E556" s="323"/>
      <c r="F556" s="326"/>
    </row>
    <row r="557" ht="15.75" customHeight="1">
      <c r="A557" s="322"/>
      <c r="B557" s="327"/>
      <c r="C557" s="334"/>
      <c r="D557" s="334"/>
      <c r="E557" s="323"/>
      <c r="F557" s="326"/>
    </row>
    <row r="558" ht="15.75" customHeight="1">
      <c r="A558" s="322"/>
      <c r="B558" s="327" t="s">
        <v>950</v>
      </c>
      <c r="C558" s="333" t="str">
        <f>C552-C554</f>
        <v>#REF!</v>
      </c>
      <c r="D558" s="321"/>
      <c r="E558" s="323"/>
      <c r="F558" s="326"/>
    </row>
    <row r="559" ht="15.75" customHeight="1">
      <c r="A559" s="322"/>
      <c r="B559" s="322"/>
      <c r="C559" s="322"/>
      <c r="D559" s="322"/>
      <c r="E559" s="323"/>
      <c r="F559" s="324"/>
    </row>
    <row r="560" ht="15.75" customHeight="1">
      <c r="A560" s="322"/>
      <c r="B560" s="322"/>
      <c r="C560" s="322"/>
      <c r="D560" s="322"/>
      <c r="E560" s="337"/>
      <c r="F560" s="324"/>
    </row>
    <row r="561" ht="15.75" customHeight="1">
      <c r="A561" s="322"/>
      <c r="B561" s="338" t="s">
        <v>951</v>
      </c>
      <c r="C561" s="339"/>
      <c r="D561" s="339"/>
      <c r="E561" s="339"/>
      <c r="F561" s="324"/>
    </row>
    <row r="562" ht="15.75" customHeight="1">
      <c r="A562" s="322"/>
      <c r="B562" s="340" t="s">
        <v>953</v>
      </c>
      <c r="C562" s="341" t="s">
        <v>954</v>
      </c>
      <c r="D562" s="341" t="s">
        <v>955</v>
      </c>
      <c r="E562" s="341" t="s">
        <v>35</v>
      </c>
      <c r="F562" s="324"/>
    </row>
    <row r="563" ht="15.75" customHeight="1">
      <c r="A563" s="322"/>
      <c r="B563" s="139" t="s">
        <v>1143</v>
      </c>
      <c r="C563" s="344">
        <v>0.5</v>
      </c>
      <c r="D563" s="343">
        <f>'F&amp;B'!F280</f>
        <v>2970</v>
      </c>
      <c r="E563" s="67">
        <f t="shared" ref="E563:E565" si="57">IF(OR(ISBLANK(C563),ISBLANK(D563)),"",D563*C563)</f>
        <v>1485</v>
      </c>
      <c r="F563" s="324"/>
    </row>
    <row r="564" ht="15.75" customHeight="1">
      <c r="A564" s="322"/>
      <c r="B564" s="228" t="s">
        <v>1238</v>
      </c>
      <c r="C564" s="405">
        <v>0.5</v>
      </c>
      <c r="D564" s="371">
        <f>'F&amp;B'!F297</f>
        <v>16650</v>
      </c>
      <c r="E564" s="67">
        <f t="shared" si="57"/>
        <v>8325</v>
      </c>
      <c r="F564" s="324"/>
    </row>
    <row r="565" ht="15.75" customHeight="1">
      <c r="A565" s="322"/>
      <c r="B565" s="350" t="s">
        <v>1111</v>
      </c>
      <c r="C565" s="351">
        <v>0.1</v>
      </c>
      <c r="D565" s="423">
        <f>'F&amp;B'!F77</f>
        <v>141300</v>
      </c>
      <c r="E565" s="67">
        <f t="shared" si="57"/>
        <v>14130</v>
      </c>
      <c r="F565" s="324"/>
    </row>
    <row r="566" ht="15.75" customHeight="1">
      <c r="A566" s="322"/>
      <c r="B566" s="338" t="s">
        <v>84</v>
      </c>
      <c r="C566" s="358"/>
      <c r="D566" s="358"/>
      <c r="E566" s="359">
        <f>IF(SUM(E563:E565)=0,"",SUM(E563:E565))</f>
        <v>23940</v>
      </c>
      <c r="F566" s="324"/>
    </row>
    <row r="567" ht="15.75" customHeight="1">
      <c r="A567" s="322"/>
      <c r="B567" s="360"/>
      <c r="C567" s="360"/>
      <c r="D567" s="360"/>
      <c r="E567" s="361"/>
      <c r="F567" s="324"/>
    </row>
    <row r="568" ht="15.75" customHeight="1">
      <c r="A568" s="322"/>
      <c r="B568" s="362" t="s">
        <v>972</v>
      </c>
      <c r="C568" s="363"/>
      <c r="D568" s="363"/>
      <c r="E568" s="363"/>
      <c r="F568" s="324"/>
    </row>
    <row r="569" ht="15.75" customHeight="1">
      <c r="A569" s="322"/>
      <c r="B569" s="365" t="s">
        <v>953</v>
      </c>
      <c r="C569" s="366" t="s">
        <v>3</v>
      </c>
      <c r="D569" s="366" t="s">
        <v>975</v>
      </c>
      <c r="E569" s="367" t="s">
        <v>35</v>
      </c>
      <c r="F569" s="324"/>
    </row>
    <row r="570" ht="15.75" customHeight="1">
      <c r="A570" s="322"/>
      <c r="B570" s="368"/>
      <c r="C570" s="366"/>
      <c r="D570" s="366"/>
      <c r="E570" s="368"/>
      <c r="F570" s="324"/>
    </row>
    <row r="571" ht="15.75" customHeight="1">
      <c r="A571" s="322"/>
      <c r="B571" s="139" t="s">
        <v>1252</v>
      </c>
      <c r="C571" s="344">
        <v>0.005</v>
      </c>
      <c r="D571" s="343">
        <f>M481</f>
        <v>65250</v>
      </c>
      <c r="E571" s="67">
        <f t="shared" ref="E571:E580" si="58">D571*C571</f>
        <v>326.25</v>
      </c>
      <c r="F571" s="324"/>
    </row>
    <row r="572" ht="15.75" customHeight="1">
      <c r="A572" s="322"/>
      <c r="B572" s="228" t="s">
        <v>1255</v>
      </c>
      <c r="C572" s="405">
        <v>0.005</v>
      </c>
      <c r="D572" s="371">
        <f>D212</f>
        <v>99000</v>
      </c>
      <c r="E572" s="67">
        <f t="shared" si="58"/>
        <v>495</v>
      </c>
      <c r="F572" s="324"/>
    </row>
    <row r="573" ht="15.75" customHeight="1">
      <c r="A573" s="322"/>
      <c r="B573" s="228" t="s">
        <v>1256</v>
      </c>
      <c r="C573" s="405">
        <v>0.005</v>
      </c>
      <c r="D573" s="371">
        <f>'F&amp;B'!F187</f>
        <v>117000</v>
      </c>
      <c r="E573" s="67">
        <f t="shared" si="58"/>
        <v>585</v>
      </c>
      <c r="F573" s="324"/>
    </row>
    <row r="574" ht="15.75" customHeight="1">
      <c r="A574" s="322"/>
      <c r="B574" s="228" t="s">
        <v>1258</v>
      </c>
      <c r="C574" s="398">
        <v>0.1</v>
      </c>
      <c r="D574" s="371">
        <f>'F&amp;B'!F299</f>
        <v>8100</v>
      </c>
      <c r="E574" s="67">
        <f t="shared" si="58"/>
        <v>810</v>
      </c>
      <c r="F574" s="324"/>
    </row>
    <row r="575" ht="15.75" customHeight="1">
      <c r="A575" s="322"/>
      <c r="B575" s="228" t="s">
        <v>1259</v>
      </c>
      <c r="C575" s="405">
        <v>0.06</v>
      </c>
      <c r="D575" s="371">
        <f>D483</f>
        <v>21446.56361</v>
      </c>
      <c r="E575" s="67">
        <f t="shared" si="58"/>
        <v>1286.793816</v>
      </c>
      <c r="F575" s="324"/>
    </row>
    <row r="576" ht="15.75" customHeight="1">
      <c r="A576" s="322"/>
      <c r="B576" s="228" t="s">
        <v>1114</v>
      </c>
      <c r="C576" s="398">
        <v>0.003</v>
      </c>
      <c r="D576" s="371">
        <f>'F&amp;B'!F300</f>
        <v>13500</v>
      </c>
      <c r="E576" s="67">
        <f t="shared" si="58"/>
        <v>40.5</v>
      </c>
      <c r="F576" s="324"/>
    </row>
    <row r="577" ht="15.75" customHeight="1">
      <c r="A577" s="322"/>
      <c r="B577" s="345"/>
      <c r="C577" s="398"/>
      <c r="D577" s="371"/>
      <c r="E577" s="67">
        <f t="shared" si="58"/>
        <v>0</v>
      </c>
      <c r="F577" s="324"/>
    </row>
    <row r="578" ht="15.75" customHeight="1">
      <c r="A578" s="322"/>
      <c r="B578" s="348"/>
      <c r="C578" s="346"/>
      <c r="D578" s="373"/>
      <c r="E578" s="67">
        <f t="shared" si="58"/>
        <v>0</v>
      </c>
      <c r="F578" s="324"/>
    </row>
    <row r="579" ht="15.75" customHeight="1">
      <c r="A579" s="322"/>
      <c r="B579" s="348"/>
      <c r="C579" s="346"/>
      <c r="D579" s="373"/>
      <c r="E579" s="67">
        <f t="shared" si="58"/>
        <v>0</v>
      </c>
      <c r="F579" s="324"/>
    </row>
    <row r="580" ht="15.75" customHeight="1">
      <c r="A580" s="322"/>
      <c r="B580" s="354"/>
      <c r="C580" s="355"/>
      <c r="D580" s="356"/>
      <c r="E580" s="67">
        <f t="shared" si="58"/>
        <v>0</v>
      </c>
      <c r="F580" s="324"/>
    </row>
    <row r="581" ht="15.75" customHeight="1">
      <c r="A581" s="322"/>
      <c r="B581" s="362" t="s">
        <v>84</v>
      </c>
      <c r="C581" s="374"/>
      <c r="D581" s="374"/>
      <c r="E581" s="375">
        <f>IF(SUM(E571:E580)=0,"",SUM(E571:E580))</f>
        <v>3543.543816</v>
      </c>
      <c r="F581" s="324"/>
    </row>
    <row r="582" ht="15.75" customHeight="1">
      <c r="A582" s="322"/>
      <c r="B582" s="360"/>
      <c r="C582" s="360"/>
      <c r="D582" s="360"/>
      <c r="E582" s="361"/>
      <c r="F582" s="324"/>
    </row>
    <row r="583" ht="15.75" customHeight="1">
      <c r="A583" s="322"/>
      <c r="B583" s="34" t="s">
        <v>17</v>
      </c>
      <c r="C583" s="35"/>
      <c r="D583" s="35"/>
      <c r="E583" s="35"/>
      <c r="F583" s="324"/>
    </row>
    <row r="584" ht="15.75" customHeight="1">
      <c r="A584" s="322"/>
      <c r="B584" s="52" t="s">
        <v>42</v>
      </c>
      <c r="C584" s="54"/>
      <c r="D584" s="54"/>
      <c r="E584" s="56" t="s">
        <v>35</v>
      </c>
      <c r="F584" s="324"/>
    </row>
    <row r="585" ht="15.75" customHeight="1">
      <c r="A585" s="322"/>
      <c r="B585" s="60" t="s">
        <v>40</v>
      </c>
      <c r="C585" s="343">
        <f>'UTL COST'!$B$3</f>
        <v>369000</v>
      </c>
      <c r="D585" s="379">
        <f>'UTL COST'!$C$3</f>
        <v>0.0075</v>
      </c>
      <c r="E585" s="67">
        <v>0.0</v>
      </c>
      <c r="F585" s="324"/>
    </row>
    <row r="586" ht="15.75" customHeight="1">
      <c r="A586" s="322"/>
      <c r="B586" s="75" t="s">
        <v>51</v>
      </c>
      <c r="C586" s="371" t="str">
        <f>'UTL COST'!$B$4</f>
        <v>#REF!</v>
      </c>
      <c r="D586" s="382">
        <f>'UTL COST'!$C$4</f>
        <v>7000</v>
      </c>
      <c r="E586" s="76">
        <v>0.0</v>
      </c>
      <c r="F586" s="324"/>
    </row>
    <row r="587" ht="15.75" customHeight="1">
      <c r="A587" s="322"/>
      <c r="B587" s="75" t="s">
        <v>59</v>
      </c>
      <c r="C587" s="371" t="str">
        <f>'UTL COST'!$B$5</f>
        <v>#REF!</v>
      </c>
      <c r="D587" s="382">
        <f>'UTL COST'!$C$5</f>
        <v>45000</v>
      </c>
      <c r="E587" s="76" t="str">
        <f>'UTL COST'!$D$5</f>
        <v>#REF!</v>
      </c>
      <c r="F587" s="324"/>
    </row>
    <row r="588" ht="15.75" customHeight="1">
      <c r="A588" s="322"/>
      <c r="B588" s="87" t="s">
        <v>78</v>
      </c>
      <c r="C588" s="371" t="str">
        <f>'UTL COST'!$B$6</f>
        <v>#REF!</v>
      </c>
      <c r="D588" s="383">
        <f>'UTL COST'!$C$6</f>
        <v>525</v>
      </c>
      <c r="E588" s="89">
        <v>0.1</v>
      </c>
      <c r="F588" s="324"/>
    </row>
    <row r="589" ht="15.75" customHeight="1">
      <c r="A589" s="322"/>
      <c r="B589" s="34" t="s">
        <v>84</v>
      </c>
      <c r="C589" s="102"/>
      <c r="D589" s="102"/>
      <c r="E589" s="104" t="str">
        <f>IF(SUM(E585:E588)=0,"",SUM(E585:E588))</f>
        <v>#REF!</v>
      </c>
      <c r="F589" s="324"/>
    </row>
    <row r="590" ht="15.75" customHeight="1">
      <c r="A590" s="322"/>
      <c r="B590" s="360"/>
      <c r="C590" s="360"/>
      <c r="D590" s="360"/>
      <c r="E590" s="361"/>
      <c r="F590" s="324"/>
    </row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6">
    <mergeCell ref="L52:M52"/>
    <mergeCell ref="L54:M54"/>
    <mergeCell ref="L56:M56"/>
    <mergeCell ref="L58:M58"/>
    <mergeCell ref="K69:K70"/>
    <mergeCell ref="N69:N70"/>
    <mergeCell ref="L95:M95"/>
    <mergeCell ref="L97:M97"/>
    <mergeCell ref="L99:M99"/>
    <mergeCell ref="L101:M101"/>
    <mergeCell ref="L103:M103"/>
    <mergeCell ref="K114:K115"/>
    <mergeCell ref="N114:N115"/>
    <mergeCell ref="L142:M142"/>
    <mergeCell ref="L190:M190"/>
    <mergeCell ref="L192:M192"/>
    <mergeCell ref="L144:M144"/>
    <mergeCell ref="L146:M146"/>
    <mergeCell ref="L148:M148"/>
    <mergeCell ref="L150:M150"/>
    <mergeCell ref="K161:K162"/>
    <mergeCell ref="N161:N162"/>
    <mergeCell ref="L188:M188"/>
    <mergeCell ref="C95:D95"/>
    <mergeCell ref="C97:D97"/>
    <mergeCell ref="C99:D99"/>
    <mergeCell ref="C101:D101"/>
    <mergeCell ref="C103:D103"/>
    <mergeCell ref="B114:B115"/>
    <mergeCell ref="E114:E115"/>
    <mergeCell ref="C142:D142"/>
    <mergeCell ref="C144:D144"/>
    <mergeCell ref="C146:D146"/>
    <mergeCell ref="C148:D148"/>
    <mergeCell ref="C150:D150"/>
    <mergeCell ref="B161:B162"/>
    <mergeCell ref="E161:E162"/>
    <mergeCell ref="C233:D233"/>
    <mergeCell ref="C235:D235"/>
    <mergeCell ref="C237:D237"/>
    <mergeCell ref="C239:D239"/>
    <mergeCell ref="C241:D241"/>
    <mergeCell ref="B252:B253"/>
    <mergeCell ref="E252:E253"/>
    <mergeCell ref="C278:D278"/>
    <mergeCell ref="C280:D280"/>
    <mergeCell ref="C282:D282"/>
    <mergeCell ref="C284:D284"/>
    <mergeCell ref="C286:D286"/>
    <mergeCell ref="B297:B298"/>
    <mergeCell ref="E297:E298"/>
    <mergeCell ref="C324:D324"/>
    <mergeCell ref="C326:D326"/>
    <mergeCell ref="C328:D328"/>
    <mergeCell ref="C330:D330"/>
    <mergeCell ref="C332:D332"/>
    <mergeCell ref="B343:B344"/>
    <mergeCell ref="E343:E344"/>
    <mergeCell ref="C369:D369"/>
    <mergeCell ref="C371:D371"/>
    <mergeCell ref="C373:D373"/>
    <mergeCell ref="C375:D375"/>
    <mergeCell ref="C377:D377"/>
    <mergeCell ref="B388:B389"/>
    <mergeCell ref="E388:E389"/>
    <mergeCell ref="C414:D414"/>
    <mergeCell ref="C416:D416"/>
    <mergeCell ref="C418:D418"/>
    <mergeCell ref="C420:D420"/>
    <mergeCell ref="C422:D422"/>
    <mergeCell ref="B433:B434"/>
    <mergeCell ref="E433:E434"/>
    <mergeCell ref="C459:D459"/>
    <mergeCell ref="C461:D461"/>
    <mergeCell ref="C463:D463"/>
    <mergeCell ref="C465:D465"/>
    <mergeCell ref="C467:D467"/>
    <mergeCell ref="B478:B479"/>
    <mergeCell ref="E478:E479"/>
    <mergeCell ref="C550:D550"/>
    <mergeCell ref="C552:D552"/>
    <mergeCell ref="C554:D554"/>
    <mergeCell ref="C556:D556"/>
    <mergeCell ref="C558:D558"/>
    <mergeCell ref="B569:B570"/>
    <mergeCell ref="E569:E570"/>
    <mergeCell ref="C505:D505"/>
    <mergeCell ref="C507:D507"/>
    <mergeCell ref="C509:D509"/>
    <mergeCell ref="C511:D511"/>
    <mergeCell ref="C513:D513"/>
    <mergeCell ref="B524:B525"/>
    <mergeCell ref="E524:E525"/>
    <mergeCell ref="L239:M239"/>
    <mergeCell ref="L241:M241"/>
    <mergeCell ref="K252:K253"/>
    <mergeCell ref="N252:N253"/>
    <mergeCell ref="L278:M278"/>
    <mergeCell ref="L280:M280"/>
    <mergeCell ref="L282:M282"/>
    <mergeCell ref="L284:M284"/>
    <mergeCell ref="L286:M286"/>
    <mergeCell ref="K297:K298"/>
    <mergeCell ref="N297:N298"/>
    <mergeCell ref="L324:M324"/>
    <mergeCell ref="L326:M326"/>
    <mergeCell ref="L328:M328"/>
    <mergeCell ref="K343:K344"/>
    <mergeCell ref="N343:N344"/>
    <mergeCell ref="L369:M369"/>
    <mergeCell ref="L371:M371"/>
    <mergeCell ref="L373:M373"/>
    <mergeCell ref="L375:M375"/>
    <mergeCell ref="L377:M377"/>
    <mergeCell ref="K388:K389"/>
    <mergeCell ref="N388:N389"/>
    <mergeCell ref="L414:M414"/>
    <mergeCell ref="L416:M416"/>
    <mergeCell ref="L418:M418"/>
    <mergeCell ref="L420:M420"/>
    <mergeCell ref="L422:M422"/>
    <mergeCell ref="K433:K434"/>
    <mergeCell ref="N433:N434"/>
    <mergeCell ref="L459:M459"/>
    <mergeCell ref="L461:M461"/>
    <mergeCell ref="L463:M463"/>
    <mergeCell ref="L465:M465"/>
    <mergeCell ref="L467:M467"/>
    <mergeCell ref="K524:K525"/>
    <mergeCell ref="N524:N525"/>
    <mergeCell ref="K478:K479"/>
    <mergeCell ref="N478:N479"/>
    <mergeCell ref="L505:M505"/>
    <mergeCell ref="L507:M507"/>
    <mergeCell ref="L509:M509"/>
    <mergeCell ref="L511:M511"/>
    <mergeCell ref="L513:M513"/>
    <mergeCell ref="L10:M10"/>
    <mergeCell ref="L12:M12"/>
    <mergeCell ref="A1:F1"/>
    <mergeCell ref="C6:D6"/>
    <mergeCell ref="L6:M6"/>
    <mergeCell ref="C8:D8"/>
    <mergeCell ref="L8:M8"/>
    <mergeCell ref="C10:D10"/>
    <mergeCell ref="C12:D12"/>
    <mergeCell ref="C14:D14"/>
    <mergeCell ref="L14:M14"/>
    <mergeCell ref="B25:B26"/>
    <mergeCell ref="E25:E26"/>
    <mergeCell ref="K25:K26"/>
    <mergeCell ref="N25:N26"/>
    <mergeCell ref="L50:M50"/>
    <mergeCell ref="C50:D50"/>
    <mergeCell ref="C52:D52"/>
    <mergeCell ref="C54:D54"/>
    <mergeCell ref="C56:D56"/>
    <mergeCell ref="C58:D58"/>
    <mergeCell ref="B69:B70"/>
    <mergeCell ref="E69:E70"/>
    <mergeCell ref="C188:D188"/>
    <mergeCell ref="C190:D190"/>
    <mergeCell ref="C192:D192"/>
    <mergeCell ref="C194:D194"/>
    <mergeCell ref="L194:M194"/>
    <mergeCell ref="C196:D196"/>
    <mergeCell ref="L196:M196"/>
    <mergeCell ref="B207:B208"/>
    <mergeCell ref="E207:E208"/>
    <mergeCell ref="K207:K208"/>
    <mergeCell ref="N207:N208"/>
    <mergeCell ref="L233:M233"/>
    <mergeCell ref="L235:M235"/>
    <mergeCell ref="L237:M237"/>
    <mergeCell ref="L330:M330"/>
    <mergeCell ref="L332:M332"/>
  </mergeCells>
  <printOptions/>
  <pageMargins bottom="0.75" footer="0.0" header="0.0" left="0.7" right="0.7" top="0.75"/>
  <pageSetup orientation="portrait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0"/>
    <col customWidth="1" min="4" max="4" width="11.88"/>
    <col customWidth="1" min="5" max="5" width="12.63"/>
    <col customWidth="1" min="6" max="7" width="3.0"/>
    <col customWidth="1" min="8" max="10" width="7.75"/>
    <col customWidth="1" min="11" max="11" width="24.38"/>
    <col customWidth="1" min="12" max="12" width="12.0"/>
    <col customWidth="1" min="13" max="13" width="11.13"/>
    <col customWidth="1" min="14" max="14" width="10.88"/>
    <col customWidth="1" min="15" max="16" width="7.75"/>
    <col customWidth="1" min="17" max="26" width="14.38"/>
  </cols>
  <sheetData>
    <row r="1" ht="46.5" customHeight="1">
      <c r="A1" s="320" t="s">
        <v>1159</v>
      </c>
      <c r="B1" s="321"/>
      <c r="C1" s="321"/>
      <c r="D1" s="321"/>
      <c r="E1" s="321"/>
      <c r="F1" s="321"/>
      <c r="G1" s="402"/>
      <c r="H1" s="387"/>
      <c r="I1" s="387"/>
      <c r="J1" s="387"/>
      <c r="K1" s="387"/>
      <c r="L1" s="387"/>
      <c r="M1" s="387"/>
      <c r="N1" s="387"/>
      <c r="O1" s="387"/>
      <c r="P1" s="387"/>
    </row>
    <row r="2" ht="18.0" customHeight="1">
      <c r="A2" s="388"/>
      <c r="B2" s="388"/>
      <c r="C2" s="388"/>
      <c r="D2" s="388"/>
      <c r="E2" s="389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</row>
    <row r="3" ht="6.75" customHeight="1">
      <c r="A3" s="388"/>
      <c r="B3" s="388"/>
      <c r="C3" s="388"/>
      <c r="D3" s="388"/>
      <c r="E3" s="389"/>
      <c r="F3" s="387"/>
      <c r="G3" s="387"/>
      <c r="H3" s="387"/>
      <c r="I3" s="387"/>
      <c r="J3" s="387"/>
      <c r="K3" s="387"/>
      <c r="L3" s="387"/>
      <c r="M3" s="387"/>
      <c r="N3" s="387"/>
      <c r="O3" s="387"/>
      <c r="P3" s="387"/>
    </row>
    <row r="4" ht="15.0" customHeight="1">
      <c r="A4" s="322"/>
      <c r="B4" s="322"/>
      <c r="C4" s="322"/>
      <c r="D4" s="322"/>
      <c r="E4" s="323"/>
      <c r="F4" s="324"/>
      <c r="G4" s="324"/>
      <c r="H4" s="387"/>
      <c r="I4" s="388"/>
      <c r="J4" s="322"/>
      <c r="K4" s="322"/>
      <c r="L4" s="322"/>
      <c r="M4" s="322"/>
      <c r="N4" s="323"/>
      <c r="O4" s="324"/>
      <c r="P4" s="387"/>
    </row>
    <row r="5" ht="4.5" customHeight="1">
      <c r="A5" s="322"/>
      <c r="B5" s="325"/>
      <c r="C5" s="322"/>
      <c r="D5" s="322"/>
      <c r="E5" s="323"/>
      <c r="F5" s="326"/>
      <c r="G5" s="326"/>
      <c r="H5" s="404"/>
      <c r="I5" s="388"/>
      <c r="J5" s="322"/>
      <c r="K5" s="325"/>
      <c r="L5" s="322"/>
      <c r="M5" s="322"/>
      <c r="N5" s="323"/>
      <c r="O5" s="326"/>
      <c r="P5" s="387"/>
    </row>
    <row r="6" ht="18.0" customHeight="1">
      <c r="A6" s="322"/>
      <c r="B6" s="327" t="s">
        <v>931</v>
      </c>
      <c r="C6" s="328" t="s">
        <v>194</v>
      </c>
      <c r="D6" s="329"/>
      <c r="E6" s="323"/>
      <c r="F6" s="326"/>
      <c r="G6" s="326"/>
      <c r="H6" s="404"/>
      <c r="I6" s="388"/>
      <c r="J6" s="322"/>
      <c r="K6" s="327" t="s">
        <v>931</v>
      </c>
      <c r="L6" s="454" t="s">
        <v>217</v>
      </c>
      <c r="M6" s="329"/>
      <c r="N6" s="323"/>
      <c r="O6" s="326"/>
      <c r="P6" s="387"/>
    </row>
    <row r="7" ht="4.5" customHeight="1">
      <c r="A7" s="322"/>
      <c r="B7" s="325"/>
      <c r="C7" s="322"/>
      <c r="D7" s="322"/>
      <c r="E7" s="323"/>
      <c r="F7" s="326"/>
      <c r="G7" s="326"/>
      <c r="H7" s="404"/>
      <c r="I7" s="388"/>
      <c r="J7" s="322"/>
      <c r="K7" s="325"/>
      <c r="L7" s="322"/>
      <c r="M7" s="322"/>
      <c r="N7" s="323"/>
      <c r="O7" s="326"/>
      <c r="P7" s="387"/>
    </row>
    <row r="8" ht="18.0" customHeight="1">
      <c r="A8" s="322"/>
      <c r="B8" s="327" t="s">
        <v>935</v>
      </c>
      <c r="C8" s="331">
        <v>140000.0</v>
      </c>
      <c r="D8" s="329"/>
      <c r="E8" s="323"/>
      <c r="F8" s="326"/>
      <c r="G8" s="326"/>
      <c r="H8" s="404"/>
      <c r="I8" s="388"/>
      <c r="J8" s="322"/>
      <c r="K8" s="327" t="s">
        <v>935</v>
      </c>
      <c r="L8" s="331">
        <v>140000.0</v>
      </c>
      <c r="M8" s="329"/>
      <c r="N8" s="323"/>
      <c r="O8" s="326"/>
      <c r="P8" s="387"/>
    </row>
    <row r="9" ht="4.5" customHeight="1">
      <c r="A9" s="322"/>
      <c r="B9" s="327"/>
      <c r="C9" s="332"/>
      <c r="D9" s="332"/>
      <c r="E9" s="323"/>
      <c r="F9" s="326"/>
      <c r="G9" s="326"/>
      <c r="H9" s="404"/>
      <c r="I9" s="388"/>
      <c r="J9" s="322"/>
      <c r="K9" s="327"/>
      <c r="L9" s="332"/>
      <c r="M9" s="332"/>
      <c r="N9" s="323"/>
      <c r="O9" s="326"/>
      <c r="P9" s="387"/>
    </row>
    <row r="10" ht="18.0" customHeight="1">
      <c r="A10" s="322"/>
      <c r="B10" s="327" t="s">
        <v>939</v>
      </c>
      <c r="C10" s="333" t="str">
        <f>IF(SUM(E22,E37,E45)=0,"",SUM(E22,E37,E45))</f>
        <v>#REF!</v>
      </c>
      <c r="D10" s="321"/>
      <c r="E10" s="323" t="str">
        <f>C10/90000</f>
        <v>#REF!</v>
      </c>
      <c r="F10" s="326"/>
      <c r="G10" s="326"/>
      <c r="H10" s="404"/>
      <c r="I10" s="388"/>
      <c r="J10" s="322"/>
      <c r="K10" s="327" t="s">
        <v>939</v>
      </c>
      <c r="L10" s="333" t="str">
        <f>IF(SUM(N22,N37,N45)=0,"",SUM(N22,N37,N45))</f>
        <v>#REF!</v>
      </c>
      <c r="M10" s="321"/>
      <c r="N10" s="323"/>
      <c r="O10" s="326"/>
      <c r="P10" s="387"/>
    </row>
    <row r="11" ht="4.5" customHeight="1">
      <c r="A11" s="322"/>
      <c r="B11" s="327"/>
      <c r="C11" s="334"/>
      <c r="D11" s="334"/>
      <c r="E11" s="323"/>
      <c r="F11" s="326"/>
      <c r="G11" s="326"/>
      <c r="H11" s="404"/>
      <c r="I11" s="388"/>
      <c r="J11" s="322"/>
      <c r="K11" s="327"/>
      <c r="L11" s="334"/>
      <c r="M11" s="334"/>
      <c r="N11" s="323"/>
      <c r="O11" s="326"/>
      <c r="P11" s="387"/>
    </row>
    <row r="12" ht="18.0" customHeight="1">
      <c r="A12" s="322"/>
      <c r="B12" s="327" t="s">
        <v>946</v>
      </c>
      <c r="C12" s="335" t="str">
        <f>IF(C10="","",IF(ISBLANK(C8),"",C10/C8))</f>
        <v>#REF!</v>
      </c>
      <c r="D12" s="321"/>
      <c r="E12" s="323"/>
      <c r="F12" s="326"/>
      <c r="G12" s="326"/>
      <c r="H12" s="404"/>
      <c r="I12" s="388"/>
      <c r="J12" s="322"/>
      <c r="K12" s="327" t="s">
        <v>946</v>
      </c>
      <c r="L12" s="335" t="str">
        <f>IF(L10="","",IF(ISBLANK(L8),"",L10/L8))</f>
        <v>#REF!</v>
      </c>
      <c r="M12" s="321"/>
      <c r="N12" s="323"/>
      <c r="O12" s="326"/>
      <c r="P12" s="387"/>
    </row>
    <row r="13" ht="4.5" customHeight="1">
      <c r="A13" s="322"/>
      <c r="B13" s="327"/>
      <c r="C13" s="334"/>
      <c r="D13" s="334"/>
      <c r="E13" s="323"/>
      <c r="F13" s="326"/>
      <c r="G13" s="326"/>
      <c r="H13" s="404"/>
      <c r="I13" s="388"/>
      <c r="J13" s="322"/>
      <c r="K13" s="327"/>
      <c r="L13" s="334"/>
      <c r="M13" s="334"/>
      <c r="N13" s="323"/>
      <c r="O13" s="326"/>
      <c r="P13" s="387"/>
    </row>
    <row r="14" ht="18.0" customHeight="1">
      <c r="A14" s="322"/>
      <c r="B14" s="327" t="s">
        <v>950</v>
      </c>
      <c r="C14" s="333" t="str">
        <f>C8-C10</f>
        <v>#REF!</v>
      </c>
      <c r="D14" s="321"/>
      <c r="E14" s="323"/>
      <c r="F14" s="326"/>
      <c r="G14" s="326"/>
      <c r="H14" s="404"/>
      <c r="I14" s="388"/>
      <c r="J14" s="322"/>
      <c r="K14" s="327" t="s">
        <v>950</v>
      </c>
      <c r="L14" s="333" t="str">
        <f>L8-L10</f>
        <v>#REF!</v>
      </c>
      <c r="M14" s="321"/>
      <c r="N14" s="323"/>
      <c r="O14" s="326"/>
      <c r="P14" s="387"/>
    </row>
    <row r="15" ht="15.0" customHeight="1">
      <c r="A15" s="322"/>
      <c r="B15" s="322"/>
      <c r="C15" s="322"/>
      <c r="D15" s="322"/>
      <c r="E15" s="323"/>
      <c r="F15" s="324"/>
      <c r="G15" s="324"/>
      <c r="H15" s="404"/>
      <c r="I15" s="388"/>
      <c r="J15" s="322"/>
      <c r="K15" s="322"/>
      <c r="L15" s="322"/>
      <c r="M15" s="322"/>
      <c r="N15" s="323"/>
      <c r="O15" s="324"/>
      <c r="P15" s="387"/>
    </row>
    <row r="16" ht="12.75" customHeight="1">
      <c r="A16" s="322"/>
      <c r="B16" s="322"/>
      <c r="C16" s="322"/>
      <c r="D16" s="322"/>
      <c r="E16" s="337"/>
      <c r="F16" s="324"/>
      <c r="G16" s="324"/>
      <c r="H16" s="387"/>
      <c r="I16" s="388"/>
      <c r="J16" s="322"/>
      <c r="K16" s="322"/>
      <c r="L16" s="322"/>
      <c r="M16" s="322"/>
      <c r="N16" s="337"/>
      <c r="O16" s="324"/>
      <c r="P16" s="387"/>
    </row>
    <row r="17" ht="12.75" customHeight="1">
      <c r="A17" s="322"/>
      <c r="B17" s="338" t="s">
        <v>951</v>
      </c>
      <c r="C17" s="339"/>
      <c r="D17" s="339"/>
      <c r="E17" s="339"/>
      <c r="F17" s="324"/>
      <c r="G17" s="324"/>
      <c r="H17" s="410"/>
      <c r="I17" s="388"/>
      <c r="J17" s="322"/>
      <c r="K17" s="338" t="s">
        <v>951</v>
      </c>
      <c r="L17" s="339"/>
      <c r="M17" s="339"/>
      <c r="N17" s="339"/>
      <c r="O17" s="324"/>
      <c r="P17" s="387"/>
    </row>
    <row r="18" ht="12.75" customHeight="1">
      <c r="A18" s="322"/>
      <c r="B18" s="340" t="s">
        <v>953</v>
      </c>
      <c r="C18" s="341" t="s">
        <v>954</v>
      </c>
      <c r="D18" s="341" t="s">
        <v>955</v>
      </c>
      <c r="E18" s="341" t="s">
        <v>35</v>
      </c>
      <c r="F18" s="324"/>
      <c r="G18" s="324"/>
      <c r="H18" s="387"/>
      <c r="I18" s="388"/>
      <c r="J18" s="322"/>
      <c r="K18" s="340" t="s">
        <v>953</v>
      </c>
      <c r="L18" s="341" t="s">
        <v>954</v>
      </c>
      <c r="M18" s="341" t="s">
        <v>955</v>
      </c>
      <c r="N18" s="341" t="s">
        <v>35</v>
      </c>
      <c r="O18" s="324"/>
      <c r="P18" s="387"/>
    </row>
    <row r="19" ht="12.75" customHeight="1">
      <c r="A19" s="322"/>
      <c r="B19" s="60" t="s">
        <v>60</v>
      </c>
      <c r="C19" s="342">
        <v>0.02</v>
      </c>
      <c r="D19" s="343">
        <f>'F&amp;B'!$F$103</f>
        <v>148500</v>
      </c>
      <c r="E19" s="67">
        <f t="shared" ref="E19:E21" si="1">IF(OR(ISBLANK(C19),ISBLANK(D19)),"",D19*C19)</f>
        <v>2970</v>
      </c>
      <c r="F19" s="324"/>
      <c r="G19" s="324"/>
      <c r="H19" s="387"/>
      <c r="I19" s="388"/>
      <c r="J19" s="322"/>
      <c r="K19" s="60" t="s">
        <v>1108</v>
      </c>
      <c r="L19" s="342">
        <v>0.07</v>
      </c>
      <c r="M19" s="343">
        <f>'F&amp;B'!$F$86</f>
        <v>44550</v>
      </c>
      <c r="N19" s="67">
        <f t="shared" ref="N19:N21" si="2">IF(OR(ISBLANK(L19),ISBLANK(M19)),"",M19*L19)</f>
        <v>3118.5</v>
      </c>
      <c r="O19" s="324"/>
      <c r="P19" s="387"/>
    </row>
    <row r="20" ht="12.75" customHeight="1">
      <c r="A20" s="322"/>
      <c r="B20" s="75" t="s">
        <v>1109</v>
      </c>
      <c r="C20" s="370">
        <v>1.0</v>
      </c>
      <c r="D20" s="371">
        <f>SAUCES!$L$133</f>
        <v>1303.660727</v>
      </c>
      <c r="E20" s="67">
        <f t="shared" si="1"/>
        <v>1303.660727</v>
      </c>
      <c r="F20" s="324"/>
      <c r="G20" s="324"/>
      <c r="H20" s="387"/>
      <c r="I20" s="388"/>
      <c r="J20" s="322"/>
      <c r="K20" s="75" t="s">
        <v>1109</v>
      </c>
      <c r="L20" s="370">
        <v>1.0</v>
      </c>
      <c r="M20" s="371">
        <f>D20</f>
        <v>1303.660727</v>
      </c>
      <c r="N20" s="67">
        <f t="shared" si="2"/>
        <v>1303.660727</v>
      </c>
      <c r="O20" s="324"/>
      <c r="P20" s="387"/>
    </row>
    <row r="21" ht="12.75" customHeight="1">
      <c r="A21" s="322"/>
      <c r="B21" s="354"/>
      <c r="C21" s="355"/>
      <c r="D21" s="356"/>
      <c r="E21" s="67" t="str">
        <f t="shared" si="1"/>
        <v/>
      </c>
      <c r="F21" s="324"/>
      <c r="G21" s="324"/>
      <c r="H21" s="387"/>
      <c r="I21" s="388"/>
      <c r="J21" s="322"/>
      <c r="K21" s="354"/>
      <c r="L21" s="355"/>
      <c r="M21" s="356"/>
      <c r="N21" s="357" t="str">
        <f t="shared" si="2"/>
        <v/>
      </c>
      <c r="O21" s="324"/>
      <c r="P21" s="387"/>
    </row>
    <row r="22" ht="12.75" customHeight="1">
      <c r="A22" s="322"/>
      <c r="B22" s="338" t="s">
        <v>84</v>
      </c>
      <c r="C22" s="358"/>
      <c r="D22" s="358"/>
      <c r="E22" s="359">
        <f>IF(SUM(E19:E21)=0,"",SUM(E19:E21))</f>
        <v>4273.660727</v>
      </c>
      <c r="F22" s="324"/>
      <c r="G22" s="324"/>
      <c r="H22" s="387"/>
      <c r="I22" s="388"/>
      <c r="J22" s="322"/>
      <c r="K22" s="338" t="s">
        <v>84</v>
      </c>
      <c r="L22" s="358"/>
      <c r="M22" s="358"/>
      <c r="N22" s="359">
        <f>IF(SUM(N19:N21)=0,"",SUM(N19:N21))</f>
        <v>4422.160727</v>
      </c>
      <c r="O22" s="324"/>
      <c r="P22" s="387"/>
    </row>
    <row r="23" ht="12.75" customHeight="1">
      <c r="A23" s="322"/>
      <c r="B23" s="360"/>
      <c r="C23" s="360"/>
      <c r="D23" s="360"/>
      <c r="E23" s="361"/>
      <c r="F23" s="324"/>
      <c r="G23" s="324"/>
      <c r="H23" s="387"/>
      <c r="I23" s="388"/>
      <c r="J23" s="322"/>
      <c r="K23" s="360"/>
      <c r="L23" s="360"/>
      <c r="M23" s="360"/>
      <c r="N23" s="361"/>
      <c r="O23" s="324"/>
      <c r="P23" s="387"/>
    </row>
    <row r="24" ht="12.75" customHeight="1">
      <c r="A24" s="322"/>
      <c r="B24" s="362" t="s">
        <v>972</v>
      </c>
      <c r="C24" s="363"/>
      <c r="D24" s="363"/>
      <c r="E24" s="363"/>
      <c r="F24" s="324"/>
      <c r="G24" s="324"/>
      <c r="H24" s="387"/>
      <c r="I24" s="388"/>
      <c r="J24" s="322"/>
      <c r="K24" s="362" t="s">
        <v>972</v>
      </c>
      <c r="L24" s="363"/>
      <c r="M24" s="363"/>
      <c r="N24" s="363"/>
      <c r="O24" s="324"/>
      <c r="P24" s="387"/>
    </row>
    <row r="25" ht="12.75" customHeight="1">
      <c r="A25" s="322"/>
      <c r="B25" s="365" t="s">
        <v>953</v>
      </c>
      <c r="C25" s="366" t="s">
        <v>3</v>
      </c>
      <c r="D25" s="366" t="s">
        <v>975</v>
      </c>
      <c r="E25" s="367" t="s">
        <v>35</v>
      </c>
      <c r="F25" s="324"/>
      <c r="G25" s="324"/>
      <c r="H25" s="387"/>
      <c r="I25" s="388"/>
      <c r="J25" s="322"/>
      <c r="K25" s="365" t="s">
        <v>953</v>
      </c>
      <c r="L25" s="366" t="s">
        <v>3</v>
      </c>
      <c r="M25" s="366" t="s">
        <v>975</v>
      </c>
      <c r="N25" s="367" t="s">
        <v>35</v>
      </c>
      <c r="O25" s="324"/>
      <c r="P25" s="387"/>
    </row>
    <row r="26" ht="12.75" customHeight="1">
      <c r="A26" s="322"/>
      <c r="B26" s="368"/>
      <c r="C26" s="366"/>
      <c r="D26" s="366"/>
      <c r="E26" s="368"/>
      <c r="F26" s="324"/>
      <c r="G26" s="324"/>
      <c r="H26" s="387"/>
      <c r="I26" s="388"/>
      <c r="J26" s="322"/>
      <c r="K26" s="368"/>
      <c r="L26" s="366"/>
      <c r="M26" s="366"/>
      <c r="N26" s="368"/>
      <c r="O26" s="324"/>
      <c r="P26" s="387"/>
    </row>
    <row r="27" ht="12.75" customHeight="1">
      <c r="A27" s="322"/>
      <c r="B27" s="60" t="s">
        <v>1098</v>
      </c>
      <c r="C27" s="342">
        <v>1.0</v>
      </c>
      <c r="D27" s="343">
        <f>'F&amp;B'!$F$280</f>
        <v>2970</v>
      </c>
      <c r="E27" s="67">
        <f t="shared" ref="E27:E36" si="3">D27*C27</f>
        <v>2970</v>
      </c>
      <c r="F27" s="324"/>
      <c r="G27" s="324"/>
      <c r="H27" s="387"/>
      <c r="I27" s="388"/>
      <c r="J27" s="322"/>
      <c r="K27" s="139" t="s">
        <v>1168</v>
      </c>
      <c r="L27" s="344">
        <v>0.2</v>
      </c>
      <c r="M27" s="343">
        <f>'F&amp;B'!$F$277</f>
        <v>13500</v>
      </c>
      <c r="N27" s="67">
        <f t="shared" ref="N27:N31" si="4">M27*L27</f>
        <v>2700</v>
      </c>
      <c r="O27" s="324"/>
      <c r="P27" s="387"/>
    </row>
    <row r="28" ht="12.75" customHeight="1">
      <c r="A28" s="322"/>
      <c r="B28" s="75" t="s">
        <v>1033</v>
      </c>
      <c r="C28" s="370">
        <v>0.05</v>
      </c>
      <c r="D28" s="371">
        <f>'F&amp;B'!$F$278</f>
        <v>103500</v>
      </c>
      <c r="E28" s="67">
        <f t="shared" si="3"/>
        <v>5175</v>
      </c>
      <c r="F28" s="324"/>
      <c r="G28" s="324"/>
      <c r="H28" s="387"/>
      <c r="I28" s="388"/>
      <c r="J28" s="322"/>
      <c r="K28" s="75" t="s">
        <v>173</v>
      </c>
      <c r="L28" s="405">
        <v>0.15</v>
      </c>
      <c r="M28" s="371">
        <f>'F&amp;B'!$F$279</f>
        <v>7200</v>
      </c>
      <c r="N28" s="67">
        <f t="shared" si="4"/>
        <v>1080</v>
      </c>
      <c r="O28" s="324"/>
      <c r="P28" s="387"/>
    </row>
    <row r="29" ht="12.75" customHeight="1">
      <c r="A29" s="322"/>
      <c r="B29" s="75" t="s">
        <v>273</v>
      </c>
      <c r="C29" s="370">
        <v>0.03</v>
      </c>
      <c r="D29" s="371">
        <f>'F&amp;B'!$F$283</f>
        <v>9000</v>
      </c>
      <c r="E29" s="67">
        <f t="shared" si="3"/>
        <v>270</v>
      </c>
      <c r="F29" s="324"/>
      <c r="G29" s="324"/>
      <c r="H29" s="387"/>
      <c r="I29" s="388"/>
      <c r="J29" s="322"/>
      <c r="K29" s="75" t="s">
        <v>1061</v>
      </c>
      <c r="L29" s="405">
        <v>0.05</v>
      </c>
      <c r="M29" s="371">
        <f>'F&amp;B'!$F$284</f>
        <v>7200</v>
      </c>
      <c r="N29" s="67">
        <f t="shared" si="4"/>
        <v>360</v>
      </c>
      <c r="O29" s="324"/>
      <c r="P29" s="387"/>
    </row>
    <row r="30" ht="12.75" customHeight="1">
      <c r="A30" s="322"/>
      <c r="B30" s="75" t="s">
        <v>769</v>
      </c>
      <c r="C30" s="346">
        <v>0.06</v>
      </c>
      <c r="D30" s="371">
        <f>SAUCES!$D$36</f>
        <v>21446.56361</v>
      </c>
      <c r="E30" s="67">
        <f t="shared" si="3"/>
        <v>1286.793816</v>
      </c>
      <c r="F30" s="324"/>
      <c r="G30" s="324"/>
      <c r="H30" s="387"/>
      <c r="I30" s="388"/>
      <c r="J30" s="322"/>
      <c r="K30" s="75" t="s">
        <v>1070</v>
      </c>
      <c r="L30" s="405">
        <v>0.03</v>
      </c>
      <c r="M30" s="371">
        <f>'F&amp;B'!$F$44/17</f>
        <v>13764.70588</v>
      </c>
      <c r="N30" s="67">
        <f t="shared" si="4"/>
        <v>412.9411765</v>
      </c>
      <c r="O30" s="324"/>
      <c r="P30" s="387"/>
    </row>
    <row r="31" ht="12.75" customHeight="1">
      <c r="A31" s="322"/>
      <c r="B31" s="75" t="s">
        <v>1113</v>
      </c>
      <c r="C31" s="370">
        <v>0.02</v>
      </c>
      <c r="D31" s="371">
        <f>'F&amp;B'!$F$146</f>
        <v>65250</v>
      </c>
      <c r="E31" s="67">
        <f t="shared" si="3"/>
        <v>1305</v>
      </c>
      <c r="F31" s="324"/>
      <c r="G31" s="324"/>
      <c r="H31" s="387"/>
      <c r="I31" s="388"/>
      <c r="J31" s="322"/>
      <c r="K31" s="75" t="s">
        <v>569</v>
      </c>
      <c r="L31" s="370">
        <v>0.001</v>
      </c>
      <c r="M31" s="371">
        <f>'F&amp;B'!$F$167</f>
        <v>37800</v>
      </c>
      <c r="N31" s="67">
        <f t="shared" si="4"/>
        <v>37.8</v>
      </c>
      <c r="O31" s="324"/>
      <c r="P31" s="387"/>
    </row>
    <row r="32" ht="12.75" customHeight="1">
      <c r="A32" s="322"/>
      <c r="B32" s="75" t="s">
        <v>1114</v>
      </c>
      <c r="C32" s="346">
        <v>0.01</v>
      </c>
      <c r="D32" s="371">
        <f>'F&amp;B'!$F$300</f>
        <v>13500</v>
      </c>
      <c r="E32" s="67">
        <f t="shared" si="3"/>
        <v>135</v>
      </c>
      <c r="F32" s="324"/>
      <c r="G32" s="324"/>
      <c r="H32" s="387"/>
      <c r="I32" s="388"/>
      <c r="J32" s="322"/>
      <c r="K32" s="228" t="s">
        <v>176</v>
      </c>
      <c r="L32" s="405">
        <v>0.002</v>
      </c>
      <c r="M32" s="371"/>
      <c r="N32" s="67"/>
      <c r="O32" s="324"/>
      <c r="P32" s="387"/>
    </row>
    <row r="33" ht="12.75" customHeight="1">
      <c r="A33" s="322"/>
      <c r="B33" s="348"/>
      <c r="C33" s="346"/>
      <c r="D33" s="373"/>
      <c r="E33" s="67">
        <f t="shared" si="3"/>
        <v>0</v>
      </c>
      <c r="F33" s="324"/>
      <c r="G33" s="324"/>
      <c r="H33" s="387"/>
      <c r="I33" s="388"/>
      <c r="J33" s="322"/>
      <c r="K33" s="75" t="s">
        <v>1078</v>
      </c>
      <c r="L33" s="405">
        <v>0.03</v>
      </c>
      <c r="M33" s="371">
        <f>'F&amp;B'!$F$296</f>
        <v>9000</v>
      </c>
      <c r="N33" s="67">
        <f>M33*L33</f>
        <v>270</v>
      </c>
      <c r="O33" s="324"/>
      <c r="P33" s="387"/>
    </row>
    <row r="34" ht="12.75" customHeight="1">
      <c r="A34" s="322"/>
      <c r="B34" s="348"/>
      <c r="C34" s="346"/>
      <c r="D34" s="373"/>
      <c r="E34" s="67">
        <f t="shared" si="3"/>
        <v>0</v>
      </c>
      <c r="F34" s="324"/>
      <c r="G34" s="324"/>
      <c r="H34" s="387"/>
      <c r="I34" s="388"/>
      <c r="J34" s="322"/>
      <c r="K34" s="75"/>
      <c r="L34" s="370"/>
      <c r="M34" s="371"/>
      <c r="N34" s="67"/>
      <c r="O34" s="324"/>
      <c r="P34" s="387"/>
    </row>
    <row r="35" ht="12.75" customHeight="1">
      <c r="A35" s="322"/>
      <c r="B35" s="348"/>
      <c r="C35" s="346"/>
      <c r="D35" s="373"/>
      <c r="E35" s="67">
        <f t="shared" si="3"/>
        <v>0</v>
      </c>
      <c r="F35" s="324"/>
      <c r="G35" s="324"/>
      <c r="H35" s="387"/>
      <c r="I35" s="388"/>
      <c r="J35" s="322"/>
      <c r="K35" s="75"/>
      <c r="L35" s="370"/>
      <c r="M35" s="371"/>
      <c r="N35" s="67"/>
      <c r="O35" s="324"/>
      <c r="P35" s="387"/>
    </row>
    <row r="36" ht="12.75" customHeight="1">
      <c r="A36" s="322"/>
      <c r="B36" s="354"/>
      <c r="C36" s="355"/>
      <c r="D36" s="356"/>
      <c r="E36" s="67">
        <f t="shared" si="3"/>
        <v>0</v>
      </c>
      <c r="F36" s="324"/>
      <c r="G36" s="324"/>
      <c r="H36" s="387"/>
      <c r="I36" s="388"/>
      <c r="J36" s="322"/>
      <c r="K36" s="354"/>
      <c r="L36" s="355"/>
      <c r="M36" s="352"/>
      <c r="N36" s="67">
        <f>M36*L36</f>
        <v>0</v>
      </c>
      <c r="O36" s="324"/>
      <c r="P36" s="387"/>
    </row>
    <row r="37" ht="12.75" customHeight="1">
      <c r="A37" s="322"/>
      <c r="B37" s="362" t="s">
        <v>84</v>
      </c>
      <c r="C37" s="374"/>
      <c r="D37" s="374"/>
      <c r="E37" s="375">
        <f>IF(SUM(E27:E36)=0,"",SUM(E27:E36))</f>
        <v>11141.79382</v>
      </c>
      <c r="F37" s="324"/>
      <c r="G37" s="324"/>
      <c r="H37" s="387"/>
      <c r="I37" s="388"/>
      <c r="J37" s="322"/>
      <c r="K37" s="362" t="s">
        <v>84</v>
      </c>
      <c r="L37" s="374"/>
      <c r="M37" s="374"/>
      <c r="N37" s="375">
        <f>IF(SUM(N27:N36)=0,"",SUM(N27:N36))</f>
        <v>4860.741176</v>
      </c>
      <c r="O37" s="324"/>
      <c r="P37" s="387"/>
    </row>
    <row r="38" ht="12.75" customHeight="1">
      <c r="A38" s="322"/>
      <c r="B38" s="360"/>
      <c r="C38" s="360"/>
      <c r="D38" s="360"/>
      <c r="E38" s="361"/>
      <c r="F38" s="324"/>
      <c r="G38" s="324"/>
      <c r="H38" s="387"/>
      <c r="I38" s="388"/>
      <c r="J38" s="322"/>
      <c r="K38" s="360"/>
      <c r="L38" s="360"/>
      <c r="M38" s="360"/>
      <c r="N38" s="361"/>
      <c r="O38" s="324"/>
      <c r="P38" s="387"/>
    </row>
    <row r="39" ht="12.75" customHeight="1">
      <c r="A39" s="322"/>
      <c r="B39" s="34" t="s">
        <v>17</v>
      </c>
      <c r="C39" s="35"/>
      <c r="D39" s="35"/>
      <c r="E39" s="35"/>
      <c r="F39" s="324"/>
      <c r="G39" s="324"/>
      <c r="H39" s="387"/>
      <c r="I39" s="388"/>
      <c r="J39" s="322"/>
      <c r="K39" s="34" t="s">
        <v>17</v>
      </c>
      <c r="L39" s="35"/>
      <c r="M39" s="35"/>
      <c r="N39" s="35"/>
      <c r="O39" s="324"/>
      <c r="P39" s="387"/>
    </row>
    <row r="40" ht="12.75" customHeight="1">
      <c r="A40" s="322"/>
      <c r="B40" s="52" t="s">
        <v>42</v>
      </c>
      <c r="C40" s="54"/>
      <c r="D40" s="54"/>
      <c r="E40" s="56" t="s">
        <v>35</v>
      </c>
      <c r="F40" s="324"/>
      <c r="G40" s="324"/>
      <c r="H40" s="387"/>
      <c r="I40" s="388"/>
      <c r="J40" s="322"/>
      <c r="K40" s="52" t="s">
        <v>42</v>
      </c>
      <c r="L40" s="54"/>
      <c r="M40" s="54"/>
      <c r="N40" s="56" t="s">
        <v>35</v>
      </c>
      <c r="O40" s="324"/>
      <c r="P40" s="387"/>
    </row>
    <row r="41" ht="12.75" customHeight="1">
      <c r="A41" s="322"/>
      <c r="B41" s="60" t="s">
        <v>40</v>
      </c>
      <c r="C41" s="343">
        <f>'UTL COST'!$B$3</f>
        <v>369000</v>
      </c>
      <c r="D41" s="379">
        <f>'UTL COST'!$C$3</f>
        <v>0.0075</v>
      </c>
      <c r="E41" s="67">
        <v>0.0</v>
      </c>
      <c r="F41" s="324"/>
      <c r="G41" s="324"/>
      <c r="H41" s="387"/>
      <c r="I41" s="388"/>
      <c r="J41" s="322"/>
      <c r="K41" s="60" t="s">
        <v>40</v>
      </c>
      <c r="L41" s="343">
        <f>'UTL COST'!$B$3</f>
        <v>369000</v>
      </c>
      <c r="M41" s="379">
        <f>'UTL COST'!$C$3</f>
        <v>0.0075</v>
      </c>
      <c r="N41" s="67">
        <v>0.0</v>
      </c>
      <c r="O41" s="324"/>
      <c r="P41" s="387"/>
    </row>
    <row r="42" ht="12.75" customHeight="1">
      <c r="A42" s="322"/>
      <c r="B42" s="75" t="s">
        <v>51</v>
      </c>
      <c r="C42" s="371" t="str">
        <f>'UTL COST'!$B$4</f>
        <v>#REF!</v>
      </c>
      <c r="D42" s="382">
        <f>'UTL COST'!$C$4</f>
        <v>7000</v>
      </c>
      <c r="E42" s="76">
        <v>0.0</v>
      </c>
      <c r="F42" s="324"/>
      <c r="G42" s="324"/>
      <c r="H42" s="387"/>
      <c r="I42" s="388"/>
      <c r="J42" s="322"/>
      <c r="K42" s="75" t="s">
        <v>51</v>
      </c>
      <c r="L42" s="371" t="str">
        <f>'UTL COST'!$B$4</f>
        <v>#REF!</v>
      </c>
      <c r="M42" s="382">
        <f>'UTL COST'!$C$4</f>
        <v>7000</v>
      </c>
      <c r="N42" s="76">
        <v>0.0</v>
      </c>
      <c r="O42" s="324"/>
      <c r="P42" s="387"/>
    </row>
    <row r="43" ht="12.75" customHeight="1">
      <c r="A43" s="322"/>
      <c r="B43" s="75" t="s">
        <v>59</v>
      </c>
      <c r="C43" s="371" t="str">
        <f>'UTL COST'!$B$5</f>
        <v>#REF!</v>
      </c>
      <c r="D43" s="382">
        <f>'UTL COST'!$C$5</f>
        <v>45000</v>
      </c>
      <c r="E43" s="76" t="str">
        <f>'UTL COST'!$D$5</f>
        <v>#REF!</v>
      </c>
      <c r="F43" s="324"/>
      <c r="G43" s="324"/>
      <c r="H43" s="387"/>
      <c r="I43" s="388"/>
      <c r="J43" s="322"/>
      <c r="K43" s="75" t="s">
        <v>59</v>
      </c>
      <c r="L43" s="371" t="str">
        <f>'UTL COST'!$B$5</f>
        <v>#REF!</v>
      </c>
      <c r="M43" s="382">
        <f>'UTL COST'!$C$5</f>
        <v>45000</v>
      </c>
      <c r="N43" s="76" t="str">
        <f>'UTL COST'!$D$5</f>
        <v>#REF!</v>
      </c>
      <c r="O43" s="324"/>
      <c r="P43" s="387"/>
    </row>
    <row r="44" ht="12.75" customHeight="1">
      <c r="A44" s="322"/>
      <c r="B44" s="87" t="s">
        <v>78</v>
      </c>
      <c r="C44" s="371" t="str">
        <f>'UTL COST'!$B$6</f>
        <v>#REF!</v>
      </c>
      <c r="D44" s="383">
        <f>'UTL COST'!$C$6</f>
        <v>525</v>
      </c>
      <c r="E44" s="89">
        <v>0.1</v>
      </c>
      <c r="F44" s="324"/>
      <c r="G44" s="324"/>
      <c r="H44" s="387"/>
      <c r="I44" s="388"/>
      <c r="J44" s="322"/>
      <c r="K44" s="87" t="s">
        <v>78</v>
      </c>
      <c r="L44" s="371" t="str">
        <f>'UTL COST'!$B$6</f>
        <v>#REF!</v>
      </c>
      <c r="M44" s="383">
        <f>'UTL COST'!$C$6</f>
        <v>525</v>
      </c>
      <c r="N44" s="89">
        <v>0.1</v>
      </c>
      <c r="O44" s="324"/>
      <c r="P44" s="387"/>
    </row>
    <row r="45" ht="12.75" customHeight="1">
      <c r="A45" s="322"/>
      <c r="B45" s="34" t="s">
        <v>84</v>
      </c>
      <c r="C45" s="102"/>
      <c r="D45" s="102"/>
      <c r="E45" s="104" t="str">
        <f>IF(SUM(E41:E44)=0,"",SUM(E41:E44))</f>
        <v>#REF!</v>
      </c>
      <c r="F45" s="324"/>
      <c r="G45" s="324"/>
      <c r="H45" s="387"/>
      <c r="I45" s="388"/>
      <c r="J45" s="322"/>
      <c r="K45" s="34" t="s">
        <v>84</v>
      </c>
      <c r="L45" s="102"/>
      <c r="M45" s="102"/>
      <c r="N45" s="104" t="str">
        <f>IF(SUM(N41:N44)=0,"",SUM(N41:N44))</f>
        <v>#REF!</v>
      </c>
      <c r="O45" s="324"/>
      <c r="P45" s="387"/>
    </row>
    <row r="46" ht="12.75" customHeight="1">
      <c r="A46" s="322"/>
      <c r="B46" s="360"/>
      <c r="C46" s="360"/>
      <c r="D46" s="360"/>
      <c r="E46" s="361"/>
      <c r="F46" s="324"/>
      <c r="G46" s="324"/>
      <c r="H46" s="387"/>
      <c r="I46" s="388"/>
      <c r="J46" s="322"/>
      <c r="K46" s="360"/>
      <c r="L46" s="360"/>
      <c r="M46" s="360"/>
      <c r="N46" s="361"/>
      <c r="O46" s="324"/>
      <c r="P46" s="387"/>
    </row>
    <row r="47" ht="12.75" customHeight="1">
      <c r="A47" s="387"/>
      <c r="B47" s="387"/>
      <c r="C47" s="387"/>
      <c r="D47" s="387"/>
      <c r="E47" s="418"/>
      <c r="F47" s="387"/>
      <c r="G47" s="387"/>
      <c r="H47" s="387"/>
      <c r="I47" s="387"/>
      <c r="J47" s="387"/>
      <c r="K47" s="387"/>
      <c r="L47" s="387"/>
      <c r="M47" s="387"/>
      <c r="N47" s="387"/>
      <c r="O47" s="387"/>
      <c r="P47" s="387"/>
    </row>
    <row r="48" ht="12.75" customHeight="1">
      <c r="A48" s="322"/>
      <c r="B48" s="322"/>
      <c r="C48" s="322"/>
      <c r="D48" s="322"/>
      <c r="E48" s="323"/>
      <c r="F48" s="324"/>
      <c r="G48" s="324"/>
      <c r="H48" s="387"/>
      <c r="I48" s="388"/>
      <c r="J48" s="322"/>
      <c r="K48" s="322"/>
      <c r="L48" s="322"/>
      <c r="M48" s="322"/>
      <c r="N48" s="323"/>
      <c r="O48" s="324"/>
      <c r="P48" s="387"/>
    </row>
    <row r="49" ht="12.75" customHeight="1">
      <c r="A49" s="322"/>
      <c r="B49" s="325"/>
      <c r="C49" s="322"/>
      <c r="D49" s="322"/>
      <c r="E49" s="323"/>
      <c r="F49" s="326"/>
      <c r="G49" s="326"/>
      <c r="H49" s="404"/>
      <c r="I49" s="388"/>
      <c r="J49" s="322"/>
      <c r="K49" s="325"/>
      <c r="L49" s="322"/>
      <c r="M49" s="322"/>
      <c r="N49" s="323"/>
      <c r="O49" s="326"/>
      <c r="P49" s="387"/>
    </row>
    <row r="50" ht="12.75" customHeight="1">
      <c r="A50" s="322"/>
      <c r="B50" s="327" t="s">
        <v>931</v>
      </c>
      <c r="C50" s="454" t="s">
        <v>230</v>
      </c>
      <c r="D50" s="329"/>
      <c r="E50" s="323"/>
      <c r="F50" s="326"/>
      <c r="G50" s="326"/>
      <c r="H50" s="404"/>
      <c r="I50" s="388"/>
      <c r="J50" s="322"/>
      <c r="K50" s="327" t="s">
        <v>931</v>
      </c>
      <c r="L50" s="454" t="s">
        <v>1122</v>
      </c>
      <c r="M50" s="329"/>
      <c r="N50" s="323"/>
      <c r="O50" s="326"/>
      <c r="P50" s="387"/>
    </row>
    <row r="51" ht="12.75" customHeight="1">
      <c r="A51" s="322"/>
      <c r="B51" s="325"/>
      <c r="C51" s="322"/>
      <c r="D51" s="322"/>
      <c r="E51" s="323"/>
      <c r="F51" s="326"/>
      <c r="G51" s="326"/>
      <c r="H51" s="404"/>
      <c r="I51" s="388"/>
      <c r="J51" s="322"/>
      <c r="K51" s="325"/>
      <c r="L51" s="322"/>
      <c r="M51" s="322"/>
      <c r="N51" s="323"/>
      <c r="O51" s="326"/>
      <c r="P51" s="387"/>
    </row>
    <row r="52" ht="12.75" customHeight="1">
      <c r="A52" s="322"/>
      <c r="B52" s="327" t="s">
        <v>935</v>
      </c>
      <c r="C52" s="331">
        <v>145000.0</v>
      </c>
      <c r="D52" s="329"/>
      <c r="E52" s="323"/>
      <c r="F52" s="326"/>
      <c r="G52" s="326"/>
      <c r="H52" s="404"/>
      <c r="I52" s="388"/>
      <c r="J52" s="322"/>
      <c r="K52" s="327" t="s">
        <v>935</v>
      </c>
      <c r="L52" s="331">
        <v>180000.0</v>
      </c>
      <c r="M52" s="329"/>
      <c r="N52" s="323"/>
      <c r="O52" s="326"/>
      <c r="P52" s="387"/>
    </row>
    <row r="53" ht="12.75" customHeight="1">
      <c r="A53" s="322"/>
      <c r="B53" s="327"/>
      <c r="C53" s="332"/>
      <c r="D53" s="332"/>
      <c r="E53" s="323"/>
      <c r="F53" s="326"/>
      <c r="G53" s="326"/>
      <c r="H53" s="404"/>
      <c r="I53" s="388"/>
      <c r="J53" s="322"/>
      <c r="K53" s="327"/>
      <c r="L53" s="332"/>
      <c r="M53" s="332"/>
      <c r="N53" s="323"/>
      <c r="O53" s="326"/>
      <c r="P53" s="387"/>
    </row>
    <row r="54" ht="12.75" customHeight="1">
      <c r="A54" s="322"/>
      <c r="B54" s="327" t="s">
        <v>939</v>
      </c>
      <c r="C54" s="333" t="str">
        <f>IF(SUM(E66,E81,E89)=0,"",SUM(E66,E81,E89))</f>
        <v>#REF!</v>
      </c>
      <c r="D54" s="321"/>
      <c r="E54" s="323"/>
      <c r="F54" s="326"/>
      <c r="G54" s="326"/>
      <c r="H54" s="404"/>
      <c r="I54" s="388"/>
      <c r="J54" s="322"/>
      <c r="K54" s="327" t="s">
        <v>939</v>
      </c>
      <c r="L54" s="333" t="str">
        <f>IF(SUM(N66,N81,N89)=0,"",SUM(N66,N81,N89))</f>
        <v>#REF!</v>
      </c>
      <c r="M54" s="321"/>
      <c r="N54" s="323"/>
      <c r="O54" s="326"/>
      <c r="P54" s="387"/>
    </row>
    <row r="55" ht="12.75" customHeight="1">
      <c r="A55" s="322"/>
      <c r="B55" s="327"/>
      <c r="C55" s="334"/>
      <c r="D55" s="334"/>
      <c r="E55" s="323"/>
      <c r="F55" s="326"/>
      <c r="G55" s="326"/>
      <c r="H55" s="404"/>
      <c r="I55" s="388"/>
      <c r="J55" s="322"/>
      <c r="K55" s="327"/>
      <c r="L55" s="334"/>
      <c r="M55" s="334"/>
      <c r="N55" s="323"/>
      <c r="O55" s="326"/>
      <c r="P55" s="387"/>
    </row>
    <row r="56" ht="12.75" customHeight="1">
      <c r="A56" s="322"/>
      <c r="B56" s="327" t="s">
        <v>946</v>
      </c>
      <c r="C56" s="335" t="str">
        <f>IF(C54="","",IF(ISBLANK(C52),"",C54/C52))</f>
        <v>#REF!</v>
      </c>
      <c r="D56" s="321"/>
      <c r="E56" s="323"/>
      <c r="F56" s="326"/>
      <c r="G56" s="326"/>
      <c r="H56" s="404"/>
      <c r="I56" s="388"/>
      <c r="J56" s="322"/>
      <c r="K56" s="327" t="s">
        <v>946</v>
      </c>
      <c r="L56" s="335" t="str">
        <f>IF(L54="","",IF(ISBLANK(L52),"",L54/L52))</f>
        <v>#REF!</v>
      </c>
      <c r="M56" s="321"/>
      <c r="N56" s="323"/>
      <c r="O56" s="326"/>
      <c r="P56" s="387"/>
    </row>
    <row r="57" ht="12.75" customHeight="1">
      <c r="A57" s="322"/>
      <c r="B57" s="327"/>
      <c r="C57" s="334"/>
      <c r="D57" s="334"/>
      <c r="E57" s="323"/>
      <c r="F57" s="326"/>
      <c r="G57" s="326"/>
      <c r="H57" s="404"/>
      <c r="I57" s="388"/>
      <c r="J57" s="322"/>
      <c r="K57" s="327"/>
      <c r="L57" s="334"/>
      <c r="M57" s="334"/>
      <c r="N57" s="323"/>
      <c r="O57" s="326"/>
      <c r="P57" s="387"/>
    </row>
    <row r="58" ht="12.75" customHeight="1">
      <c r="A58" s="322"/>
      <c r="B58" s="327" t="s">
        <v>950</v>
      </c>
      <c r="C58" s="333" t="str">
        <f>C52-C54</f>
        <v>#REF!</v>
      </c>
      <c r="D58" s="321"/>
      <c r="E58" s="323"/>
      <c r="F58" s="326"/>
      <c r="G58" s="326"/>
      <c r="H58" s="404"/>
      <c r="I58" s="388"/>
      <c r="J58" s="322"/>
      <c r="K58" s="327" t="s">
        <v>950</v>
      </c>
      <c r="L58" s="333" t="str">
        <f>L52-L54</f>
        <v>#REF!</v>
      </c>
      <c r="M58" s="321"/>
      <c r="N58" s="323"/>
      <c r="O58" s="326"/>
      <c r="P58" s="387"/>
    </row>
    <row r="59" ht="12.75" customHeight="1">
      <c r="A59" s="322"/>
      <c r="B59" s="322"/>
      <c r="C59" s="322"/>
      <c r="D59" s="322"/>
      <c r="E59" s="323"/>
      <c r="F59" s="324"/>
      <c r="G59" s="324"/>
      <c r="H59" s="404"/>
      <c r="I59" s="388"/>
      <c r="J59" s="322"/>
      <c r="K59" s="322"/>
      <c r="L59" s="322"/>
      <c r="M59" s="322"/>
      <c r="N59" s="323"/>
      <c r="O59" s="324"/>
      <c r="P59" s="387"/>
    </row>
    <row r="60" ht="12.75" customHeight="1">
      <c r="A60" s="322"/>
      <c r="B60" s="322"/>
      <c r="C60" s="322"/>
      <c r="D60" s="322"/>
      <c r="E60" s="337"/>
      <c r="F60" s="324"/>
      <c r="G60" s="324"/>
      <c r="H60" s="387"/>
      <c r="I60" s="388"/>
      <c r="J60" s="322"/>
      <c r="K60" s="322"/>
      <c r="L60" s="322"/>
      <c r="M60" s="322"/>
      <c r="N60" s="337"/>
      <c r="O60" s="324"/>
      <c r="P60" s="387"/>
    </row>
    <row r="61" ht="12.75" customHeight="1">
      <c r="A61" s="322"/>
      <c r="B61" s="338" t="s">
        <v>951</v>
      </c>
      <c r="C61" s="339"/>
      <c r="D61" s="339"/>
      <c r="E61" s="339"/>
      <c r="F61" s="324"/>
      <c r="G61" s="324"/>
      <c r="H61" s="410"/>
      <c r="I61" s="388"/>
      <c r="J61" s="322"/>
      <c r="K61" s="338" t="s">
        <v>951</v>
      </c>
      <c r="L61" s="339"/>
      <c r="M61" s="339"/>
      <c r="N61" s="339"/>
      <c r="O61" s="324"/>
      <c r="P61" s="387"/>
    </row>
    <row r="62" ht="12.75" customHeight="1">
      <c r="A62" s="322"/>
      <c r="B62" s="340" t="s">
        <v>953</v>
      </c>
      <c r="C62" s="341" t="s">
        <v>954</v>
      </c>
      <c r="D62" s="341" t="s">
        <v>955</v>
      </c>
      <c r="E62" s="341" t="s">
        <v>35</v>
      </c>
      <c r="F62" s="324"/>
      <c r="G62" s="324"/>
      <c r="H62" s="387"/>
      <c r="I62" s="388"/>
      <c r="J62" s="322"/>
      <c r="K62" s="340" t="s">
        <v>953</v>
      </c>
      <c r="L62" s="341" t="s">
        <v>954</v>
      </c>
      <c r="M62" s="341" t="s">
        <v>955</v>
      </c>
      <c r="N62" s="341" t="s">
        <v>35</v>
      </c>
      <c r="O62" s="324"/>
      <c r="P62" s="387"/>
    </row>
    <row r="63" ht="12.75" customHeight="1">
      <c r="A63" s="322"/>
      <c r="B63" s="60" t="s">
        <v>60</v>
      </c>
      <c r="C63" s="344">
        <v>0.02</v>
      </c>
      <c r="D63" s="343">
        <f>D19</f>
        <v>148500</v>
      </c>
      <c r="E63" s="67">
        <f t="shared" ref="E63:E65" si="5">IF(OR(ISBLANK(C63),ISBLANK(D63)),"",D63*C63)</f>
        <v>2970</v>
      </c>
      <c r="F63" s="324"/>
      <c r="G63" s="324"/>
      <c r="H63" s="387"/>
      <c r="I63" s="388"/>
      <c r="J63" s="322"/>
      <c r="K63" s="60" t="s">
        <v>703</v>
      </c>
      <c r="L63" s="344">
        <v>0.09</v>
      </c>
      <c r="M63" s="343">
        <f>SANDWICHES!$D$19</f>
        <v>81000</v>
      </c>
      <c r="N63" s="67">
        <f t="shared" ref="N63:N64" si="6">IF(OR(ISBLANK(L63),ISBLANK(M63)),"",M63*L63)</f>
        <v>7290</v>
      </c>
      <c r="O63" s="324"/>
      <c r="P63" s="387"/>
    </row>
    <row r="64" ht="12.75" customHeight="1">
      <c r="A64" s="322"/>
      <c r="B64" s="75"/>
      <c r="C64" s="370"/>
      <c r="D64" s="371"/>
      <c r="E64" s="67" t="str">
        <f t="shared" si="5"/>
        <v/>
      </c>
      <c r="F64" s="324"/>
      <c r="G64" s="324"/>
      <c r="H64" s="387"/>
      <c r="I64" s="388"/>
      <c r="J64" s="322"/>
      <c r="K64" s="87" t="s">
        <v>60</v>
      </c>
      <c r="L64" s="407">
        <v>0.02</v>
      </c>
      <c r="M64" s="408">
        <f>D63</f>
        <v>148500</v>
      </c>
      <c r="N64" s="89">
        <f t="shared" si="6"/>
        <v>2970</v>
      </c>
      <c r="O64" s="324"/>
      <c r="P64" s="387"/>
    </row>
    <row r="65" ht="12.75" customHeight="1">
      <c r="A65" s="322"/>
      <c r="B65" s="354"/>
      <c r="C65" s="355"/>
      <c r="D65" s="356"/>
      <c r="E65" s="357" t="str">
        <f t="shared" si="5"/>
        <v/>
      </c>
      <c r="F65" s="324"/>
      <c r="G65" s="324"/>
      <c r="H65" s="387"/>
      <c r="I65" s="388"/>
      <c r="J65" s="322"/>
      <c r="K65" s="87"/>
      <c r="L65" s="412"/>
      <c r="M65" s="408"/>
      <c r="N65" s="89"/>
      <c r="O65" s="324"/>
      <c r="P65" s="387"/>
    </row>
    <row r="66" ht="12.75" customHeight="1">
      <c r="A66" s="322"/>
      <c r="B66" s="338" t="s">
        <v>84</v>
      </c>
      <c r="C66" s="358"/>
      <c r="D66" s="358"/>
      <c r="E66" s="359">
        <f>IF(SUM(E63:E65)=0,"",SUM(E63:E65))</f>
        <v>2970</v>
      </c>
      <c r="F66" s="324"/>
      <c r="G66" s="324"/>
      <c r="H66" s="387"/>
      <c r="I66" s="388"/>
      <c r="J66" s="322"/>
      <c r="K66" s="338" t="s">
        <v>84</v>
      </c>
      <c r="L66" s="358"/>
      <c r="M66" s="358"/>
      <c r="N66" s="359">
        <f>IF(SUM(N63:N65)=0,"",SUM(N63:N65))</f>
        <v>10260</v>
      </c>
      <c r="O66" s="324"/>
      <c r="P66" s="387"/>
    </row>
    <row r="67" ht="12.75" customHeight="1">
      <c r="A67" s="322"/>
      <c r="B67" s="360"/>
      <c r="C67" s="360"/>
      <c r="D67" s="360"/>
      <c r="E67" s="361"/>
      <c r="F67" s="324"/>
      <c r="G67" s="324"/>
      <c r="H67" s="387"/>
      <c r="I67" s="388"/>
      <c r="J67" s="322"/>
      <c r="K67" s="360"/>
      <c r="L67" s="360"/>
      <c r="M67" s="360"/>
      <c r="N67" s="361"/>
      <c r="O67" s="324"/>
      <c r="P67" s="387"/>
    </row>
    <row r="68" ht="12.75" customHeight="1">
      <c r="A68" s="322"/>
      <c r="B68" s="362" t="s">
        <v>972</v>
      </c>
      <c r="C68" s="363"/>
      <c r="D68" s="363"/>
      <c r="E68" s="363"/>
      <c r="F68" s="324"/>
      <c r="G68" s="324"/>
      <c r="H68" s="387"/>
      <c r="I68" s="388"/>
      <c r="J68" s="322"/>
      <c r="K68" s="362" t="s">
        <v>972</v>
      </c>
      <c r="L68" s="363"/>
      <c r="M68" s="363"/>
      <c r="N68" s="363"/>
      <c r="O68" s="324"/>
      <c r="P68" s="387"/>
    </row>
    <row r="69" ht="12.75" customHeight="1">
      <c r="A69" s="322"/>
      <c r="B69" s="365" t="s">
        <v>953</v>
      </c>
      <c r="C69" s="366" t="s">
        <v>3</v>
      </c>
      <c r="D69" s="366" t="s">
        <v>975</v>
      </c>
      <c r="E69" s="367" t="s">
        <v>35</v>
      </c>
      <c r="F69" s="324"/>
      <c r="G69" s="324"/>
      <c r="H69" s="387"/>
      <c r="I69" s="388"/>
      <c r="J69" s="322"/>
      <c r="K69" s="365" t="s">
        <v>953</v>
      </c>
      <c r="L69" s="366" t="s">
        <v>3</v>
      </c>
      <c r="M69" s="366" t="s">
        <v>975</v>
      </c>
      <c r="N69" s="367" t="s">
        <v>35</v>
      </c>
      <c r="O69" s="324"/>
      <c r="P69" s="387"/>
    </row>
    <row r="70" ht="12.75" customHeight="1">
      <c r="A70" s="322"/>
      <c r="B70" s="368"/>
      <c r="C70" s="366"/>
      <c r="D70" s="366"/>
      <c r="E70" s="368"/>
      <c r="F70" s="324"/>
      <c r="G70" s="324"/>
      <c r="H70" s="387"/>
      <c r="I70" s="388"/>
      <c r="J70" s="322"/>
      <c r="K70" s="368"/>
      <c r="L70" s="366"/>
      <c r="M70" s="366"/>
      <c r="N70" s="368"/>
      <c r="O70" s="324"/>
      <c r="P70" s="387"/>
    </row>
    <row r="71" ht="12.75" customHeight="1">
      <c r="A71" s="322"/>
      <c r="B71" s="60" t="s">
        <v>1000</v>
      </c>
      <c r="C71" s="344">
        <v>0.3</v>
      </c>
      <c r="D71" s="343">
        <f>M27</f>
        <v>13500</v>
      </c>
      <c r="E71" s="67">
        <f>D71*C71</f>
        <v>4050</v>
      </c>
      <c r="F71" s="324"/>
      <c r="G71" s="324"/>
      <c r="H71" s="387"/>
      <c r="I71" s="388"/>
      <c r="J71" s="322"/>
      <c r="K71" s="60" t="s">
        <v>1000</v>
      </c>
      <c r="L71" s="344">
        <v>0.3</v>
      </c>
      <c r="M71" s="343">
        <f>M27</f>
        <v>13500</v>
      </c>
      <c r="N71" s="67">
        <f>M71*L71</f>
        <v>4050</v>
      </c>
      <c r="O71" s="324"/>
      <c r="P71" s="387"/>
    </row>
    <row r="72" ht="12.75" customHeight="1">
      <c r="A72" s="322"/>
      <c r="B72" s="429" t="s">
        <v>177</v>
      </c>
      <c r="C72" s="370">
        <v>0.02</v>
      </c>
      <c r="D72" s="371">
        <f>Prep!J80</f>
        <v>71480.65385</v>
      </c>
      <c r="E72" s="67">
        <v>5000.0</v>
      </c>
      <c r="F72" s="324"/>
      <c r="G72" s="324"/>
      <c r="H72" s="387"/>
      <c r="I72" s="388"/>
      <c r="J72" s="322"/>
      <c r="K72" s="429" t="s">
        <v>177</v>
      </c>
      <c r="L72" s="370">
        <v>0.02</v>
      </c>
      <c r="M72" s="371">
        <f>Prep!J80</f>
        <v>71480.65385</v>
      </c>
      <c r="N72" s="67">
        <v>5000.0</v>
      </c>
      <c r="O72" s="324"/>
      <c r="P72" s="387"/>
    </row>
    <row r="73" ht="12.75" customHeight="1">
      <c r="A73" s="322"/>
      <c r="B73" s="75" t="s">
        <v>10</v>
      </c>
      <c r="C73" s="370">
        <v>1.0</v>
      </c>
      <c r="D73" s="371">
        <f>SAUCES!$D$16</f>
        <v>3406.947866</v>
      </c>
      <c r="E73" s="67">
        <f t="shared" ref="E73:E80" si="7">D73*C73</f>
        <v>3406.947866</v>
      </c>
      <c r="F73" s="324"/>
      <c r="G73" s="324"/>
      <c r="H73" s="387"/>
      <c r="I73" s="388"/>
      <c r="J73" s="322"/>
      <c r="K73" s="75" t="s">
        <v>10</v>
      </c>
      <c r="L73" s="370">
        <v>1.0</v>
      </c>
      <c r="M73" s="371">
        <f>SAUCES!$D$16</f>
        <v>3406.947866</v>
      </c>
      <c r="N73" s="67">
        <f t="shared" ref="N73:N80" si="8">M73*L73</f>
        <v>3406.947866</v>
      </c>
      <c r="O73" s="324"/>
      <c r="P73" s="387"/>
    </row>
    <row r="74" ht="12.75" customHeight="1">
      <c r="A74" s="322"/>
      <c r="B74" s="75" t="s">
        <v>273</v>
      </c>
      <c r="C74" s="346">
        <v>0.03</v>
      </c>
      <c r="D74" s="371">
        <f>'F&amp;B'!$F$283</f>
        <v>9000</v>
      </c>
      <c r="E74" s="67">
        <f t="shared" si="7"/>
        <v>270</v>
      </c>
      <c r="F74" s="324"/>
      <c r="G74" s="324"/>
      <c r="H74" s="387"/>
      <c r="I74" s="388"/>
      <c r="J74" s="322"/>
      <c r="K74" s="75" t="s">
        <v>273</v>
      </c>
      <c r="L74" s="346">
        <v>0.03</v>
      </c>
      <c r="M74" s="371">
        <f>'F&amp;B'!$F$283</f>
        <v>9000</v>
      </c>
      <c r="N74" s="67">
        <f t="shared" si="8"/>
        <v>270</v>
      </c>
      <c r="O74" s="324"/>
      <c r="P74" s="387"/>
    </row>
    <row r="75" ht="12.75" customHeight="1">
      <c r="A75" s="322"/>
      <c r="B75" s="75"/>
      <c r="C75" s="346"/>
      <c r="D75" s="371"/>
      <c r="E75" s="67">
        <f t="shared" si="7"/>
        <v>0</v>
      </c>
      <c r="F75" s="324"/>
      <c r="G75" s="324"/>
      <c r="H75" s="387"/>
      <c r="I75" s="388"/>
      <c r="J75" s="322"/>
      <c r="K75" s="75"/>
      <c r="L75" s="346"/>
      <c r="M75" s="371"/>
      <c r="N75" s="67">
        <f t="shared" si="8"/>
        <v>0</v>
      </c>
      <c r="O75" s="324"/>
      <c r="P75" s="387"/>
    </row>
    <row r="76" ht="12.75" customHeight="1">
      <c r="A76" s="322"/>
      <c r="B76" s="75"/>
      <c r="C76" s="346"/>
      <c r="D76" s="373"/>
      <c r="E76" s="67">
        <f t="shared" si="7"/>
        <v>0</v>
      </c>
      <c r="F76" s="324"/>
      <c r="G76" s="324"/>
      <c r="H76" s="387"/>
      <c r="I76" s="388"/>
      <c r="J76" s="322"/>
      <c r="K76" s="75"/>
      <c r="L76" s="370"/>
      <c r="M76" s="371"/>
      <c r="N76" s="67">
        <f t="shared" si="8"/>
        <v>0</v>
      </c>
      <c r="O76" s="324"/>
      <c r="P76" s="387"/>
    </row>
    <row r="77" ht="12.75" customHeight="1">
      <c r="A77" s="322"/>
      <c r="B77" s="348"/>
      <c r="C77" s="346"/>
      <c r="D77" s="373"/>
      <c r="E77" s="67">
        <f t="shared" si="7"/>
        <v>0</v>
      </c>
      <c r="F77" s="324"/>
      <c r="G77" s="324"/>
      <c r="H77" s="387"/>
      <c r="I77" s="388"/>
      <c r="J77" s="322"/>
      <c r="K77" s="348"/>
      <c r="L77" s="346"/>
      <c r="M77" s="373"/>
      <c r="N77" s="67">
        <f t="shared" si="8"/>
        <v>0</v>
      </c>
      <c r="O77" s="324"/>
      <c r="P77" s="387"/>
    </row>
    <row r="78" ht="12.75" customHeight="1">
      <c r="A78" s="322"/>
      <c r="B78" s="348"/>
      <c r="C78" s="346"/>
      <c r="D78" s="373"/>
      <c r="E78" s="67">
        <f t="shared" si="7"/>
        <v>0</v>
      </c>
      <c r="F78" s="324"/>
      <c r="G78" s="324"/>
      <c r="H78" s="387"/>
      <c r="I78" s="388"/>
      <c r="J78" s="322"/>
      <c r="K78" s="348"/>
      <c r="L78" s="346"/>
      <c r="M78" s="373"/>
      <c r="N78" s="67">
        <f t="shared" si="8"/>
        <v>0</v>
      </c>
      <c r="O78" s="324"/>
      <c r="P78" s="387"/>
    </row>
    <row r="79" ht="12.75" customHeight="1">
      <c r="A79" s="322"/>
      <c r="B79" s="348"/>
      <c r="C79" s="346"/>
      <c r="D79" s="373"/>
      <c r="E79" s="67">
        <f t="shared" si="7"/>
        <v>0</v>
      </c>
      <c r="F79" s="324"/>
      <c r="G79" s="324"/>
      <c r="H79" s="387"/>
      <c r="I79" s="388"/>
      <c r="J79" s="322"/>
      <c r="K79" s="348"/>
      <c r="L79" s="346"/>
      <c r="M79" s="373"/>
      <c r="N79" s="67">
        <f t="shared" si="8"/>
        <v>0</v>
      </c>
      <c r="O79" s="324"/>
      <c r="P79" s="387"/>
    </row>
    <row r="80" ht="12.75" customHeight="1">
      <c r="A80" s="322"/>
      <c r="B80" s="354"/>
      <c r="C80" s="355"/>
      <c r="D80" s="356"/>
      <c r="E80" s="67">
        <f t="shared" si="7"/>
        <v>0</v>
      </c>
      <c r="F80" s="324"/>
      <c r="G80" s="324"/>
      <c r="H80" s="387"/>
      <c r="I80" s="388"/>
      <c r="J80" s="322"/>
      <c r="K80" s="354"/>
      <c r="L80" s="355"/>
      <c r="M80" s="356"/>
      <c r="N80" s="67">
        <f t="shared" si="8"/>
        <v>0</v>
      </c>
      <c r="O80" s="324"/>
      <c r="P80" s="387"/>
    </row>
    <row r="81" ht="12.75" customHeight="1">
      <c r="A81" s="322"/>
      <c r="B81" s="362" t="s">
        <v>84</v>
      </c>
      <c r="C81" s="374"/>
      <c r="D81" s="374"/>
      <c r="E81" s="375">
        <f>IF(SUM(E71:E80)=0,"",SUM(E71:E80))</f>
        <v>12726.94787</v>
      </c>
      <c r="F81" s="324"/>
      <c r="G81" s="324"/>
      <c r="H81" s="387"/>
      <c r="I81" s="388"/>
      <c r="J81" s="322"/>
      <c r="K81" s="362" t="s">
        <v>84</v>
      </c>
      <c r="L81" s="374"/>
      <c r="M81" s="374"/>
      <c r="N81" s="375">
        <f>IF(SUM(N71:N80)=0,"",SUM(N71:N80))</f>
        <v>12726.94787</v>
      </c>
      <c r="O81" s="324"/>
      <c r="P81" s="387"/>
    </row>
    <row r="82" ht="12.75" customHeight="1">
      <c r="A82" s="322"/>
      <c r="B82" s="360"/>
      <c r="C82" s="360"/>
      <c r="D82" s="360"/>
      <c r="E82" s="361"/>
      <c r="F82" s="324"/>
      <c r="G82" s="324"/>
      <c r="H82" s="387"/>
      <c r="I82" s="388"/>
      <c r="J82" s="322"/>
      <c r="K82" s="360"/>
      <c r="L82" s="360"/>
      <c r="M82" s="360"/>
      <c r="N82" s="361"/>
      <c r="O82" s="324"/>
      <c r="P82" s="387"/>
    </row>
    <row r="83" ht="12.75" customHeight="1">
      <c r="A83" s="322"/>
      <c r="B83" s="34" t="s">
        <v>17</v>
      </c>
      <c r="C83" s="35"/>
      <c r="D83" s="35"/>
      <c r="E83" s="35"/>
      <c r="F83" s="324"/>
      <c r="G83" s="324"/>
      <c r="H83" s="387"/>
      <c r="I83" s="388"/>
      <c r="J83" s="322"/>
      <c r="K83" s="34" t="s">
        <v>17</v>
      </c>
      <c r="L83" s="35"/>
      <c r="M83" s="35"/>
      <c r="N83" s="35"/>
      <c r="O83" s="324"/>
      <c r="P83" s="387"/>
    </row>
    <row r="84" ht="12.75" customHeight="1">
      <c r="A84" s="322"/>
      <c r="B84" s="52" t="s">
        <v>42</v>
      </c>
      <c r="C84" s="54"/>
      <c r="D84" s="54"/>
      <c r="E84" s="56" t="s">
        <v>35</v>
      </c>
      <c r="F84" s="324"/>
      <c r="G84" s="324"/>
      <c r="H84" s="387"/>
      <c r="I84" s="388"/>
      <c r="J84" s="322"/>
      <c r="K84" s="52" t="s">
        <v>42</v>
      </c>
      <c r="L84" s="54"/>
      <c r="M84" s="54"/>
      <c r="N84" s="56" t="s">
        <v>35</v>
      </c>
      <c r="O84" s="324"/>
      <c r="P84" s="387"/>
    </row>
    <row r="85" ht="12.75" customHeight="1">
      <c r="A85" s="322"/>
      <c r="B85" s="60" t="s">
        <v>40</v>
      </c>
      <c r="C85" s="343">
        <f>'UTL COST'!$B$3</f>
        <v>369000</v>
      </c>
      <c r="D85" s="379">
        <f>'UTL COST'!$C$3</f>
        <v>0.0075</v>
      </c>
      <c r="E85" s="67">
        <v>0.0</v>
      </c>
      <c r="F85" s="324"/>
      <c r="G85" s="324"/>
      <c r="H85" s="387"/>
      <c r="I85" s="388"/>
      <c r="J85" s="322"/>
      <c r="K85" s="60" t="s">
        <v>40</v>
      </c>
      <c r="L85" s="343">
        <f>'UTL COST'!$B$3</f>
        <v>369000</v>
      </c>
      <c r="M85" s="379">
        <f>'UTL COST'!$C$3</f>
        <v>0.0075</v>
      </c>
      <c r="N85" s="67">
        <v>0.0</v>
      </c>
      <c r="O85" s="324"/>
      <c r="P85" s="387"/>
    </row>
    <row r="86" ht="12.75" customHeight="1">
      <c r="A86" s="322"/>
      <c r="B86" s="75" t="s">
        <v>51</v>
      </c>
      <c r="C86" s="371" t="str">
        <f>'UTL COST'!$B$4</f>
        <v>#REF!</v>
      </c>
      <c r="D86" s="382">
        <f>'UTL COST'!$C$4</f>
        <v>7000</v>
      </c>
      <c r="E86" s="76">
        <v>0.0</v>
      </c>
      <c r="F86" s="324"/>
      <c r="G86" s="324"/>
      <c r="H86" s="387"/>
      <c r="I86" s="388"/>
      <c r="J86" s="322"/>
      <c r="K86" s="75" t="s">
        <v>51</v>
      </c>
      <c r="L86" s="371" t="str">
        <f>'UTL COST'!$B$4</f>
        <v>#REF!</v>
      </c>
      <c r="M86" s="382">
        <f>'UTL COST'!$C$4</f>
        <v>7000</v>
      </c>
      <c r="N86" s="76" t="str">
        <f>'UTL COST'!$D$4</f>
        <v>#REF!</v>
      </c>
      <c r="O86" s="324"/>
      <c r="P86" s="387"/>
    </row>
    <row r="87" ht="12.75" customHeight="1">
      <c r="A87" s="322"/>
      <c r="B87" s="75" t="s">
        <v>59</v>
      </c>
      <c r="C87" s="371" t="str">
        <f>'UTL COST'!$B$5</f>
        <v>#REF!</v>
      </c>
      <c r="D87" s="382">
        <f>'UTL COST'!$C$5</f>
        <v>45000</v>
      </c>
      <c r="E87" s="76" t="str">
        <f>'UTL COST'!$D$5</f>
        <v>#REF!</v>
      </c>
      <c r="F87" s="324"/>
      <c r="G87" s="324"/>
      <c r="H87" s="387"/>
      <c r="I87" s="388"/>
      <c r="J87" s="322"/>
      <c r="K87" s="75" t="s">
        <v>59</v>
      </c>
      <c r="L87" s="371" t="str">
        <f>'UTL COST'!$B$5</f>
        <v>#REF!</v>
      </c>
      <c r="M87" s="382">
        <f>'UTL COST'!$C$5</f>
        <v>45000</v>
      </c>
      <c r="N87" s="76" t="str">
        <f>'UTL COST'!$D$5</f>
        <v>#REF!</v>
      </c>
      <c r="O87" s="324"/>
      <c r="P87" s="387"/>
    </row>
    <row r="88" ht="12.75" customHeight="1">
      <c r="A88" s="322"/>
      <c r="B88" s="87" t="s">
        <v>78</v>
      </c>
      <c r="C88" s="371" t="str">
        <f>'UTL COST'!$B$6</f>
        <v>#REF!</v>
      </c>
      <c r="D88" s="383">
        <f>'UTL COST'!$C$6</f>
        <v>525</v>
      </c>
      <c r="E88" s="89">
        <v>0.1</v>
      </c>
      <c r="F88" s="324"/>
      <c r="G88" s="324"/>
      <c r="H88" s="387"/>
      <c r="I88" s="388"/>
      <c r="J88" s="322"/>
      <c r="K88" s="87" t="s">
        <v>78</v>
      </c>
      <c r="L88" s="371" t="str">
        <f>'UTL COST'!$B$6</f>
        <v>#REF!</v>
      </c>
      <c r="M88" s="383">
        <f>'UTL COST'!$C$6</f>
        <v>525</v>
      </c>
      <c r="N88" s="89">
        <v>0.1</v>
      </c>
      <c r="O88" s="324"/>
      <c r="P88" s="387"/>
    </row>
    <row r="89" ht="12.75" customHeight="1">
      <c r="A89" s="322"/>
      <c r="B89" s="34" t="s">
        <v>84</v>
      </c>
      <c r="C89" s="102"/>
      <c r="D89" s="102"/>
      <c r="E89" s="104" t="str">
        <f>IF(SUM(E85:E88)=0,"",SUM(E85:E88))</f>
        <v>#REF!</v>
      </c>
      <c r="F89" s="324"/>
      <c r="G89" s="324"/>
      <c r="H89" s="387"/>
      <c r="I89" s="388"/>
      <c r="J89" s="322"/>
      <c r="K89" s="34" t="s">
        <v>84</v>
      </c>
      <c r="L89" s="102"/>
      <c r="M89" s="102"/>
      <c r="N89" s="104" t="str">
        <f>IF(SUM(N85:N88)=0,"",SUM(N85:N88))</f>
        <v>#REF!</v>
      </c>
      <c r="O89" s="324"/>
      <c r="P89" s="387"/>
    </row>
    <row r="90" ht="12.75" customHeight="1">
      <c r="A90" s="322"/>
      <c r="B90" s="360"/>
      <c r="C90" s="360"/>
      <c r="D90" s="360"/>
      <c r="E90" s="361"/>
      <c r="F90" s="324"/>
      <c r="G90" s="324"/>
      <c r="H90" s="387"/>
      <c r="I90" s="388"/>
      <c r="J90" s="322"/>
      <c r="K90" s="360"/>
      <c r="L90" s="360"/>
      <c r="M90" s="360"/>
      <c r="N90" s="361"/>
      <c r="O90" s="324"/>
      <c r="P90" s="387"/>
    </row>
    <row r="91" ht="12.75" customHeight="1">
      <c r="A91" s="388"/>
      <c r="B91" s="432"/>
      <c r="C91" s="432"/>
      <c r="D91" s="432"/>
      <c r="E91" s="433"/>
      <c r="F91" s="387"/>
      <c r="G91" s="387"/>
      <c r="H91" s="387"/>
      <c r="I91" s="388"/>
      <c r="J91" s="388"/>
      <c r="K91" s="432"/>
      <c r="L91" s="432"/>
      <c r="M91" s="432"/>
      <c r="N91" s="433"/>
      <c r="O91" s="387"/>
      <c r="P91" s="387"/>
    </row>
    <row r="92" ht="12.75" customHeight="1">
      <c r="A92" s="387"/>
      <c r="B92" s="387"/>
      <c r="C92" s="387"/>
      <c r="D92" s="387"/>
      <c r="E92" s="418"/>
      <c r="F92" s="387"/>
      <c r="G92" s="387"/>
      <c r="H92" s="387"/>
      <c r="I92" s="387"/>
      <c r="J92" s="387"/>
      <c r="K92" s="387"/>
      <c r="L92" s="387"/>
      <c r="M92" s="387"/>
      <c r="N92" s="387"/>
      <c r="O92" s="387"/>
      <c r="P92" s="387"/>
    </row>
    <row r="93" ht="12.75" customHeight="1">
      <c r="A93" s="322"/>
      <c r="B93" s="322"/>
      <c r="C93" s="322"/>
      <c r="D93" s="322"/>
      <c r="E93" s="323"/>
      <c r="F93" s="324"/>
      <c r="G93" s="324"/>
      <c r="H93" s="387"/>
      <c r="I93" s="388"/>
      <c r="J93" s="322"/>
      <c r="K93" s="322"/>
      <c r="L93" s="322"/>
      <c r="M93" s="322"/>
      <c r="N93" s="323"/>
      <c r="O93" s="324"/>
      <c r="P93" s="387"/>
    </row>
    <row r="94" ht="12.75" customHeight="1">
      <c r="A94" s="322"/>
      <c r="B94" s="325"/>
      <c r="C94" s="322"/>
      <c r="D94" s="322"/>
      <c r="E94" s="323"/>
      <c r="F94" s="326"/>
      <c r="G94" s="326"/>
      <c r="H94" s="404"/>
      <c r="I94" s="388"/>
      <c r="J94" s="322"/>
      <c r="K94" s="325"/>
      <c r="L94" s="322"/>
      <c r="M94" s="322"/>
      <c r="N94" s="323"/>
      <c r="O94" s="326"/>
      <c r="P94" s="387"/>
    </row>
    <row r="95" ht="12.75" customHeight="1">
      <c r="A95" s="322"/>
      <c r="B95" s="327" t="s">
        <v>931</v>
      </c>
      <c r="C95" s="454" t="s">
        <v>240</v>
      </c>
      <c r="D95" s="329"/>
      <c r="E95" s="323"/>
      <c r="F95" s="326"/>
      <c r="G95" s="326"/>
      <c r="H95" s="404"/>
      <c r="I95" s="388"/>
      <c r="J95" s="322"/>
      <c r="K95" s="327" t="s">
        <v>931</v>
      </c>
      <c r="L95" s="330" t="s">
        <v>1145</v>
      </c>
      <c r="M95" s="329"/>
      <c r="N95" s="323"/>
      <c r="O95" s="326"/>
      <c r="P95" s="387"/>
    </row>
    <row r="96" ht="12.75" customHeight="1">
      <c r="A96" s="322"/>
      <c r="B96" s="325"/>
      <c r="C96" s="322"/>
      <c r="D96" s="322"/>
      <c r="E96" s="323"/>
      <c r="F96" s="326"/>
      <c r="G96" s="326"/>
      <c r="H96" s="404"/>
      <c r="I96" s="388"/>
      <c r="J96" s="322"/>
      <c r="K96" s="325"/>
      <c r="L96" s="322"/>
      <c r="M96" s="322"/>
      <c r="N96" s="323"/>
      <c r="O96" s="326"/>
      <c r="P96" s="387"/>
    </row>
    <row r="97" ht="12.75" customHeight="1">
      <c r="A97" s="322"/>
      <c r="B97" s="327" t="s">
        <v>935</v>
      </c>
      <c r="C97" s="331">
        <v>205000.0</v>
      </c>
      <c r="D97" s="329"/>
      <c r="E97" s="323"/>
      <c r="F97" s="326"/>
      <c r="G97" s="326"/>
      <c r="H97" s="404"/>
      <c r="I97" s="388"/>
      <c r="J97" s="322"/>
      <c r="K97" s="327" t="s">
        <v>935</v>
      </c>
      <c r="L97" s="440">
        <v>1300000.0</v>
      </c>
      <c r="M97" s="329"/>
      <c r="N97" s="323">
        <f>L97/90000</f>
        <v>14.44444444</v>
      </c>
      <c r="O97" s="326"/>
      <c r="P97" s="387"/>
    </row>
    <row r="98" ht="12.75" customHeight="1">
      <c r="A98" s="322"/>
      <c r="B98" s="327"/>
      <c r="C98" s="332"/>
      <c r="D98" s="332"/>
      <c r="E98" s="323"/>
      <c r="F98" s="326"/>
      <c r="G98" s="326"/>
      <c r="H98" s="404"/>
      <c r="I98" s="388"/>
      <c r="J98" s="322"/>
      <c r="K98" s="327"/>
      <c r="L98" s="332"/>
      <c r="M98" s="332"/>
      <c r="N98" s="323"/>
      <c r="O98" s="326"/>
      <c r="P98" s="387"/>
    </row>
    <row r="99" ht="12.75" customHeight="1">
      <c r="A99" s="322"/>
      <c r="B99" s="327" t="s">
        <v>939</v>
      </c>
      <c r="C99" s="333" t="str">
        <f>IF(SUM(E111,E126,E134)=0,"",SUM(E111,E126,E134))</f>
        <v>#REF!</v>
      </c>
      <c r="D99" s="321"/>
      <c r="E99" s="323"/>
      <c r="F99" s="326"/>
      <c r="G99" s="326"/>
      <c r="H99" s="404"/>
      <c r="I99" s="388"/>
      <c r="J99" s="322"/>
      <c r="K99" s="327" t="s">
        <v>939</v>
      </c>
      <c r="L99" s="333" t="str">
        <f>IF(SUM(N111,N126,N134)=0,"",SUM(N111,N126,N134))</f>
        <v>#REF!</v>
      </c>
      <c r="M99" s="321"/>
      <c r="N99" s="323" t="str">
        <f>L99/90000</f>
        <v>#REF!</v>
      </c>
      <c r="O99" s="326"/>
      <c r="P99" s="387"/>
    </row>
    <row r="100" ht="12.75" customHeight="1">
      <c r="A100" s="322"/>
      <c r="B100" s="327"/>
      <c r="C100" s="334"/>
      <c r="D100" s="334"/>
      <c r="E100" s="323"/>
      <c r="F100" s="326"/>
      <c r="G100" s="326"/>
      <c r="H100" s="404"/>
      <c r="I100" s="388"/>
      <c r="J100" s="322"/>
      <c r="K100" s="327"/>
      <c r="L100" s="334"/>
      <c r="M100" s="334"/>
      <c r="N100" s="323"/>
      <c r="O100" s="326"/>
      <c r="P100" s="387"/>
    </row>
    <row r="101" ht="12.75" customHeight="1">
      <c r="A101" s="322"/>
      <c r="B101" s="327" t="s">
        <v>946</v>
      </c>
      <c r="C101" s="335" t="str">
        <f>IF(C99="","",IF(ISBLANK(C97),"",C99/C97))</f>
        <v>#REF!</v>
      </c>
      <c r="D101" s="321"/>
      <c r="E101" s="323"/>
      <c r="F101" s="326"/>
      <c r="G101" s="326"/>
      <c r="H101" s="404"/>
      <c r="I101" s="388"/>
      <c r="J101" s="322"/>
      <c r="K101" s="327" t="s">
        <v>946</v>
      </c>
      <c r="L101" s="335" t="str">
        <f>IF(L99="","",IF(ISBLANK(L97),"",L99/L97))</f>
        <v>#REF!</v>
      </c>
      <c r="M101" s="321"/>
      <c r="N101" s="323"/>
      <c r="O101" s="326"/>
      <c r="P101" s="387"/>
    </row>
    <row r="102" ht="12.75" customHeight="1">
      <c r="A102" s="322"/>
      <c r="B102" s="327"/>
      <c r="C102" s="334"/>
      <c r="D102" s="334"/>
      <c r="E102" s="323"/>
      <c r="F102" s="326"/>
      <c r="G102" s="326"/>
      <c r="H102" s="404"/>
      <c r="I102" s="388"/>
      <c r="J102" s="322"/>
      <c r="K102" s="327"/>
      <c r="L102" s="334"/>
      <c r="M102" s="334"/>
      <c r="N102" s="323"/>
      <c r="O102" s="326"/>
      <c r="P102" s="387"/>
    </row>
    <row r="103" ht="12.75" customHeight="1">
      <c r="A103" s="322"/>
      <c r="B103" s="327" t="s">
        <v>950</v>
      </c>
      <c r="C103" s="333" t="str">
        <f>C97-C99</f>
        <v>#REF!</v>
      </c>
      <c r="D103" s="321"/>
      <c r="E103" s="323"/>
      <c r="F103" s="326"/>
      <c r="G103" s="326"/>
      <c r="H103" s="404"/>
      <c r="I103" s="388"/>
      <c r="J103" s="322"/>
      <c r="K103" s="327" t="s">
        <v>950</v>
      </c>
      <c r="L103" s="333" t="str">
        <f>L97-L99</f>
        <v>#REF!</v>
      </c>
      <c r="M103" s="321"/>
      <c r="N103" s="323"/>
      <c r="O103" s="326"/>
      <c r="P103" s="387"/>
    </row>
    <row r="104" ht="12.75" customHeight="1">
      <c r="A104" s="322"/>
      <c r="B104" s="322"/>
      <c r="C104" s="322"/>
      <c r="D104" s="322"/>
      <c r="E104" s="323"/>
      <c r="F104" s="324"/>
      <c r="G104" s="324"/>
      <c r="H104" s="404"/>
      <c r="I104" s="388"/>
      <c r="J104" s="322"/>
      <c r="K104" s="322"/>
      <c r="L104" s="322"/>
      <c r="M104" s="322"/>
      <c r="N104" s="323"/>
      <c r="O104" s="324"/>
      <c r="P104" s="387"/>
    </row>
    <row r="105" ht="12.75" customHeight="1">
      <c r="A105" s="322"/>
      <c r="B105" s="322"/>
      <c r="C105" s="322"/>
      <c r="D105" s="322"/>
      <c r="E105" s="337"/>
      <c r="F105" s="324"/>
      <c r="G105" s="324"/>
      <c r="H105" s="387"/>
      <c r="I105" s="388"/>
      <c r="J105" s="322"/>
      <c r="K105" s="322"/>
      <c r="L105" s="322"/>
      <c r="M105" s="322"/>
      <c r="N105" s="337"/>
      <c r="O105" s="324"/>
      <c r="P105" s="387"/>
    </row>
    <row r="106" ht="12.75" customHeight="1">
      <c r="A106" s="322"/>
      <c r="B106" s="338" t="s">
        <v>951</v>
      </c>
      <c r="C106" s="339"/>
      <c r="D106" s="339"/>
      <c r="E106" s="339"/>
      <c r="F106" s="324"/>
      <c r="G106" s="324"/>
      <c r="H106" s="410"/>
      <c r="I106" s="388"/>
      <c r="J106" s="322"/>
      <c r="K106" s="338" t="s">
        <v>951</v>
      </c>
      <c r="L106" s="339"/>
      <c r="M106" s="339"/>
      <c r="N106" s="339"/>
      <c r="O106" s="324"/>
      <c r="P106" s="387"/>
    </row>
    <row r="107" ht="12.75" customHeight="1">
      <c r="A107" s="322"/>
      <c r="B107" s="340" t="s">
        <v>953</v>
      </c>
      <c r="C107" s="341" t="s">
        <v>954</v>
      </c>
      <c r="D107" s="341" t="s">
        <v>955</v>
      </c>
      <c r="E107" s="341" t="s">
        <v>35</v>
      </c>
      <c r="F107" s="324"/>
      <c r="G107" s="324"/>
      <c r="H107" s="387"/>
      <c r="I107" s="388"/>
      <c r="J107" s="322"/>
      <c r="K107" s="340" t="s">
        <v>953</v>
      </c>
      <c r="L107" s="341" t="s">
        <v>954</v>
      </c>
      <c r="M107" s="341" t="s">
        <v>955</v>
      </c>
      <c r="N107" s="341" t="s">
        <v>35</v>
      </c>
      <c r="O107" s="324"/>
      <c r="P107" s="387"/>
    </row>
    <row r="108" ht="12.75" customHeight="1">
      <c r="A108" s="322"/>
      <c r="B108" s="60" t="s">
        <v>1146</v>
      </c>
      <c r="C108" s="344">
        <v>0.5</v>
      </c>
      <c r="D108" s="343">
        <f>'F&amp;B'!$F$65</f>
        <v>9900</v>
      </c>
      <c r="E108" s="67">
        <f t="shared" ref="E108:E109" si="9">IF(OR(ISBLANK(C108),ISBLANK(D108)),"",D108*C108)</f>
        <v>4950</v>
      </c>
      <c r="F108" s="324"/>
      <c r="G108" s="324"/>
      <c r="H108" s="387"/>
      <c r="I108" s="388"/>
      <c r="J108" s="322"/>
      <c r="K108" s="60" t="s">
        <v>1147</v>
      </c>
      <c r="L108" s="342">
        <v>0.12</v>
      </c>
      <c r="M108" s="343">
        <f>'F&amp;B'!$F$90</f>
        <v>108000</v>
      </c>
      <c r="N108" s="67">
        <f t="shared" ref="N108:N110" si="10">IF(OR(ISBLANK(L108),ISBLANK(M108)),"",M108*L108)</f>
        <v>12960</v>
      </c>
      <c r="O108" s="324">
        <f t="shared" ref="O108:O120" si="11">N108/90000</f>
        <v>0.144</v>
      </c>
      <c r="P108" s="387"/>
    </row>
    <row r="109" ht="12.75" customHeight="1">
      <c r="A109" s="322"/>
      <c r="B109" s="75" t="s">
        <v>1148</v>
      </c>
      <c r="C109" s="405">
        <v>0.25</v>
      </c>
      <c r="D109" s="371">
        <f>'F&amp;B'!$F$242/8</f>
        <v>1687.5</v>
      </c>
      <c r="E109" s="67">
        <f t="shared" si="9"/>
        <v>421.875</v>
      </c>
      <c r="F109" s="324"/>
      <c r="G109" s="324"/>
      <c r="H109" s="387"/>
      <c r="I109" s="388"/>
      <c r="J109" s="322"/>
      <c r="K109" s="228" t="s">
        <v>1149</v>
      </c>
      <c r="L109" s="405">
        <v>0.5</v>
      </c>
      <c r="M109" s="371">
        <f>D518</f>
        <v>9000</v>
      </c>
      <c r="N109" s="67">
        <f t="shared" si="10"/>
        <v>4500</v>
      </c>
      <c r="O109" s="324">
        <f t="shared" si="11"/>
        <v>0.05</v>
      </c>
      <c r="P109" s="387"/>
    </row>
    <row r="110" ht="12.75" customHeight="1">
      <c r="A110" s="322"/>
      <c r="B110" s="406" t="s">
        <v>262</v>
      </c>
      <c r="C110" s="407">
        <v>0.03</v>
      </c>
      <c r="D110" s="408"/>
      <c r="E110" s="89"/>
      <c r="F110" s="324"/>
      <c r="G110" s="324"/>
      <c r="H110" s="387"/>
      <c r="I110" s="388"/>
      <c r="J110" s="322"/>
      <c r="K110" s="406" t="s">
        <v>1114</v>
      </c>
      <c r="L110" s="407">
        <v>0.06</v>
      </c>
      <c r="M110" s="371">
        <f>D214</f>
        <v>13500</v>
      </c>
      <c r="N110" s="67">
        <f t="shared" si="10"/>
        <v>810</v>
      </c>
      <c r="O110" s="324">
        <f t="shared" si="11"/>
        <v>0.009</v>
      </c>
      <c r="P110" s="387"/>
    </row>
    <row r="111" ht="12.75" customHeight="1">
      <c r="A111" s="322"/>
      <c r="B111" s="338" t="s">
        <v>84</v>
      </c>
      <c r="C111" s="358"/>
      <c r="D111" s="358"/>
      <c r="E111" s="359">
        <f>IF(SUM(E108:E110)=0,"",SUM(E108:E110))</f>
        <v>5371.875</v>
      </c>
      <c r="F111" s="324"/>
      <c r="G111" s="324"/>
      <c r="H111" s="387"/>
      <c r="I111" s="388"/>
      <c r="J111" s="322"/>
      <c r="K111" s="338" t="s">
        <v>84</v>
      </c>
      <c r="L111" s="358"/>
      <c r="M111" s="358"/>
      <c r="N111" s="359">
        <f>IF(SUM(N108:N110)=0,"",SUM(N108:N110))</f>
        <v>18270</v>
      </c>
      <c r="O111" s="324">
        <f t="shared" si="11"/>
        <v>0.203</v>
      </c>
      <c r="P111" s="387"/>
    </row>
    <row r="112" ht="12.75" customHeight="1">
      <c r="A112" s="322"/>
      <c r="B112" s="360"/>
      <c r="C112" s="360"/>
      <c r="D112" s="360"/>
      <c r="E112" s="361"/>
      <c r="F112" s="324"/>
      <c r="G112" s="324"/>
      <c r="H112" s="387"/>
      <c r="I112" s="388"/>
      <c r="J112" s="322"/>
      <c r="K112" s="360"/>
      <c r="L112" s="360"/>
      <c r="M112" s="360"/>
      <c r="N112" s="361"/>
      <c r="O112" s="324">
        <f t="shared" si="11"/>
        <v>0</v>
      </c>
      <c r="P112" s="387"/>
    </row>
    <row r="113" ht="12.75" customHeight="1">
      <c r="A113" s="322"/>
      <c r="B113" s="362" t="s">
        <v>972</v>
      </c>
      <c r="C113" s="363"/>
      <c r="D113" s="363"/>
      <c r="E113" s="363"/>
      <c r="F113" s="324"/>
      <c r="G113" s="324"/>
      <c r="H113" s="387"/>
      <c r="I113" s="388"/>
      <c r="J113" s="322"/>
      <c r="K113" s="362" t="s">
        <v>972</v>
      </c>
      <c r="L113" s="363"/>
      <c r="M113" s="363"/>
      <c r="N113" s="363"/>
      <c r="O113" s="324">
        <f t="shared" si="11"/>
        <v>0</v>
      </c>
      <c r="P113" s="387"/>
    </row>
    <row r="114" ht="12.75" customHeight="1">
      <c r="A114" s="322"/>
      <c r="B114" s="365" t="s">
        <v>953</v>
      </c>
      <c r="C114" s="366" t="s">
        <v>3</v>
      </c>
      <c r="D114" s="366" t="s">
        <v>975</v>
      </c>
      <c r="E114" s="367" t="s">
        <v>35</v>
      </c>
      <c r="F114" s="324"/>
      <c r="G114" s="324"/>
      <c r="H114" s="387"/>
      <c r="I114" s="388"/>
      <c r="J114" s="322"/>
      <c r="K114" s="365" t="s">
        <v>953</v>
      </c>
      <c r="L114" s="366" t="s">
        <v>3</v>
      </c>
      <c r="M114" s="366" t="s">
        <v>975</v>
      </c>
      <c r="N114" s="367" t="s">
        <v>35</v>
      </c>
      <c r="O114" s="324" t="str">
        <f t="shared" si="11"/>
        <v>#VALUE!</v>
      </c>
      <c r="P114" s="387"/>
    </row>
    <row r="115" ht="12.75" customHeight="1">
      <c r="A115" s="322"/>
      <c r="B115" s="368"/>
      <c r="C115" s="366"/>
      <c r="D115" s="366"/>
      <c r="E115" s="368"/>
      <c r="F115" s="324"/>
      <c r="G115" s="324"/>
      <c r="H115" s="387"/>
      <c r="I115" s="388"/>
      <c r="J115" s="322"/>
      <c r="K115" s="368"/>
      <c r="L115" s="366"/>
      <c r="M115" s="366"/>
      <c r="N115" s="368"/>
      <c r="O115" s="324">
        <f t="shared" si="11"/>
        <v>0</v>
      </c>
      <c r="P115" s="387"/>
    </row>
    <row r="116" ht="12.75" customHeight="1">
      <c r="A116" s="322"/>
      <c r="B116" s="139" t="s">
        <v>1195</v>
      </c>
      <c r="C116" s="344">
        <v>0.05</v>
      </c>
      <c r="D116" s="343">
        <f>M27</f>
        <v>13500</v>
      </c>
      <c r="E116" s="67">
        <f t="shared" ref="E116:E125" si="12">D116*C116</f>
        <v>675</v>
      </c>
      <c r="F116" s="324"/>
      <c r="G116" s="324"/>
      <c r="H116" s="387"/>
      <c r="I116" s="388"/>
      <c r="J116" s="322"/>
      <c r="K116" s="60" t="s">
        <v>291</v>
      </c>
      <c r="L116" s="342">
        <v>1.0</v>
      </c>
      <c r="M116" s="343">
        <f>'F&amp;B'!$F$280</f>
        <v>2970</v>
      </c>
      <c r="N116" s="67">
        <f t="shared" ref="N116:N125" si="13">M116*L116</f>
        <v>2970</v>
      </c>
      <c r="O116" s="324">
        <f t="shared" si="11"/>
        <v>0.033</v>
      </c>
      <c r="P116" s="387"/>
    </row>
    <row r="117" ht="12.75" customHeight="1">
      <c r="A117" s="322"/>
      <c r="B117" s="75" t="s">
        <v>1080</v>
      </c>
      <c r="C117" s="370">
        <v>0.05</v>
      </c>
      <c r="D117" s="371">
        <f>'F&amp;B'!$F$60*3</f>
        <v>29700</v>
      </c>
      <c r="E117" s="67">
        <f t="shared" si="12"/>
        <v>1485</v>
      </c>
      <c r="F117" s="324"/>
      <c r="G117" s="324"/>
      <c r="H117" s="387"/>
      <c r="I117" s="388"/>
      <c r="J117" s="322"/>
      <c r="K117" s="75" t="s">
        <v>310</v>
      </c>
      <c r="L117" s="370">
        <v>1.0</v>
      </c>
      <c r="M117" s="371">
        <f>D120</f>
        <v>1303.068898</v>
      </c>
      <c r="N117" s="67">
        <f t="shared" si="13"/>
        <v>1303.068898</v>
      </c>
      <c r="O117" s="324">
        <f t="shared" si="11"/>
        <v>0.01447854331</v>
      </c>
      <c r="P117" s="387"/>
    </row>
    <row r="118" ht="12.75" customHeight="1">
      <c r="A118" s="322"/>
      <c r="B118" s="75" t="s">
        <v>273</v>
      </c>
      <c r="C118" s="405">
        <v>0.05</v>
      </c>
      <c r="D118" s="371">
        <f>'F&amp;B'!$F$283</f>
        <v>9000</v>
      </c>
      <c r="E118" s="67">
        <f t="shared" si="12"/>
        <v>450</v>
      </c>
      <c r="F118" s="324"/>
      <c r="G118" s="324"/>
      <c r="H118" s="387"/>
      <c r="I118" s="388"/>
      <c r="J118" s="322"/>
      <c r="K118" s="228" t="s">
        <v>1153</v>
      </c>
      <c r="L118" s="405">
        <v>0.04</v>
      </c>
      <c r="M118" s="371">
        <f>'F&amp;B'!F189</f>
        <v>144000</v>
      </c>
      <c r="N118" s="67">
        <f t="shared" si="13"/>
        <v>5760</v>
      </c>
      <c r="O118" s="324">
        <f t="shared" si="11"/>
        <v>0.064</v>
      </c>
      <c r="P118" s="387"/>
    </row>
    <row r="119" ht="12.75" customHeight="1">
      <c r="A119" s="322"/>
      <c r="B119" s="75" t="s">
        <v>1070</v>
      </c>
      <c r="C119" s="405">
        <v>0.03</v>
      </c>
      <c r="D119" s="371">
        <f>M30</f>
        <v>13764.70588</v>
      </c>
      <c r="E119" s="67">
        <f t="shared" si="12"/>
        <v>412.9411765</v>
      </c>
      <c r="F119" s="324"/>
      <c r="G119" s="324"/>
      <c r="H119" s="387"/>
      <c r="I119" s="388"/>
      <c r="J119" s="322"/>
      <c r="K119" s="228" t="s">
        <v>1154</v>
      </c>
      <c r="L119" s="398">
        <v>0.3</v>
      </c>
      <c r="M119" s="371">
        <f>1*90000</f>
        <v>90000</v>
      </c>
      <c r="N119" s="67">
        <f t="shared" si="13"/>
        <v>27000</v>
      </c>
      <c r="O119" s="324">
        <f t="shared" si="11"/>
        <v>0.3</v>
      </c>
      <c r="P119" s="387"/>
    </row>
    <row r="120" ht="12.75" customHeight="1">
      <c r="A120" s="322"/>
      <c r="B120" s="75" t="s">
        <v>310</v>
      </c>
      <c r="C120" s="370">
        <v>1.0</v>
      </c>
      <c r="D120" s="371">
        <f>SAUCES!$L$77</f>
        <v>1303.068898</v>
      </c>
      <c r="E120" s="67">
        <f t="shared" si="12"/>
        <v>1303.068898</v>
      </c>
      <c r="F120" s="324"/>
      <c r="G120" s="324"/>
      <c r="H120" s="387"/>
      <c r="I120" s="388"/>
      <c r="J120" s="322"/>
      <c r="K120" s="228" t="s">
        <v>817</v>
      </c>
      <c r="L120" s="398">
        <v>0.02</v>
      </c>
      <c r="M120" s="371">
        <f>D121</f>
        <v>6750</v>
      </c>
      <c r="N120" s="67">
        <f t="shared" si="13"/>
        <v>135</v>
      </c>
      <c r="O120" s="324">
        <f t="shared" si="11"/>
        <v>0.0015</v>
      </c>
      <c r="P120" s="387"/>
    </row>
    <row r="121" ht="12.75" customHeight="1">
      <c r="A121" s="322"/>
      <c r="B121" s="75" t="s">
        <v>817</v>
      </c>
      <c r="C121" s="398">
        <v>0.05</v>
      </c>
      <c r="D121" s="435">
        <f>'F&amp;B'!$F$293</f>
        <v>6750</v>
      </c>
      <c r="E121" s="67">
        <f t="shared" si="12"/>
        <v>337.5</v>
      </c>
      <c r="F121" s="324"/>
      <c r="G121" s="324"/>
      <c r="H121" s="387"/>
      <c r="I121" s="388"/>
      <c r="J121" s="322"/>
      <c r="K121" s="228" t="s">
        <v>1155</v>
      </c>
      <c r="L121" s="398">
        <v>0.03</v>
      </c>
      <c r="M121" s="373">
        <f>D166</f>
        <v>65250</v>
      </c>
      <c r="N121" s="67">
        <f t="shared" si="13"/>
        <v>1957.5</v>
      </c>
      <c r="O121" s="324"/>
      <c r="P121" s="387"/>
    </row>
    <row r="122" ht="12.75" customHeight="1">
      <c r="A122" s="322"/>
      <c r="B122" s="348"/>
      <c r="C122" s="346"/>
      <c r="D122" s="373"/>
      <c r="E122" s="67">
        <f t="shared" si="12"/>
        <v>0</v>
      </c>
      <c r="F122" s="324"/>
      <c r="G122" s="324"/>
      <c r="H122" s="387"/>
      <c r="I122" s="388"/>
      <c r="J122" s="322"/>
      <c r="K122" s="348"/>
      <c r="L122" s="346"/>
      <c r="M122" s="373"/>
      <c r="N122" s="67">
        <f t="shared" si="13"/>
        <v>0</v>
      </c>
      <c r="O122" s="324"/>
      <c r="P122" s="387"/>
    </row>
    <row r="123" ht="12.75" customHeight="1">
      <c r="A123" s="322"/>
      <c r="B123" s="348"/>
      <c r="C123" s="346"/>
      <c r="D123" s="373"/>
      <c r="E123" s="67">
        <f t="shared" si="12"/>
        <v>0</v>
      </c>
      <c r="F123" s="324"/>
      <c r="G123" s="324"/>
      <c r="H123" s="387"/>
      <c r="I123" s="388"/>
      <c r="J123" s="322"/>
      <c r="K123" s="348"/>
      <c r="L123" s="346"/>
      <c r="M123" s="373"/>
      <c r="N123" s="67">
        <f t="shared" si="13"/>
        <v>0</v>
      </c>
      <c r="O123" s="324"/>
      <c r="P123" s="387"/>
    </row>
    <row r="124" ht="12.75" customHeight="1">
      <c r="A124" s="322"/>
      <c r="B124" s="348"/>
      <c r="C124" s="346"/>
      <c r="D124" s="373"/>
      <c r="E124" s="67">
        <f t="shared" si="12"/>
        <v>0</v>
      </c>
      <c r="F124" s="324"/>
      <c r="G124" s="324"/>
      <c r="H124" s="387"/>
      <c r="I124" s="388"/>
      <c r="J124" s="322"/>
      <c r="K124" s="348"/>
      <c r="L124" s="346"/>
      <c r="M124" s="373"/>
      <c r="N124" s="67">
        <f t="shared" si="13"/>
        <v>0</v>
      </c>
      <c r="O124" s="324"/>
      <c r="P124" s="387"/>
    </row>
    <row r="125" ht="12.75" customHeight="1">
      <c r="A125" s="322"/>
      <c r="B125" s="354"/>
      <c r="C125" s="355"/>
      <c r="D125" s="356"/>
      <c r="E125" s="67">
        <f t="shared" si="12"/>
        <v>0</v>
      </c>
      <c r="F125" s="324"/>
      <c r="G125" s="324"/>
      <c r="H125" s="387"/>
      <c r="I125" s="388"/>
      <c r="J125" s="322"/>
      <c r="K125" s="354"/>
      <c r="L125" s="355"/>
      <c r="M125" s="356"/>
      <c r="N125" s="67">
        <f t="shared" si="13"/>
        <v>0</v>
      </c>
      <c r="O125" s="324"/>
      <c r="P125" s="387"/>
    </row>
    <row r="126" ht="12.75" customHeight="1">
      <c r="A126" s="322"/>
      <c r="B126" s="362" t="s">
        <v>84</v>
      </c>
      <c r="C126" s="374"/>
      <c r="D126" s="374"/>
      <c r="E126" s="375">
        <f>IF(SUM(E116:E125)=0,"",SUM(E116:E125))</f>
        <v>4663.510074</v>
      </c>
      <c r="F126" s="324"/>
      <c r="G126" s="324"/>
      <c r="H126" s="387"/>
      <c r="I126" s="388"/>
      <c r="J126" s="322"/>
      <c r="K126" s="362" t="s">
        <v>84</v>
      </c>
      <c r="L126" s="374"/>
      <c r="M126" s="374"/>
      <c r="N126" s="375">
        <f>IF(SUM(N116:N125)=0,"",SUM(N116:N125))</f>
        <v>39125.5689</v>
      </c>
      <c r="O126" s="324"/>
      <c r="P126" s="387"/>
    </row>
    <row r="127" ht="12.75" customHeight="1">
      <c r="A127" s="322"/>
      <c r="B127" s="360"/>
      <c r="C127" s="360"/>
      <c r="D127" s="360"/>
      <c r="E127" s="361"/>
      <c r="F127" s="324"/>
      <c r="G127" s="324"/>
      <c r="H127" s="387"/>
      <c r="I127" s="388"/>
      <c r="J127" s="322"/>
      <c r="K127" s="360"/>
      <c r="L127" s="360"/>
      <c r="M127" s="360"/>
      <c r="N127" s="361"/>
      <c r="O127" s="324"/>
      <c r="P127" s="387"/>
    </row>
    <row r="128" ht="12.75" customHeight="1">
      <c r="A128" s="322"/>
      <c r="B128" s="34" t="s">
        <v>17</v>
      </c>
      <c r="C128" s="35"/>
      <c r="D128" s="35"/>
      <c r="E128" s="35"/>
      <c r="F128" s="324"/>
      <c r="G128" s="324"/>
      <c r="H128" s="387"/>
      <c r="I128" s="388"/>
      <c r="J128" s="322"/>
      <c r="K128" s="34" t="s">
        <v>17</v>
      </c>
      <c r="L128" s="35"/>
      <c r="M128" s="35"/>
      <c r="N128" s="35"/>
      <c r="O128" s="324"/>
      <c r="P128" s="387"/>
    </row>
    <row r="129" ht="12.75" customHeight="1">
      <c r="A129" s="322"/>
      <c r="B129" s="52" t="s">
        <v>42</v>
      </c>
      <c r="C129" s="54"/>
      <c r="D129" s="54"/>
      <c r="E129" s="56" t="s">
        <v>35</v>
      </c>
      <c r="F129" s="324"/>
      <c r="G129" s="324"/>
      <c r="H129" s="387"/>
      <c r="I129" s="388"/>
      <c r="J129" s="322"/>
      <c r="K129" s="52" t="s">
        <v>42</v>
      </c>
      <c r="L129" s="54"/>
      <c r="M129" s="54"/>
      <c r="N129" s="56" t="s">
        <v>35</v>
      </c>
      <c r="O129" s="324"/>
      <c r="P129" s="387"/>
    </row>
    <row r="130" ht="12.75" customHeight="1">
      <c r="A130" s="322"/>
      <c r="B130" s="60" t="s">
        <v>40</v>
      </c>
      <c r="C130" s="343">
        <f>'UTL COST'!$B$3</f>
        <v>369000</v>
      </c>
      <c r="D130" s="379">
        <f>'UTL COST'!$C$3</f>
        <v>0.0075</v>
      </c>
      <c r="E130" s="67">
        <v>0.0</v>
      </c>
      <c r="F130" s="324"/>
      <c r="G130" s="324"/>
      <c r="H130" s="387"/>
      <c r="I130" s="388"/>
      <c r="J130" s="322"/>
      <c r="K130" s="60" t="s">
        <v>40</v>
      </c>
      <c r="L130" s="343">
        <f>'UTL COST'!$B$3</f>
        <v>369000</v>
      </c>
      <c r="M130" s="379">
        <f>'UTL COST'!$C$3</f>
        <v>0.0075</v>
      </c>
      <c r="N130" s="67">
        <v>0.0</v>
      </c>
      <c r="O130" s="324"/>
      <c r="P130" s="387"/>
    </row>
    <row r="131" ht="12.75" customHeight="1">
      <c r="A131" s="322"/>
      <c r="B131" s="75" t="s">
        <v>51</v>
      </c>
      <c r="C131" s="371" t="str">
        <f>'UTL COST'!$B$4</f>
        <v>#REF!</v>
      </c>
      <c r="D131" s="382">
        <f>'UTL COST'!$C$4</f>
        <v>7000</v>
      </c>
      <c r="E131" s="76">
        <v>0.0</v>
      </c>
      <c r="F131" s="324"/>
      <c r="G131" s="324"/>
      <c r="H131" s="387"/>
      <c r="I131" s="388"/>
      <c r="J131" s="322"/>
      <c r="K131" s="75" t="s">
        <v>51</v>
      </c>
      <c r="L131" s="371" t="str">
        <f>'UTL COST'!$B$4</f>
        <v>#REF!</v>
      </c>
      <c r="M131" s="382">
        <f>'UTL COST'!$C$4</f>
        <v>7000</v>
      </c>
      <c r="N131" s="76" t="str">
        <f>'UTL COST'!$D$4</f>
        <v>#REF!</v>
      </c>
      <c r="O131" s="324"/>
      <c r="P131" s="387"/>
    </row>
    <row r="132" ht="12.75" customHeight="1">
      <c r="A132" s="322"/>
      <c r="B132" s="75" t="s">
        <v>59</v>
      </c>
      <c r="C132" s="371" t="str">
        <f>'UTL COST'!$B$5</f>
        <v>#REF!</v>
      </c>
      <c r="D132" s="382">
        <f>'UTL COST'!$C$5</f>
        <v>45000</v>
      </c>
      <c r="E132" s="76" t="str">
        <f>'UTL COST'!$D$5</f>
        <v>#REF!</v>
      </c>
      <c r="F132" s="324"/>
      <c r="G132" s="324"/>
      <c r="H132" s="387"/>
      <c r="I132" s="388"/>
      <c r="J132" s="322"/>
      <c r="K132" s="75" t="s">
        <v>59</v>
      </c>
      <c r="L132" s="371" t="str">
        <f>'UTL COST'!$B$5</f>
        <v>#REF!</v>
      </c>
      <c r="M132" s="382">
        <f>'UTL COST'!$C$5</f>
        <v>45000</v>
      </c>
      <c r="N132" s="76" t="str">
        <f>'UTL COST'!$D$5</f>
        <v>#REF!</v>
      </c>
      <c r="O132" s="324"/>
      <c r="P132" s="387"/>
    </row>
    <row r="133" ht="12.75" customHeight="1">
      <c r="A133" s="322"/>
      <c r="B133" s="87" t="s">
        <v>78</v>
      </c>
      <c r="C133" s="371" t="str">
        <f>'UTL COST'!$B$6</f>
        <v>#REF!</v>
      </c>
      <c r="D133" s="383">
        <f>'UTL COST'!$C$6</f>
        <v>525</v>
      </c>
      <c r="E133" s="89">
        <v>0.1</v>
      </c>
      <c r="F133" s="324"/>
      <c r="G133" s="324"/>
      <c r="H133" s="387"/>
      <c r="I133" s="388"/>
      <c r="J133" s="322"/>
      <c r="K133" s="87" t="s">
        <v>78</v>
      </c>
      <c r="L133" s="371" t="str">
        <f>'UTL COST'!$B$6</f>
        <v>#REF!</v>
      </c>
      <c r="M133" s="383">
        <f>'UTL COST'!$C$6</f>
        <v>525</v>
      </c>
      <c r="N133" s="89">
        <v>0.1</v>
      </c>
      <c r="O133" s="324"/>
      <c r="P133" s="387"/>
    </row>
    <row r="134" ht="12.75" customHeight="1">
      <c r="A134" s="322"/>
      <c r="B134" s="34" t="s">
        <v>84</v>
      </c>
      <c r="C134" s="102"/>
      <c r="D134" s="102"/>
      <c r="E134" s="104" t="str">
        <f>IF(SUM(E130:E133)=0,"",SUM(E130:E133))</f>
        <v>#REF!</v>
      </c>
      <c r="F134" s="324"/>
      <c r="G134" s="324"/>
      <c r="H134" s="387"/>
      <c r="I134" s="388"/>
      <c r="J134" s="322"/>
      <c r="K134" s="34" t="s">
        <v>84</v>
      </c>
      <c r="L134" s="102"/>
      <c r="M134" s="102"/>
      <c r="N134" s="104" t="str">
        <f>IF(SUM(N130:N133)=0,"",SUM(N130:N133))</f>
        <v>#REF!</v>
      </c>
      <c r="O134" s="324"/>
      <c r="P134" s="387"/>
    </row>
    <row r="135" ht="12.75" customHeight="1">
      <c r="A135" s="322"/>
      <c r="B135" s="360"/>
      <c r="C135" s="360"/>
      <c r="D135" s="360"/>
      <c r="E135" s="361"/>
      <c r="F135" s="324"/>
      <c r="G135" s="324"/>
      <c r="H135" s="387"/>
      <c r="I135" s="388"/>
      <c r="J135" s="322"/>
      <c r="K135" s="360"/>
      <c r="L135" s="360"/>
      <c r="M135" s="360"/>
      <c r="N135" s="361"/>
      <c r="O135" s="324"/>
      <c r="P135" s="387"/>
    </row>
    <row r="136" ht="12.75" customHeight="1">
      <c r="A136" s="387"/>
      <c r="B136" s="387"/>
      <c r="C136" s="387"/>
      <c r="D136" s="387"/>
      <c r="E136" s="418"/>
      <c r="F136" s="387"/>
      <c r="G136" s="387"/>
      <c r="H136" s="387"/>
      <c r="I136" s="387"/>
      <c r="J136" s="387"/>
      <c r="K136" s="387"/>
      <c r="L136" s="387"/>
      <c r="M136" s="387"/>
      <c r="N136" s="387"/>
      <c r="O136" s="387"/>
      <c r="P136" s="387"/>
    </row>
    <row r="137" ht="12.75" customHeight="1">
      <c r="A137" s="388"/>
      <c r="B137" s="388"/>
      <c r="C137" s="388"/>
      <c r="D137" s="388"/>
      <c r="E137" s="389"/>
      <c r="F137" s="387"/>
      <c r="G137" s="387"/>
      <c r="H137" s="387"/>
      <c r="I137" s="388"/>
      <c r="J137" s="388"/>
      <c r="K137" s="388"/>
      <c r="L137" s="388"/>
      <c r="M137" s="388"/>
      <c r="N137" s="389"/>
      <c r="O137" s="387"/>
      <c r="P137" s="387"/>
    </row>
    <row r="138" ht="12.75" customHeight="1">
      <c r="A138" s="388"/>
      <c r="B138" s="388"/>
      <c r="C138" s="388"/>
      <c r="D138" s="388"/>
      <c r="E138" s="389"/>
      <c r="F138" s="387"/>
      <c r="G138" s="387"/>
      <c r="H138" s="387"/>
      <c r="I138" s="388"/>
      <c r="J138" s="388"/>
      <c r="K138" s="388"/>
      <c r="L138" s="388"/>
      <c r="M138" s="388"/>
      <c r="N138" s="389"/>
      <c r="O138" s="387"/>
      <c r="P138" s="387"/>
    </row>
    <row r="139" ht="12.75" customHeight="1">
      <c r="A139" s="387"/>
      <c r="B139" s="387"/>
      <c r="C139" s="387"/>
      <c r="D139" s="387"/>
      <c r="E139" s="418"/>
      <c r="F139" s="387"/>
      <c r="G139" s="387"/>
      <c r="H139" s="387"/>
      <c r="I139" s="387"/>
      <c r="J139" s="387"/>
      <c r="K139" s="387"/>
      <c r="L139" s="387"/>
      <c r="M139" s="387"/>
      <c r="N139" s="387"/>
      <c r="O139" s="387"/>
      <c r="P139" s="387"/>
    </row>
    <row r="140" ht="12.75" customHeight="1">
      <c r="A140" s="322"/>
      <c r="B140" s="322"/>
      <c r="C140" s="322"/>
      <c r="D140" s="322"/>
      <c r="E140" s="323"/>
      <c r="F140" s="324"/>
      <c r="G140" s="324"/>
      <c r="H140" s="387"/>
      <c r="I140" s="387"/>
      <c r="J140" s="322"/>
      <c r="K140" s="322"/>
      <c r="L140" s="322"/>
      <c r="M140" s="322"/>
      <c r="N140" s="323"/>
      <c r="O140" s="324"/>
      <c r="P140" s="451"/>
    </row>
    <row r="141" ht="12.75" customHeight="1">
      <c r="A141" s="322"/>
      <c r="B141" s="325"/>
      <c r="C141" s="322"/>
      <c r="D141" s="322"/>
      <c r="E141" s="323"/>
      <c r="F141" s="326"/>
      <c r="G141" s="326"/>
      <c r="H141" s="404"/>
      <c r="I141" s="387"/>
      <c r="J141" s="322"/>
      <c r="K141" s="325"/>
      <c r="L141" s="322"/>
      <c r="M141" s="322"/>
      <c r="N141" s="323"/>
      <c r="O141" s="326"/>
      <c r="P141" s="452"/>
    </row>
    <row r="142" ht="12.75" customHeight="1">
      <c r="A142" s="322"/>
      <c r="B142" s="327" t="s">
        <v>931</v>
      </c>
      <c r="C142" s="328" t="s">
        <v>249</v>
      </c>
      <c r="D142" s="329"/>
      <c r="E142" s="323"/>
      <c r="F142" s="326"/>
      <c r="G142" s="326"/>
      <c r="H142" s="404"/>
      <c r="I142" s="387"/>
      <c r="J142" s="322"/>
      <c r="K142" s="327" t="s">
        <v>931</v>
      </c>
      <c r="L142" s="328" t="s">
        <v>1157</v>
      </c>
      <c r="M142" s="329"/>
      <c r="N142" s="323"/>
      <c r="O142" s="326"/>
      <c r="P142" s="452"/>
    </row>
    <row r="143" ht="12.75" customHeight="1">
      <c r="A143" s="322"/>
      <c r="B143" s="325"/>
      <c r="C143" s="322"/>
      <c r="D143" s="322"/>
      <c r="E143" s="323"/>
      <c r="F143" s="326"/>
      <c r="G143" s="326"/>
      <c r="H143" s="404"/>
      <c r="I143" s="387"/>
      <c r="J143" s="322"/>
      <c r="K143" s="325"/>
      <c r="L143" s="322"/>
      <c r="M143" s="322"/>
      <c r="N143" s="323"/>
      <c r="O143" s="326"/>
      <c r="P143" s="452"/>
    </row>
    <row r="144" ht="12.75" customHeight="1">
      <c r="A144" s="322"/>
      <c r="B144" s="327" t="s">
        <v>935</v>
      </c>
      <c r="C144" s="331">
        <v>230000.0</v>
      </c>
      <c r="D144" s="329"/>
      <c r="E144" s="323"/>
      <c r="F144" s="326"/>
      <c r="G144" s="326"/>
      <c r="H144" s="404"/>
      <c r="I144" s="387"/>
      <c r="J144" s="322"/>
      <c r="K144" s="327" t="s">
        <v>935</v>
      </c>
      <c r="L144" s="331">
        <v>180000.0</v>
      </c>
      <c r="M144" s="329"/>
      <c r="N144" s="323"/>
      <c r="O144" s="326"/>
      <c r="P144" s="452"/>
    </row>
    <row r="145" ht="12.75" customHeight="1">
      <c r="A145" s="322"/>
      <c r="B145" s="327"/>
      <c r="C145" s="332"/>
      <c r="D145" s="332"/>
      <c r="E145" s="323"/>
      <c r="F145" s="326"/>
      <c r="G145" s="326"/>
      <c r="H145" s="404"/>
      <c r="I145" s="387"/>
      <c r="J145" s="322"/>
      <c r="K145" s="327"/>
      <c r="L145" s="332"/>
      <c r="M145" s="332"/>
      <c r="N145" s="323"/>
      <c r="O145" s="326"/>
      <c r="P145" s="452"/>
    </row>
    <row r="146" ht="12.75" customHeight="1">
      <c r="A146" s="322"/>
      <c r="B146" s="327" t="s">
        <v>939</v>
      </c>
      <c r="C146" s="333" t="str">
        <f>IF(SUM(E158,E173,E181)=0,"",SUM(E158,E173,E181))</f>
        <v>#REF!</v>
      </c>
      <c r="D146" s="321"/>
      <c r="E146" s="323"/>
      <c r="F146" s="326"/>
      <c r="G146" s="326"/>
      <c r="H146" s="404"/>
      <c r="I146" s="387"/>
      <c r="J146" s="322"/>
      <c r="K146" s="327" t="s">
        <v>939</v>
      </c>
      <c r="L146" s="333" t="str">
        <f>IF(SUM(N158,N173,N181)=0,"",SUM(N158,N173,N181))</f>
        <v>#REF!</v>
      </c>
      <c r="M146" s="321"/>
      <c r="N146" s="323"/>
      <c r="O146" s="326"/>
      <c r="P146" s="452"/>
    </row>
    <row r="147" ht="12.75" customHeight="1">
      <c r="A147" s="322"/>
      <c r="B147" s="327"/>
      <c r="C147" s="334"/>
      <c r="D147" s="334"/>
      <c r="E147" s="323"/>
      <c r="F147" s="326"/>
      <c r="G147" s="326"/>
      <c r="H147" s="404"/>
      <c r="I147" s="387"/>
      <c r="J147" s="322"/>
      <c r="K147" s="327"/>
      <c r="L147" s="334"/>
      <c r="M147" s="334"/>
      <c r="N147" s="323"/>
      <c r="O147" s="326"/>
      <c r="P147" s="452"/>
    </row>
    <row r="148" ht="12.75" customHeight="1">
      <c r="A148" s="322"/>
      <c r="B148" s="327" t="s">
        <v>946</v>
      </c>
      <c r="C148" s="335" t="str">
        <f>IF(C146="","",IF(ISBLANK(C144),"",C146/C144))</f>
        <v>#REF!</v>
      </c>
      <c r="D148" s="321"/>
      <c r="E148" s="323"/>
      <c r="F148" s="326"/>
      <c r="G148" s="326"/>
      <c r="H148" s="404"/>
      <c r="I148" s="387"/>
      <c r="J148" s="322"/>
      <c r="K148" s="327" t="s">
        <v>946</v>
      </c>
      <c r="L148" s="335" t="str">
        <f>IF(L146="","",IF(ISBLANK(L144),"",L146/L144))</f>
        <v>#REF!</v>
      </c>
      <c r="M148" s="321"/>
      <c r="N148" s="323"/>
      <c r="O148" s="326"/>
      <c r="P148" s="452"/>
    </row>
    <row r="149" ht="12.75" customHeight="1">
      <c r="A149" s="322"/>
      <c r="B149" s="327"/>
      <c r="C149" s="334"/>
      <c r="D149" s="334"/>
      <c r="E149" s="323"/>
      <c r="F149" s="326"/>
      <c r="G149" s="326"/>
      <c r="H149" s="404"/>
      <c r="I149" s="387"/>
      <c r="J149" s="322"/>
      <c r="K149" s="327"/>
      <c r="L149" s="334"/>
      <c r="M149" s="334"/>
      <c r="N149" s="323"/>
      <c r="O149" s="326"/>
      <c r="P149" s="452"/>
    </row>
    <row r="150" ht="12.75" customHeight="1">
      <c r="A150" s="322"/>
      <c r="B150" s="327" t="s">
        <v>950</v>
      </c>
      <c r="C150" s="333" t="str">
        <f>C144-C146</f>
        <v>#REF!</v>
      </c>
      <c r="D150" s="321"/>
      <c r="E150" s="323"/>
      <c r="F150" s="326"/>
      <c r="G150" s="326"/>
      <c r="H150" s="404"/>
      <c r="I150" s="387"/>
      <c r="J150" s="322"/>
      <c r="K150" s="327" t="s">
        <v>950</v>
      </c>
      <c r="L150" s="333" t="str">
        <f>L144-L146</f>
        <v>#REF!</v>
      </c>
      <c r="M150" s="321"/>
      <c r="N150" s="323"/>
      <c r="O150" s="326"/>
      <c r="P150" s="452"/>
    </row>
    <row r="151" ht="12.75" customHeight="1">
      <c r="A151" s="322"/>
      <c r="B151" s="322"/>
      <c r="C151" s="322"/>
      <c r="D151" s="322"/>
      <c r="E151" s="323"/>
      <c r="F151" s="324"/>
      <c r="G151" s="324"/>
      <c r="H151" s="404"/>
      <c r="I151" s="387"/>
      <c r="J151" s="322"/>
      <c r="K151" s="322"/>
      <c r="L151" s="322"/>
      <c r="M151" s="322"/>
      <c r="N151" s="323"/>
      <c r="O151" s="324"/>
      <c r="P151" s="451"/>
    </row>
    <row r="152" ht="12.75" customHeight="1">
      <c r="A152" s="322"/>
      <c r="B152" s="322"/>
      <c r="C152" s="322"/>
      <c r="D152" s="322"/>
      <c r="E152" s="337"/>
      <c r="F152" s="324"/>
      <c r="G152" s="324"/>
      <c r="H152" s="387"/>
      <c r="I152" s="387"/>
      <c r="J152" s="322"/>
      <c r="K152" s="322"/>
      <c r="L152" s="322"/>
      <c r="M152" s="322"/>
      <c r="N152" s="337"/>
      <c r="O152" s="324"/>
      <c r="P152" s="451"/>
    </row>
    <row r="153" ht="12.75" customHeight="1">
      <c r="A153" s="322"/>
      <c r="B153" s="338" t="s">
        <v>951</v>
      </c>
      <c r="C153" s="339"/>
      <c r="D153" s="339"/>
      <c r="E153" s="339"/>
      <c r="F153" s="324"/>
      <c r="G153" s="324"/>
      <c r="H153" s="410"/>
      <c r="I153" s="387"/>
      <c r="J153" s="322"/>
      <c r="K153" s="338" t="s">
        <v>951</v>
      </c>
      <c r="L153" s="339"/>
      <c r="M153" s="339"/>
      <c r="N153" s="339"/>
      <c r="O153" s="324"/>
      <c r="P153" s="451"/>
    </row>
    <row r="154" ht="12.75" customHeight="1">
      <c r="A154" s="322"/>
      <c r="B154" s="340" t="s">
        <v>953</v>
      </c>
      <c r="C154" s="341" t="s">
        <v>954</v>
      </c>
      <c r="D154" s="341" t="s">
        <v>955</v>
      </c>
      <c r="E154" s="341" t="s">
        <v>35</v>
      </c>
      <c r="F154" s="324"/>
      <c r="G154" s="324"/>
      <c r="H154" s="387"/>
      <c r="I154" s="387"/>
      <c r="J154" s="322"/>
      <c r="K154" s="340" t="s">
        <v>953</v>
      </c>
      <c r="L154" s="341" t="s">
        <v>954</v>
      </c>
      <c r="M154" s="341" t="s">
        <v>955</v>
      </c>
      <c r="N154" s="341" t="s">
        <v>35</v>
      </c>
      <c r="O154" s="324"/>
      <c r="P154" s="451"/>
    </row>
    <row r="155" ht="12.75" customHeight="1">
      <c r="A155" s="322"/>
      <c r="B155" s="60" t="s">
        <v>703</v>
      </c>
      <c r="C155" s="342">
        <v>0.16</v>
      </c>
      <c r="D155" s="343">
        <f>M63</f>
        <v>81000</v>
      </c>
      <c r="E155" s="67">
        <f t="shared" ref="E155:E157" si="14">IF(OR(ISBLANK(C155),ISBLANK(D155)),"",D155*C155)</f>
        <v>12960</v>
      </c>
      <c r="F155" s="324"/>
      <c r="G155" s="324"/>
      <c r="H155" s="387"/>
      <c r="I155" s="387"/>
      <c r="J155" s="322"/>
      <c r="K155" s="60" t="s">
        <v>1160</v>
      </c>
      <c r="L155" s="344">
        <v>0.1</v>
      </c>
      <c r="M155" s="343">
        <f>'F&amp;B'!$F$270</f>
        <v>15840</v>
      </c>
      <c r="N155" s="67">
        <f t="shared" ref="N155:N157" si="15">IF(OR(ISBLANK(L155),ISBLANK(M155)),"",M155*L155)</f>
        <v>1584</v>
      </c>
      <c r="O155" s="324"/>
      <c r="P155" s="451"/>
    </row>
    <row r="156" ht="12.75" customHeight="1">
      <c r="A156" s="322"/>
      <c r="B156" s="75" t="s">
        <v>850</v>
      </c>
      <c r="C156" s="370">
        <v>0.05</v>
      </c>
      <c r="D156" s="371">
        <f>SANDWICHES!$D$27</f>
        <v>63000</v>
      </c>
      <c r="E156" s="67">
        <f t="shared" si="14"/>
        <v>3150</v>
      </c>
      <c r="F156" s="324"/>
      <c r="G156" s="324"/>
      <c r="H156" s="387"/>
      <c r="I156" s="387"/>
      <c r="J156" s="322"/>
      <c r="K156" s="75"/>
      <c r="L156" s="370"/>
      <c r="M156" s="371"/>
      <c r="N156" s="67" t="str">
        <f t="shared" si="15"/>
        <v/>
      </c>
      <c r="O156" s="324"/>
      <c r="P156" s="451"/>
    </row>
    <row r="157" ht="12.75" customHeight="1">
      <c r="A157" s="322"/>
      <c r="B157" s="87" t="s">
        <v>1046</v>
      </c>
      <c r="C157" s="412">
        <v>0.05</v>
      </c>
      <c r="D157" s="408">
        <f>SANDWICHES!$D$72</f>
        <v>103500</v>
      </c>
      <c r="E157" s="67">
        <f t="shared" si="14"/>
        <v>5175</v>
      </c>
      <c r="F157" s="324"/>
      <c r="G157" s="324"/>
      <c r="H157" s="387"/>
      <c r="I157" s="387"/>
      <c r="J157" s="322"/>
      <c r="K157" s="87"/>
      <c r="L157" s="412"/>
      <c r="M157" s="408"/>
      <c r="N157" s="67" t="str">
        <f t="shared" si="15"/>
        <v/>
      </c>
      <c r="O157" s="324"/>
      <c r="P157" s="451"/>
    </row>
    <row r="158" ht="12.75" customHeight="1">
      <c r="A158" s="322"/>
      <c r="B158" s="338" t="s">
        <v>84</v>
      </c>
      <c r="C158" s="358"/>
      <c r="D158" s="358"/>
      <c r="E158" s="359">
        <f>IF(SUM(E155:E157)=0,"",SUM(E155:E157))</f>
        <v>21285</v>
      </c>
      <c r="F158" s="324"/>
      <c r="G158" s="324"/>
      <c r="H158" s="387"/>
      <c r="I158" s="387"/>
      <c r="J158" s="322"/>
      <c r="K158" s="338" t="s">
        <v>84</v>
      </c>
      <c r="L158" s="358"/>
      <c r="M158" s="358"/>
      <c r="N158" s="359">
        <f>IF(SUM(N155:N157)=0,"",SUM(N155:N157))</f>
        <v>1584</v>
      </c>
      <c r="O158" s="324"/>
      <c r="P158" s="451"/>
    </row>
    <row r="159" ht="12.75" customHeight="1">
      <c r="A159" s="322"/>
      <c r="B159" s="360"/>
      <c r="C159" s="360"/>
      <c r="D159" s="360"/>
      <c r="E159" s="361"/>
      <c r="F159" s="324"/>
      <c r="G159" s="324"/>
      <c r="H159" s="387"/>
      <c r="I159" s="387"/>
      <c r="J159" s="322"/>
      <c r="K159" s="360"/>
      <c r="L159" s="360"/>
      <c r="M159" s="360"/>
      <c r="N159" s="361"/>
      <c r="O159" s="324"/>
      <c r="P159" s="451"/>
    </row>
    <row r="160" ht="12.75" customHeight="1">
      <c r="A160" s="322"/>
      <c r="B160" s="362" t="s">
        <v>972</v>
      </c>
      <c r="C160" s="363"/>
      <c r="D160" s="363"/>
      <c r="E160" s="363"/>
      <c r="F160" s="324"/>
      <c r="G160" s="324"/>
      <c r="H160" s="387"/>
      <c r="I160" s="387"/>
      <c r="J160" s="322"/>
      <c r="K160" s="362" t="s">
        <v>972</v>
      </c>
      <c r="L160" s="363"/>
      <c r="M160" s="363"/>
      <c r="N160" s="363"/>
      <c r="O160" s="324"/>
      <c r="P160" s="451"/>
    </row>
    <row r="161" ht="12.75" customHeight="1">
      <c r="A161" s="322"/>
      <c r="B161" s="365" t="s">
        <v>953</v>
      </c>
      <c r="C161" s="366" t="s">
        <v>3</v>
      </c>
      <c r="D161" s="366" t="s">
        <v>975</v>
      </c>
      <c r="E161" s="367" t="s">
        <v>35</v>
      </c>
      <c r="F161" s="324"/>
      <c r="G161" s="324"/>
      <c r="H161" s="387"/>
      <c r="I161" s="387"/>
      <c r="J161" s="322"/>
      <c r="K161" s="365" t="s">
        <v>953</v>
      </c>
      <c r="L161" s="366" t="s">
        <v>3</v>
      </c>
      <c r="M161" s="366" t="s">
        <v>975</v>
      </c>
      <c r="N161" s="367" t="s">
        <v>35</v>
      </c>
      <c r="O161" s="324"/>
      <c r="P161" s="451"/>
    </row>
    <row r="162" ht="12.75" customHeight="1">
      <c r="A162" s="322"/>
      <c r="B162" s="368"/>
      <c r="C162" s="366"/>
      <c r="D162" s="366"/>
      <c r="E162" s="368"/>
      <c r="F162" s="324"/>
      <c r="G162" s="324"/>
      <c r="H162" s="387"/>
      <c r="I162" s="387"/>
      <c r="J162" s="322"/>
      <c r="K162" s="368"/>
      <c r="L162" s="366"/>
      <c r="M162" s="366"/>
      <c r="N162" s="368"/>
      <c r="O162" s="324"/>
      <c r="P162" s="451"/>
    </row>
    <row r="163" ht="12.75" customHeight="1">
      <c r="A163" s="322"/>
      <c r="B163" s="60" t="s">
        <v>1000</v>
      </c>
      <c r="C163" s="342">
        <v>1.0</v>
      </c>
      <c r="D163" s="343">
        <f>'F&amp;B'!F277</f>
        <v>13500</v>
      </c>
      <c r="E163" s="67">
        <f>D163*C163</f>
        <v>13500</v>
      </c>
      <c r="F163" s="324"/>
      <c r="G163" s="324"/>
      <c r="H163" s="387"/>
      <c r="I163" s="387"/>
      <c r="J163" s="322"/>
      <c r="K163" s="60" t="s">
        <v>1000</v>
      </c>
      <c r="L163" s="342">
        <v>1.0</v>
      </c>
      <c r="M163" s="343">
        <f>D163</f>
        <v>13500</v>
      </c>
      <c r="N163" s="67">
        <f>M163*L163</f>
        <v>13500</v>
      </c>
      <c r="O163" s="324"/>
      <c r="P163" s="451"/>
    </row>
    <row r="164" ht="12.75" customHeight="1">
      <c r="A164" s="322"/>
      <c r="B164" s="75" t="s">
        <v>587</v>
      </c>
      <c r="C164" s="370">
        <v>0.065</v>
      </c>
      <c r="D164" s="371">
        <f>Prep!D80</f>
        <v>7101.575342</v>
      </c>
      <c r="E164" s="67">
        <v>2000.0</v>
      </c>
      <c r="F164" s="324"/>
      <c r="G164" s="324"/>
      <c r="H164" s="387"/>
      <c r="I164" s="387"/>
      <c r="J164" s="322"/>
      <c r="K164" s="75" t="s">
        <v>1162</v>
      </c>
      <c r="L164" s="370">
        <v>0.02</v>
      </c>
      <c r="M164" s="371">
        <f>'F&amp;B'!F289</f>
        <v>5400</v>
      </c>
      <c r="N164" s="67">
        <v>1500.0</v>
      </c>
      <c r="O164" s="324"/>
      <c r="P164" s="451"/>
    </row>
    <row r="165" ht="12.75" customHeight="1">
      <c r="A165" s="322"/>
      <c r="B165" s="75" t="s">
        <v>1080</v>
      </c>
      <c r="C165" s="370">
        <v>0.04</v>
      </c>
      <c r="D165" s="371">
        <f>'F&amp;B'!$F$60*3</f>
        <v>29700</v>
      </c>
      <c r="E165" s="67">
        <f t="shared" ref="E165:E172" si="16">D165*C165</f>
        <v>1188</v>
      </c>
      <c r="F165" s="324"/>
      <c r="G165" s="324"/>
      <c r="H165" s="387"/>
      <c r="I165" s="387"/>
      <c r="J165" s="322"/>
      <c r="K165" s="75" t="s">
        <v>1080</v>
      </c>
      <c r="L165" s="370">
        <v>0.04</v>
      </c>
      <c r="M165" s="371" t="str">
        <f>M34</f>
        <v/>
      </c>
      <c r="N165" s="67">
        <f t="shared" ref="N165:N166" si="17">M165*L165</f>
        <v>0</v>
      </c>
      <c r="O165" s="324"/>
      <c r="P165" s="451"/>
    </row>
    <row r="166" ht="12.75" customHeight="1">
      <c r="A166" s="322"/>
      <c r="B166" s="75" t="s">
        <v>1113</v>
      </c>
      <c r="C166" s="346">
        <v>0.02</v>
      </c>
      <c r="D166" s="371">
        <f>'F&amp;B'!$F$146</f>
        <v>65250</v>
      </c>
      <c r="E166" s="67">
        <f t="shared" si="16"/>
        <v>1305</v>
      </c>
      <c r="F166" s="324"/>
      <c r="G166" s="324"/>
      <c r="H166" s="387"/>
      <c r="I166" s="387"/>
      <c r="J166" s="322"/>
      <c r="K166" s="75" t="s">
        <v>1115</v>
      </c>
      <c r="L166" s="346">
        <v>0.05</v>
      </c>
      <c r="M166" s="371">
        <f>'F&amp;B'!$F$280</f>
        <v>2970</v>
      </c>
      <c r="N166" s="67">
        <f t="shared" si="17"/>
        <v>148.5</v>
      </c>
      <c r="O166" s="324"/>
      <c r="P166" s="451"/>
    </row>
    <row r="167" ht="12.75" customHeight="1">
      <c r="A167" s="322"/>
      <c r="B167" s="75" t="s">
        <v>1163</v>
      </c>
      <c r="C167" s="346">
        <v>0.05</v>
      </c>
      <c r="D167" s="371">
        <f>STARTERS!D108</f>
        <v>58500</v>
      </c>
      <c r="E167" s="67">
        <f t="shared" si="16"/>
        <v>2925</v>
      </c>
      <c r="F167" s="324"/>
      <c r="G167" s="324"/>
      <c r="H167" s="387"/>
      <c r="I167" s="387"/>
      <c r="J167" s="322"/>
      <c r="K167" s="75"/>
      <c r="L167" s="346"/>
      <c r="M167" s="371"/>
      <c r="N167" s="67"/>
      <c r="O167" s="324"/>
      <c r="P167" s="451"/>
    </row>
    <row r="168" ht="12.75" customHeight="1">
      <c r="A168" s="322"/>
      <c r="B168" s="75" t="s">
        <v>1164</v>
      </c>
      <c r="C168" s="346">
        <v>1.0</v>
      </c>
      <c r="D168" s="371">
        <f>SAUCES!$D$152</f>
        <v>1471.976447</v>
      </c>
      <c r="E168" s="67">
        <f t="shared" si="16"/>
        <v>1471.976447</v>
      </c>
      <c r="F168" s="324"/>
      <c r="G168" s="324"/>
      <c r="H168" s="387"/>
      <c r="I168" s="387"/>
      <c r="J168" s="322"/>
      <c r="K168" s="75" t="s">
        <v>37</v>
      </c>
      <c r="L168" s="346">
        <v>1.0</v>
      </c>
      <c r="M168" s="371">
        <f>SAUCES!$L$16</f>
        <v>629.9629934</v>
      </c>
      <c r="N168" s="67">
        <f t="shared" ref="N168:N172" si="18">M168*L168</f>
        <v>629.9629934</v>
      </c>
      <c r="O168" s="324"/>
      <c r="P168" s="451"/>
    </row>
    <row r="169" ht="12.75" customHeight="1">
      <c r="A169" s="322"/>
      <c r="B169" s="75" t="s">
        <v>1165</v>
      </c>
      <c r="C169" s="346">
        <v>0.045</v>
      </c>
      <c r="D169" s="347">
        <f>'F&amp;B'!$F$293</f>
        <v>6750</v>
      </c>
      <c r="E169" s="67">
        <f t="shared" si="16"/>
        <v>303.75</v>
      </c>
      <c r="F169" s="324"/>
      <c r="G169" s="324"/>
      <c r="H169" s="387"/>
      <c r="I169" s="387"/>
      <c r="J169" s="322"/>
      <c r="K169" s="75" t="s">
        <v>1165</v>
      </c>
      <c r="L169" s="346">
        <v>0.01</v>
      </c>
      <c r="M169" s="371">
        <f>'F&amp;B'!$F$293</f>
        <v>6750</v>
      </c>
      <c r="N169" s="67">
        <f t="shared" si="18"/>
        <v>67.5</v>
      </c>
      <c r="O169" s="324"/>
      <c r="P169" s="451"/>
    </row>
    <row r="170" ht="12.75" customHeight="1">
      <c r="A170" s="322"/>
      <c r="B170" s="348"/>
      <c r="C170" s="346"/>
      <c r="D170" s="373"/>
      <c r="E170" s="67">
        <f t="shared" si="16"/>
        <v>0</v>
      </c>
      <c r="F170" s="324"/>
      <c r="G170" s="324"/>
      <c r="H170" s="387"/>
      <c r="I170" s="387"/>
      <c r="J170" s="322"/>
      <c r="K170" s="348"/>
      <c r="L170" s="346"/>
      <c r="M170" s="373"/>
      <c r="N170" s="67">
        <f t="shared" si="18"/>
        <v>0</v>
      </c>
      <c r="O170" s="324"/>
      <c r="P170" s="451"/>
    </row>
    <row r="171" ht="12.75" customHeight="1">
      <c r="A171" s="322"/>
      <c r="B171" s="348"/>
      <c r="C171" s="346"/>
      <c r="D171" s="373"/>
      <c r="E171" s="67">
        <f t="shared" si="16"/>
        <v>0</v>
      </c>
      <c r="F171" s="324"/>
      <c r="G171" s="324"/>
      <c r="H171" s="387"/>
      <c r="I171" s="387"/>
      <c r="J171" s="322"/>
      <c r="K171" s="348"/>
      <c r="L171" s="346"/>
      <c r="M171" s="373"/>
      <c r="N171" s="67">
        <f t="shared" si="18"/>
        <v>0</v>
      </c>
      <c r="O171" s="324"/>
      <c r="P171" s="451"/>
    </row>
    <row r="172" ht="12.75" customHeight="1">
      <c r="A172" s="322"/>
      <c r="B172" s="354"/>
      <c r="C172" s="355"/>
      <c r="D172" s="356"/>
      <c r="E172" s="67">
        <f t="shared" si="16"/>
        <v>0</v>
      </c>
      <c r="F172" s="324"/>
      <c r="G172" s="324"/>
      <c r="H172" s="387"/>
      <c r="I172" s="387"/>
      <c r="J172" s="322"/>
      <c r="K172" s="354"/>
      <c r="L172" s="355"/>
      <c r="M172" s="356"/>
      <c r="N172" s="67">
        <f t="shared" si="18"/>
        <v>0</v>
      </c>
      <c r="O172" s="324"/>
      <c r="P172" s="451"/>
    </row>
    <row r="173" ht="12.75" customHeight="1">
      <c r="A173" s="322"/>
      <c r="B173" s="362" t="s">
        <v>84</v>
      </c>
      <c r="C173" s="374"/>
      <c r="D173" s="374"/>
      <c r="E173" s="375">
        <f>IF(SUM(E163:E172)=0,"",SUM(E163:E172))</f>
        <v>22693.72645</v>
      </c>
      <c r="F173" s="324"/>
      <c r="G173" s="324"/>
      <c r="H173" s="387"/>
      <c r="I173" s="387"/>
      <c r="J173" s="322"/>
      <c r="K173" s="362" t="s">
        <v>84</v>
      </c>
      <c r="L173" s="374"/>
      <c r="M173" s="374"/>
      <c r="N173" s="375">
        <f>IF(SUM(N163:N172)=0,"",SUM(N163:N172))</f>
        <v>15845.96299</v>
      </c>
      <c r="O173" s="324"/>
      <c r="P173" s="451"/>
    </row>
    <row r="174" ht="12.75" customHeight="1">
      <c r="A174" s="322"/>
      <c r="B174" s="360"/>
      <c r="C174" s="360"/>
      <c r="D174" s="360"/>
      <c r="E174" s="361"/>
      <c r="F174" s="324"/>
      <c r="G174" s="324"/>
      <c r="H174" s="387"/>
      <c r="I174" s="387"/>
      <c r="J174" s="322"/>
      <c r="K174" s="360"/>
      <c r="L174" s="360"/>
      <c r="M174" s="360"/>
      <c r="N174" s="361"/>
      <c r="O174" s="324"/>
      <c r="P174" s="451"/>
    </row>
    <row r="175" ht="12.75" customHeight="1">
      <c r="A175" s="322"/>
      <c r="B175" s="34" t="s">
        <v>17</v>
      </c>
      <c r="C175" s="35"/>
      <c r="D175" s="35"/>
      <c r="E175" s="35"/>
      <c r="F175" s="324"/>
      <c r="G175" s="324"/>
      <c r="H175" s="387"/>
      <c r="I175" s="387"/>
      <c r="J175" s="322"/>
      <c r="K175" s="34" t="s">
        <v>17</v>
      </c>
      <c r="L175" s="35"/>
      <c r="M175" s="35"/>
      <c r="N175" s="35"/>
      <c r="O175" s="324"/>
      <c r="P175" s="451"/>
    </row>
    <row r="176" ht="12.75" customHeight="1">
      <c r="A176" s="322"/>
      <c r="B176" s="52" t="s">
        <v>42</v>
      </c>
      <c r="C176" s="54"/>
      <c r="D176" s="54"/>
      <c r="E176" s="56" t="s">
        <v>35</v>
      </c>
      <c r="F176" s="324"/>
      <c r="G176" s="324"/>
      <c r="H176" s="387"/>
      <c r="I176" s="387"/>
      <c r="J176" s="322"/>
      <c r="K176" s="52" t="s">
        <v>42</v>
      </c>
      <c r="L176" s="54"/>
      <c r="M176" s="54"/>
      <c r="N176" s="56" t="s">
        <v>35</v>
      </c>
      <c r="O176" s="324"/>
      <c r="P176" s="451"/>
    </row>
    <row r="177" ht="12.75" customHeight="1">
      <c r="A177" s="322"/>
      <c r="B177" s="60" t="s">
        <v>40</v>
      </c>
      <c r="C177" s="343">
        <f>'UTL COST'!$B$3</f>
        <v>369000</v>
      </c>
      <c r="D177" s="379">
        <f>'UTL COST'!$C$3</f>
        <v>0.0075</v>
      </c>
      <c r="E177" s="67">
        <f>'UTL COST'!$D$3</f>
        <v>2767.5</v>
      </c>
      <c r="F177" s="324"/>
      <c r="G177" s="324"/>
      <c r="H177" s="387"/>
      <c r="I177" s="387"/>
      <c r="J177" s="322"/>
      <c r="K177" s="60" t="s">
        <v>40</v>
      </c>
      <c r="L177" s="343">
        <f>'UTL COST'!$B$3</f>
        <v>369000</v>
      </c>
      <c r="M177" s="379">
        <f>'UTL COST'!$C$3</f>
        <v>0.0075</v>
      </c>
      <c r="N177" s="67">
        <v>0.0</v>
      </c>
      <c r="O177" s="324"/>
      <c r="P177" s="451"/>
    </row>
    <row r="178" ht="12.75" customHeight="1">
      <c r="A178" s="322"/>
      <c r="B178" s="75" t="s">
        <v>51</v>
      </c>
      <c r="C178" s="371" t="str">
        <f>'UTL COST'!$B$4</f>
        <v>#REF!</v>
      </c>
      <c r="D178" s="382">
        <f>'UTL COST'!$C$4</f>
        <v>7000</v>
      </c>
      <c r="E178" s="76" t="str">
        <f>'UTL COST'!$D$4</f>
        <v>#REF!</v>
      </c>
      <c r="F178" s="324"/>
      <c r="G178" s="324"/>
      <c r="H178" s="387"/>
      <c r="I178" s="387"/>
      <c r="J178" s="322"/>
      <c r="K178" s="75" t="s">
        <v>51</v>
      </c>
      <c r="L178" s="371" t="str">
        <f>'UTL COST'!$B$4</f>
        <v>#REF!</v>
      </c>
      <c r="M178" s="382">
        <f>'UTL COST'!$C$4</f>
        <v>7000</v>
      </c>
      <c r="N178" s="76" t="str">
        <f>'UTL COST'!$D$4</f>
        <v>#REF!</v>
      </c>
      <c r="O178" s="324"/>
      <c r="P178" s="451"/>
    </row>
    <row r="179" ht="12.75" customHeight="1">
      <c r="A179" s="322"/>
      <c r="B179" s="75" t="s">
        <v>59</v>
      </c>
      <c r="C179" s="371" t="str">
        <f>'UTL COST'!$B$5</f>
        <v>#REF!</v>
      </c>
      <c r="D179" s="382">
        <f>'UTL COST'!$C$5</f>
        <v>45000</v>
      </c>
      <c r="E179" s="76" t="str">
        <f>'UTL COST'!$D$5</f>
        <v>#REF!</v>
      </c>
      <c r="F179" s="324"/>
      <c r="G179" s="324"/>
      <c r="H179" s="387"/>
      <c r="I179" s="387"/>
      <c r="J179" s="322"/>
      <c r="K179" s="75" t="s">
        <v>59</v>
      </c>
      <c r="L179" s="371" t="str">
        <f>'UTL COST'!$B$5</f>
        <v>#REF!</v>
      </c>
      <c r="M179" s="382">
        <f>'UTL COST'!$C$5</f>
        <v>45000</v>
      </c>
      <c r="N179" s="76" t="str">
        <f>'UTL COST'!$D$5</f>
        <v>#REF!</v>
      </c>
      <c r="O179" s="324"/>
      <c r="P179" s="451"/>
    </row>
    <row r="180" ht="12.75" customHeight="1">
      <c r="A180" s="322"/>
      <c r="B180" s="87" t="s">
        <v>78</v>
      </c>
      <c r="C180" s="371" t="str">
        <f>'UTL COST'!$B$6</f>
        <v>#REF!</v>
      </c>
      <c r="D180" s="383">
        <f>'UTL COST'!$C$6</f>
        <v>525</v>
      </c>
      <c r="E180" s="89">
        <v>0.1</v>
      </c>
      <c r="F180" s="324"/>
      <c r="G180" s="324"/>
      <c r="H180" s="387"/>
      <c r="I180" s="387"/>
      <c r="J180" s="322"/>
      <c r="K180" s="87" t="s">
        <v>78</v>
      </c>
      <c r="L180" s="371" t="str">
        <f>'UTL COST'!$B$6</f>
        <v>#REF!</v>
      </c>
      <c r="M180" s="383">
        <f>'UTL COST'!$C$6</f>
        <v>525</v>
      </c>
      <c r="N180" s="89">
        <v>0.1</v>
      </c>
      <c r="O180" s="324"/>
      <c r="P180" s="451"/>
    </row>
    <row r="181" ht="12.75" customHeight="1">
      <c r="A181" s="322"/>
      <c r="B181" s="34" t="s">
        <v>84</v>
      </c>
      <c r="C181" s="102"/>
      <c r="D181" s="102"/>
      <c r="E181" s="104" t="str">
        <f>IF(SUM(E177:E180)=0,"",SUM(E177:E180))</f>
        <v>#REF!</v>
      </c>
      <c r="F181" s="324"/>
      <c r="G181" s="324"/>
      <c r="H181" s="387"/>
      <c r="I181" s="387"/>
      <c r="J181" s="322"/>
      <c r="K181" s="34" t="s">
        <v>84</v>
      </c>
      <c r="L181" s="102"/>
      <c r="M181" s="102"/>
      <c r="N181" s="104" t="str">
        <f>IF(SUM(N177:N180)=0,"",SUM(N177:N180))</f>
        <v>#REF!</v>
      </c>
      <c r="O181" s="324"/>
      <c r="P181" s="451"/>
    </row>
    <row r="182" ht="12.75" customHeight="1">
      <c r="A182" s="322"/>
      <c r="B182" s="360"/>
      <c r="C182" s="360"/>
      <c r="D182" s="360"/>
      <c r="E182" s="361"/>
      <c r="F182" s="324"/>
      <c r="G182" s="324"/>
      <c r="H182" s="387"/>
      <c r="I182" s="387"/>
      <c r="J182" s="322"/>
      <c r="K182" s="360"/>
      <c r="L182" s="360"/>
      <c r="M182" s="360"/>
      <c r="N182" s="361"/>
      <c r="O182" s="324"/>
      <c r="P182" s="451"/>
    </row>
    <row r="183" ht="12.75" customHeight="1">
      <c r="A183" s="387"/>
      <c r="B183" s="387"/>
      <c r="C183" s="387"/>
      <c r="D183" s="387"/>
      <c r="E183" s="418"/>
      <c r="F183" s="387"/>
      <c r="G183" s="387"/>
      <c r="H183" s="387"/>
      <c r="I183" s="387"/>
      <c r="J183" s="387"/>
      <c r="K183" s="387"/>
      <c r="L183" s="387"/>
      <c r="M183" s="387"/>
      <c r="N183" s="387"/>
      <c r="O183" s="387"/>
      <c r="P183" s="387"/>
    </row>
    <row r="184" ht="12.75" customHeight="1">
      <c r="A184" s="387"/>
      <c r="B184" s="387"/>
      <c r="C184" s="387"/>
      <c r="D184" s="387"/>
      <c r="E184" s="418"/>
      <c r="F184" s="387"/>
      <c r="G184" s="387"/>
      <c r="H184" s="387"/>
      <c r="I184" s="387"/>
      <c r="J184" s="387"/>
      <c r="K184" s="387"/>
      <c r="L184" s="387"/>
      <c r="M184" s="387"/>
      <c r="N184" s="387"/>
      <c r="O184" s="387"/>
      <c r="P184" s="387"/>
    </row>
    <row r="185" ht="15.0" customHeight="1">
      <c r="A185" s="387"/>
      <c r="B185" s="387"/>
      <c r="C185" s="387"/>
      <c r="D185" s="387"/>
      <c r="E185" s="418"/>
      <c r="F185" s="387"/>
      <c r="G185" s="387"/>
      <c r="H185" s="387"/>
      <c r="I185" s="387"/>
      <c r="J185" s="387"/>
      <c r="K185" s="387"/>
      <c r="L185" s="387"/>
      <c r="M185" s="387"/>
      <c r="N185" s="387"/>
      <c r="O185" s="387"/>
      <c r="P185" s="387"/>
    </row>
    <row r="186" ht="12.75" customHeight="1">
      <c r="A186" s="322"/>
      <c r="B186" s="322"/>
      <c r="C186" s="322"/>
      <c r="D186" s="322"/>
      <c r="E186" s="323"/>
      <c r="F186" s="324"/>
      <c r="G186" s="324"/>
      <c r="H186" s="387"/>
      <c r="I186" s="387"/>
      <c r="J186" s="322"/>
      <c r="K186" s="322"/>
      <c r="L186" s="322"/>
      <c r="M186" s="322"/>
      <c r="N186" s="323"/>
      <c r="O186" s="324"/>
      <c r="P186" s="451"/>
    </row>
    <row r="187" ht="12.75" customHeight="1">
      <c r="A187" s="322"/>
      <c r="B187" s="325"/>
      <c r="C187" s="322"/>
      <c r="D187" s="322"/>
      <c r="E187" s="323"/>
      <c r="F187" s="326"/>
      <c r="G187" s="326"/>
      <c r="H187" s="404"/>
      <c r="I187" s="387"/>
      <c r="J187" s="322"/>
      <c r="K187" s="325"/>
      <c r="L187" s="322"/>
      <c r="M187" s="322"/>
      <c r="N187" s="323"/>
      <c r="O187" s="326"/>
      <c r="P187" s="452"/>
    </row>
    <row r="188" ht="12.75" customHeight="1">
      <c r="A188" s="322"/>
      <c r="B188" s="327" t="s">
        <v>931</v>
      </c>
      <c r="C188" s="328" t="s">
        <v>1170</v>
      </c>
      <c r="D188" s="329"/>
      <c r="E188" s="323"/>
      <c r="F188" s="326"/>
      <c r="G188" s="326"/>
      <c r="H188" s="404"/>
      <c r="I188" s="387"/>
      <c r="J188" s="322"/>
      <c r="K188" s="327" t="s">
        <v>931</v>
      </c>
      <c r="L188" s="328" t="s">
        <v>1111</v>
      </c>
      <c r="M188" s="329"/>
      <c r="N188" s="323"/>
      <c r="O188" s="326"/>
      <c r="P188" s="452"/>
    </row>
    <row r="189" ht="12.75" customHeight="1">
      <c r="A189" s="322"/>
      <c r="B189" s="325"/>
      <c r="C189" s="322"/>
      <c r="D189" s="322"/>
      <c r="E189" s="323"/>
      <c r="F189" s="326"/>
      <c r="G189" s="326"/>
      <c r="H189" s="404"/>
      <c r="I189" s="387"/>
      <c r="J189" s="322"/>
      <c r="K189" s="325"/>
      <c r="L189" s="322"/>
      <c r="M189" s="322"/>
      <c r="N189" s="323"/>
      <c r="O189" s="326"/>
      <c r="P189" s="452"/>
    </row>
    <row r="190" ht="12.75" customHeight="1">
      <c r="A190" s="322"/>
      <c r="B190" s="327" t="s">
        <v>935</v>
      </c>
      <c r="C190" s="331">
        <v>250000.0</v>
      </c>
      <c r="D190" s="329"/>
      <c r="E190" s="323"/>
      <c r="F190" s="326"/>
      <c r="G190" s="326"/>
      <c r="H190" s="404"/>
      <c r="I190" s="387"/>
      <c r="J190" s="322"/>
      <c r="K190" s="327" t="s">
        <v>935</v>
      </c>
      <c r="L190" s="331">
        <v>180000.0</v>
      </c>
      <c r="M190" s="329"/>
      <c r="N190" s="323"/>
      <c r="O190" s="326"/>
      <c r="P190" s="452"/>
    </row>
    <row r="191" ht="12.75" customHeight="1">
      <c r="A191" s="322"/>
      <c r="B191" s="327"/>
      <c r="C191" s="332"/>
      <c r="D191" s="332"/>
      <c r="E191" s="323"/>
      <c r="F191" s="326"/>
      <c r="G191" s="326"/>
      <c r="H191" s="404"/>
      <c r="I191" s="387"/>
      <c r="J191" s="322"/>
      <c r="K191" s="327"/>
      <c r="L191" s="332"/>
      <c r="M191" s="332"/>
      <c r="N191" s="323"/>
      <c r="O191" s="326"/>
      <c r="P191" s="452"/>
    </row>
    <row r="192" ht="12.75" customHeight="1">
      <c r="A192" s="322"/>
      <c r="B192" s="327" t="s">
        <v>939</v>
      </c>
      <c r="C192" s="333" t="str">
        <f>IF(SUM(E204,E219,E227)=0,"",SUM(E204,E219,E227))</f>
        <v>#REF!</v>
      </c>
      <c r="D192" s="321"/>
      <c r="E192" s="323"/>
      <c r="F192" s="326"/>
      <c r="G192" s="326"/>
      <c r="H192" s="404"/>
      <c r="I192" s="387"/>
      <c r="J192" s="322"/>
      <c r="K192" s="327" t="s">
        <v>939</v>
      </c>
      <c r="L192" s="333" t="str">
        <f>IF(SUM(N204,N219,N227)=0,"",SUM(N204,N219,N227))</f>
        <v>#REF!</v>
      </c>
      <c r="M192" s="321"/>
      <c r="N192" s="323"/>
      <c r="O192" s="326"/>
      <c r="P192" s="452"/>
    </row>
    <row r="193" ht="12.75" customHeight="1">
      <c r="A193" s="322"/>
      <c r="B193" s="327"/>
      <c r="C193" s="334"/>
      <c r="D193" s="334"/>
      <c r="E193" s="323"/>
      <c r="F193" s="326"/>
      <c r="G193" s="326"/>
      <c r="H193" s="404"/>
      <c r="I193" s="387"/>
      <c r="J193" s="322"/>
      <c r="K193" s="327"/>
      <c r="L193" s="334"/>
      <c r="M193" s="334"/>
      <c r="N193" s="323"/>
      <c r="O193" s="326"/>
      <c r="P193" s="452"/>
    </row>
    <row r="194" ht="12.75" customHeight="1">
      <c r="A194" s="322"/>
      <c r="B194" s="327" t="s">
        <v>946</v>
      </c>
      <c r="C194" s="335" t="str">
        <f>IF(C192="","",IF(ISBLANK(C190),"",C192/C190))</f>
        <v>#REF!</v>
      </c>
      <c r="D194" s="321"/>
      <c r="E194" s="323"/>
      <c r="F194" s="326"/>
      <c r="G194" s="326"/>
      <c r="H194" s="404"/>
      <c r="I194" s="387"/>
      <c r="J194" s="322"/>
      <c r="K194" s="327" t="s">
        <v>946</v>
      </c>
      <c r="L194" s="335" t="str">
        <f>IF(L192="","",IF(ISBLANK(L190),"",L192/L190))</f>
        <v>#REF!</v>
      </c>
      <c r="M194" s="321"/>
      <c r="N194" s="323"/>
      <c r="O194" s="326"/>
      <c r="P194" s="452"/>
    </row>
    <row r="195" ht="12.75" customHeight="1">
      <c r="A195" s="322"/>
      <c r="B195" s="327"/>
      <c r="C195" s="334"/>
      <c r="D195" s="334"/>
      <c r="E195" s="323"/>
      <c r="F195" s="326"/>
      <c r="G195" s="326"/>
      <c r="H195" s="404"/>
      <c r="I195" s="387"/>
      <c r="J195" s="322"/>
      <c r="K195" s="327"/>
      <c r="L195" s="334"/>
      <c r="M195" s="334"/>
      <c r="N195" s="323"/>
      <c r="O195" s="326"/>
      <c r="P195" s="452"/>
    </row>
    <row r="196" ht="12.75" customHeight="1">
      <c r="A196" s="322"/>
      <c r="B196" s="327" t="s">
        <v>950</v>
      </c>
      <c r="C196" s="333" t="str">
        <f>C190-C192</f>
        <v>#REF!</v>
      </c>
      <c r="D196" s="321"/>
      <c r="E196" s="323"/>
      <c r="F196" s="326"/>
      <c r="G196" s="326"/>
      <c r="H196" s="404"/>
      <c r="I196" s="387"/>
      <c r="J196" s="322"/>
      <c r="K196" s="327" t="s">
        <v>950</v>
      </c>
      <c r="L196" s="333" t="str">
        <f>L190-L192</f>
        <v>#REF!</v>
      </c>
      <c r="M196" s="321"/>
      <c r="N196" s="323"/>
      <c r="O196" s="326"/>
      <c r="P196" s="452"/>
    </row>
    <row r="197" ht="12.75" customHeight="1">
      <c r="A197" s="322"/>
      <c r="B197" s="322"/>
      <c r="C197" s="322"/>
      <c r="D197" s="322"/>
      <c r="E197" s="323"/>
      <c r="F197" s="324"/>
      <c r="G197" s="324"/>
      <c r="H197" s="404"/>
      <c r="I197" s="387"/>
      <c r="J197" s="322"/>
      <c r="K197" s="322"/>
      <c r="L197" s="322"/>
      <c r="M197" s="322"/>
      <c r="N197" s="323"/>
      <c r="O197" s="324"/>
      <c r="P197" s="451"/>
    </row>
    <row r="198" ht="12.75" customHeight="1">
      <c r="A198" s="322"/>
      <c r="B198" s="322"/>
      <c r="C198" s="322"/>
      <c r="D198" s="322"/>
      <c r="E198" s="337"/>
      <c r="F198" s="324"/>
      <c r="G198" s="324"/>
      <c r="H198" s="387"/>
      <c r="I198" s="387"/>
      <c r="J198" s="322"/>
      <c r="K198" s="322"/>
      <c r="L198" s="322"/>
      <c r="M198" s="322"/>
      <c r="N198" s="337"/>
      <c r="O198" s="324"/>
      <c r="P198" s="451"/>
    </row>
    <row r="199" ht="12.75" customHeight="1">
      <c r="A199" s="322"/>
      <c r="B199" s="338" t="s">
        <v>951</v>
      </c>
      <c r="C199" s="339"/>
      <c r="D199" s="339"/>
      <c r="E199" s="339"/>
      <c r="F199" s="324"/>
      <c r="G199" s="324"/>
      <c r="H199" s="410"/>
      <c r="I199" s="387"/>
      <c r="J199" s="322"/>
      <c r="K199" s="338" t="s">
        <v>951</v>
      </c>
      <c r="L199" s="339"/>
      <c r="M199" s="339"/>
      <c r="N199" s="339"/>
      <c r="O199" s="324"/>
      <c r="P199" s="451"/>
    </row>
    <row r="200" ht="12.75" customHeight="1">
      <c r="A200" s="322"/>
      <c r="B200" s="340" t="s">
        <v>953</v>
      </c>
      <c r="C200" s="341" t="s">
        <v>954</v>
      </c>
      <c r="D200" s="341" t="s">
        <v>955</v>
      </c>
      <c r="E200" s="341" t="s">
        <v>35</v>
      </c>
      <c r="F200" s="324"/>
      <c r="G200" s="324"/>
      <c r="H200" s="387"/>
      <c r="I200" s="387"/>
      <c r="J200" s="322"/>
      <c r="K200" s="340" t="s">
        <v>953</v>
      </c>
      <c r="L200" s="341" t="s">
        <v>954</v>
      </c>
      <c r="M200" s="341" t="s">
        <v>955</v>
      </c>
      <c r="N200" s="341" t="s">
        <v>35</v>
      </c>
      <c r="O200" s="324"/>
      <c r="P200" s="451"/>
    </row>
    <row r="201" ht="12.75" customHeight="1">
      <c r="A201" s="322"/>
      <c r="B201" s="60" t="s">
        <v>703</v>
      </c>
      <c r="C201" s="342">
        <v>0.16</v>
      </c>
      <c r="D201" s="343">
        <f>'F&amp;B'!F229</f>
        <v>81000</v>
      </c>
      <c r="E201" s="67">
        <f t="shared" ref="E201:E203" si="19">IF(OR(ISBLANK(C201),ISBLANK(D201)),"",D201*C201)</f>
        <v>12960</v>
      </c>
      <c r="F201" s="324"/>
      <c r="G201" s="324"/>
      <c r="H201" s="387"/>
      <c r="I201" s="387"/>
      <c r="J201" s="322"/>
      <c r="K201" s="60" t="s">
        <v>1111</v>
      </c>
      <c r="L201" s="344">
        <v>0.1</v>
      </c>
      <c r="M201" s="343">
        <f>'F&amp;B'!$F$77</f>
        <v>141300</v>
      </c>
      <c r="N201" s="67">
        <f t="shared" ref="N201:N203" si="20">IF(OR(ISBLANK(L201),ISBLANK(M201)),"",M201*L201)</f>
        <v>14130</v>
      </c>
      <c r="O201" s="324"/>
      <c r="P201" s="451"/>
    </row>
    <row r="202" ht="12.75" customHeight="1">
      <c r="A202" s="322"/>
      <c r="B202" s="75" t="s">
        <v>1173</v>
      </c>
      <c r="C202" s="370">
        <v>1.0</v>
      </c>
      <c r="D202" s="371">
        <f>'F&amp;B'!F301</f>
        <v>13500</v>
      </c>
      <c r="E202" s="67">
        <f t="shared" si="19"/>
        <v>13500</v>
      </c>
      <c r="F202" s="324"/>
      <c r="G202" s="324"/>
      <c r="H202" s="387"/>
      <c r="I202" s="387"/>
      <c r="J202" s="322"/>
      <c r="K202" s="75" t="s">
        <v>1173</v>
      </c>
      <c r="L202" s="370">
        <v>1.0</v>
      </c>
      <c r="M202" s="371">
        <f>'F&amp;B'!$F$301</f>
        <v>13500</v>
      </c>
      <c r="N202" s="67">
        <f t="shared" si="20"/>
        <v>13500</v>
      </c>
      <c r="O202" s="324"/>
      <c r="P202" s="451"/>
    </row>
    <row r="203" ht="12.75" customHeight="1">
      <c r="A203" s="322"/>
      <c r="B203" s="87"/>
      <c r="C203" s="412">
        <v>0.0</v>
      </c>
      <c r="D203" s="408"/>
      <c r="E203" s="67" t="str">
        <f t="shared" si="19"/>
        <v/>
      </c>
      <c r="F203" s="324"/>
      <c r="G203" s="324"/>
      <c r="H203" s="387"/>
      <c r="I203" s="387"/>
      <c r="J203" s="322"/>
      <c r="K203" s="87" t="s">
        <v>1174</v>
      </c>
      <c r="L203" s="412">
        <v>0.16</v>
      </c>
      <c r="M203" s="408">
        <v>12000.0</v>
      </c>
      <c r="N203" s="67">
        <f t="shared" si="20"/>
        <v>1920</v>
      </c>
      <c r="O203" s="324"/>
      <c r="P203" s="451"/>
    </row>
    <row r="204" ht="12.75" customHeight="1">
      <c r="A204" s="322"/>
      <c r="B204" s="338" t="s">
        <v>84</v>
      </c>
      <c r="C204" s="358"/>
      <c r="D204" s="358"/>
      <c r="E204" s="359">
        <f>IF(SUM(E201:E203)=0,"",SUM(E201:E203))</f>
        <v>26460</v>
      </c>
      <c r="F204" s="324"/>
      <c r="G204" s="324"/>
      <c r="H204" s="387"/>
      <c r="I204" s="387"/>
      <c r="J204" s="322"/>
      <c r="K204" s="338" t="s">
        <v>84</v>
      </c>
      <c r="L204" s="358"/>
      <c r="M204" s="358"/>
      <c r="N204" s="359">
        <f>IF(SUM(N201:N203)=0,"",SUM(N201:N203))</f>
        <v>29550</v>
      </c>
      <c r="O204" s="324"/>
      <c r="P204" s="451"/>
    </row>
    <row r="205" ht="12.75" customHeight="1">
      <c r="A205" s="322"/>
      <c r="B205" s="360"/>
      <c r="C205" s="360"/>
      <c r="D205" s="360"/>
      <c r="E205" s="361"/>
      <c r="F205" s="324"/>
      <c r="G205" s="324"/>
      <c r="H205" s="387"/>
      <c r="I205" s="387"/>
      <c r="J205" s="322"/>
      <c r="K205" s="360"/>
      <c r="L205" s="360"/>
      <c r="M205" s="360"/>
      <c r="N205" s="361"/>
      <c r="O205" s="324"/>
      <c r="P205" s="451"/>
    </row>
    <row r="206" ht="12.75" customHeight="1">
      <c r="A206" s="322"/>
      <c r="B206" s="362" t="s">
        <v>972</v>
      </c>
      <c r="C206" s="363"/>
      <c r="D206" s="363"/>
      <c r="E206" s="363"/>
      <c r="F206" s="324"/>
      <c r="G206" s="324"/>
      <c r="H206" s="387"/>
      <c r="I206" s="387"/>
      <c r="J206" s="322"/>
      <c r="K206" s="362" t="s">
        <v>972</v>
      </c>
      <c r="L206" s="363"/>
      <c r="M206" s="363"/>
      <c r="N206" s="363"/>
      <c r="O206" s="324"/>
      <c r="P206" s="451"/>
    </row>
    <row r="207" ht="12.75" customHeight="1">
      <c r="A207" s="322"/>
      <c r="B207" s="365" t="s">
        <v>953</v>
      </c>
      <c r="C207" s="366" t="s">
        <v>3</v>
      </c>
      <c r="D207" s="366" t="s">
        <v>975</v>
      </c>
      <c r="E207" s="367" t="s">
        <v>35</v>
      </c>
      <c r="F207" s="324"/>
      <c r="G207" s="324"/>
      <c r="H207" s="387"/>
      <c r="I207" s="387"/>
      <c r="J207" s="322"/>
      <c r="K207" s="365" t="s">
        <v>953</v>
      </c>
      <c r="L207" s="366" t="s">
        <v>3</v>
      </c>
      <c r="M207" s="366" t="s">
        <v>975</v>
      </c>
      <c r="N207" s="367" t="s">
        <v>35</v>
      </c>
      <c r="O207" s="324"/>
      <c r="P207" s="451"/>
    </row>
    <row r="208" ht="12.75" customHeight="1">
      <c r="A208" s="322"/>
      <c r="B208" s="368"/>
      <c r="C208" s="366"/>
      <c r="D208" s="366"/>
      <c r="E208" s="368"/>
      <c r="F208" s="324"/>
      <c r="G208" s="324"/>
      <c r="H208" s="387"/>
      <c r="I208" s="387"/>
      <c r="J208" s="322"/>
      <c r="K208" s="368"/>
      <c r="L208" s="366"/>
      <c r="M208" s="366"/>
      <c r="N208" s="368"/>
      <c r="O208" s="324"/>
      <c r="P208" s="451"/>
    </row>
    <row r="209" ht="12.75" customHeight="1">
      <c r="A209" s="322"/>
      <c r="B209" s="60" t="s">
        <v>349</v>
      </c>
      <c r="C209" s="342">
        <v>0.005</v>
      </c>
      <c r="D209" s="343">
        <f>'F&amp;B'!F188</f>
        <v>47250</v>
      </c>
      <c r="E209" s="67">
        <f t="shared" ref="E209:E218" si="21">D209*C209</f>
        <v>236.25</v>
      </c>
      <c r="F209" s="324"/>
      <c r="G209" s="324"/>
      <c r="H209" s="387"/>
      <c r="I209" s="387"/>
      <c r="J209" s="322"/>
      <c r="K209" s="60" t="s">
        <v>1113</v>
      </c>
      <c r="L209" s="342">
        <v>0.03</v>
      </c>
      <c r="M209" s="343">
        <f>'F&amp;B'!$F$146</f>
        <v>65250</v>
      </c>
      <c r="N209" s="67">
        <f t="shared" ref="N209:N218" si="22">M209*L209</f>
        <v>1957.5</v>
      </c>
      <c r="O209" s="324"/>
      <c r="P209" s="451"/>
    </row>
    <row r="210" ht="12.75" customHeight="1">
      <c r="A210" s="322"/>
      <c r="B210" s="75" t="s">
        <v>817</v>
      </c>
      <c r="C210" s="370">
        <v>0.03</v>
      </c>
      <c r="D210" s="371">
        <f>'F&amp;B'!F293</f>
        <v>6750</v>
      </c>
      <c r="E210" s="67">
        <f t="shared" si="21"/>
        <v>202.5</v>
      </c>
      <c r="F210" s="324"/>
      <c r="G210" s="324"/>
      <c r="H210" s="387"/>
      <c r="I210" s="387"/>
      <c r="J210" s="322"/>
      <c r="K210" s="75" t="s">
        <v>817</v>
      </c>
      <c r="L210" s="370">
        <v>0.01</v>
      </c>
      <c r="M210" s="371">
        <f>'F&amp;B'!$F$293</f>
        <v>6750</v>
      </c>
      <c r="N210" s="67">
        <f t="shared" si="22"/>
        <v>67.5</v>
      </c>
      <c r="O210" s="324"/>
      <c r="P210" s="451"/>
    </row>
    <row r="211" ht="12.75" customHeight="1">
      <c r="A211" s="322"/>
      <c r="B211" s="75" t="s">
        <v>738</v>
      </c>
      <c r="C211" s="370">
        <v>0.01</v>
      </c>
      <c r="D211" s="371">
        <f>'F&amp;B'!F136</f>
        <v>90000</v>
      </c>
      <c r="E211" s="67">
        <f t="shared" si="21"/>
        <v>900</v>
      </c>
      <c r="F211" s="324"/>
      <c r="G211" s="324"/>
      <c r="H211" s="387"/>
      <c r="I211" s="387"/>
      <c r="J211" s="322"/>
      <c r="K211" s="75" t="s">
        <v>1176</v>
      </c>
      <c r="L211" s="370">
        <v>0.03</v>
      </c>
      <c r="M211" s="371">
        <f>'F&amp;B'!$F$300</f>
        <v>13500</v>
      </c>
      <c r="N211" s="67">
        <f t="shared" si="22"/>
        <v>405</v>
      </c>
      <c r="O211" s="324"/>
      <c r="P211" s="451"/>
    </row>
    <row r="212" ht="12.75" customHeight="1">
      <c r="A212" s="322"/>
      <c r="B212" s="228" t="s">
        <v>1178</v>
      </c>
      <c r="C212" s="346">
        <v>0.015</v>
      </c>
      <c r="D212" s="371">
        <f>'F&amp;B'!F151</f>
        <v>99000</v>
      </c>
      <c r="E212" s="67">
        <f t="shared" si="21"/>
        <v>1485</v>
      </c>
      <c r="F212" s="324"/>
      <c r="G212" s="324"/>
      <c r="H212" s="387"/>
      <c r="I212" s="387"/>
      <c r="J212" s="322"/>
      <c r="K212" s="75" t="s">
        <v>769</v>
      </c>
      <c r="L212" s="398">
        <v>2.0</v>
      </c>
      <c r="M212" s="371">
        <f>SAUCES!$D$46</f>
        <v>965.0953623</v>
      </c>
      <c r="N212" s="67">
        <f t="shared" si="22"/>
        <v>1930.190725</v>
      </c>
      <c r="O212" s="324"/>
      <c r="P212" s="451"/>
    </row>
    <row r="213" ht="12.75" customHeight="1">
      <c r="A213" s="322"/>
      <c r="B213" s="75" t="s">
        <v>1179</v>
      </c>
      <c r="C213" s="346">
        <v>0.008</v>
      </c>
      <c r="D213" s="371">
        <f>'F&amp;B'!F152</f>
        <v>41400</v>
      </c>
      <c r="E213" s="67">
        <f t="shared" si="21"/>
        <v>331.2</v>
      </c>
      <c r="F213" s="324"/>
      <c r="G213" s="324"/>
      <c r="H213" s="387"/>
      <c r="I213" s="387"/>
      <c r="J213" s="322"/>
      <c r="K213" s="75" t="s">
        <v>1180</v>
      </c>
      <c r="L213" s="346">
        <v>0.03</v>
      </c>
      <c r="M213" s="371">
        <f>'F&amp;B'!F283*4</f>
        <v>36000</v>
      </c>
      <c r="N213" s="67">
        <f t="shared" si="22"/>
        <v>1080</v>
      </c>
      <c r="O213" s="324"/>
      <c r="P213" s="451"/>
    </row>
    <row r="214" ht="12.75" customHeight="1">
      <c r="A214" s="322"/>
      <c r="B214" s="75" t="s">
        <v>1114</v>
      </c>
      <c r="C214" s="346">
        <v>0.016</v>
      </c>
      <c r="D214" s="371">
        <f>'F&amp;B'!F300</f>
        <v>13500</v>
      </c>
      <c r="E214" s="67">
        <f t="shared" si="21"/>
        <v>216</v>
      </c>
      <c r="F214" s="324"/>
      <c r="G214" s="324"/>
      <c r="H214" s="387"/>
      <c r="I214" s="387"/>
      <c r="J214" s="322"/>
      <c r="K214" s="228" t="s">
        <v>1181</v>
      </c>
      <c r="L214" s="398">
        <v>0.05</v>
      </c>
      <c r="M214" s="371">
        <f>'F&amp;B'!F189</f>
        <v>144000</v>
      </c>
      <c r="N214" s="67">
        <f t="shared" si="22"/>
        <v>7200</v>
      </c>
      <c r="O214" s="324"/>
      <c r="P214" s="451"/>
    </row>
    <row r="215" ht="12.75" customHeight="1">
      <c r="A215" s="322"/>
      <c r="B215" s="75" t="s">
        <v>1182</v>
      </c>
      <c r="C215" s="346">
        <v>0.08</v>
      </c>
      <c r="D215" s="347">
        <f>SAUCES!L1</f>
        <v>13999.17763</v>
      </c>
      <c r="E215" s="67">
        <f t="shared" si="21"/>
        <v>1119.934211</v>
      </c>
      <c r="F215" s="324"/>
      <c r="G215" s="324"/>
      <c r="H215" s="387"/>
      <c r="I215" s="387"/>
      <c r="J215" s="322"/>
      <c r="K215" s="75"/>
      <c r="L215" s="346"/>
      <c r="M215" s="371"/>
      <c r="N215" s="67">
        <f t="shared" si="22"/>
        <v>0</v>
      </c>
      <c r="O215" s="324"/>
      <c r="P215" s="451"/>
    </row>
    <row r="216" ht="12.75" customHeight="1">
      <c r="A216" s="322"/>
      <c r="B216" s="348"/>
      <c r="C216" s="346"/>
      <c r="D216" s="373"/>
      <c r="E216" s="67">
        <f t="shared" si="21"/>
        <v>0</v>
      </c>
      <c r="F216" s="324"/>
      <c r="G216" s="324"/>
      <c r="H216" s="387"/>
      <c r="I216" s="387"/>
      <c r="J216" s="322"/>
      <c r="K216" s="348"/>
      <c r="L216" s="346"/>
      <c r="M216" s="373"/>
      <c r="N216" s="67">
        <f t="shared" si="22"/>
        <v>0</v>
      </c>
      <c r="O216" s="324"/>
      <c r="P216" s="451"/>
    </row>
    <row r="217" ht="12.75" customHeight="1">
      <c r="A217" s="322"/>
      <c r="B217" s="348"/>
      <c r="C217" s="346"/>
      <c r="D217" s="373"/>
      <c r="E217" s="67">
        <f t="shared" si="21"/>
        <v>0</v>
      </c>
      <c r="F217" s="324"/>
      <c r="G217" s="324"/>
      <c r="H217" s="387"/>
      <c r="I217" s="387"/>
      <c r="J217" s="322"/>
      <c r="K217" s="348"/>
      <c r="L217" s="346"/>
      <c r="M217" s="373"/>
      <c r="N217" s="67">
        <f t="shared" si="22"/>
        <v>0</v>
      </c>
      <c r="O217" s="324"/>
      <c r="P217" s="451"/>
    </row>
    <row r="218" ht="12.75" customHeight="1">
      <c r="A218" s="322"/>
      <c r="B218" s="354"/>
      <c r="C218" s="355"/>
      <c r="D218" s="356"/>
      <c r="E218" s="67">
        <f t="shared" si="21"/>
        <v>0</v>
      </c>
      <c r="F218" s="324"/>
      <c r="G218" s="324"/>
      <c r="H218" s="387"/>
      <c r="I218" s="387"/>
      <c r="J218" s="322"/>
      <c r="K218" s="354"/>
      <c r="L218" s="355"/>
      <c r="M218" s="356"/>
      <c r="N218" s="67">
        <f t="shared" si="22"/>
        <v>0</v>
      </c>
      <c r="O218" s="324"/>
      <c r="P218" s="451"/>
    </row>
    <row r="219" ht="12.75" customHeight="1">
      <c r="A219" s="322"/>
      <c r="B219" s="362" t="s">
        <v>84</v>
      </c>
      <c r="C219" s="374"/>
      <c r="D219" s="374"/>
      <c r="E219" s="375">
        <f>IF(SUM(E209:E218)=0,"",SUM(E209:E218))</f>
        <v>4490.884211</v>
      </c>
      <c r="F219" s="324"/>
      <c r="G219" s="324"/>
      <c r="H219" s="387"/>
      <c r="I219" s="387"/>
      <c r="J219" s="322"/>
      <c r="K219" s="362" t="s">
        <v>84</v>
      </c>
      <c r="L219" s="374"/>
      <c r="M219" s="374"/>
      <c r="N219" s="375">
        <f>IF(SUM(N209:N218)=0,"",SUM(N209:N218))</f>
        <v>12640.19072</v>
      </c>
      <c r="O219" s="324"/>
      <c r="P219" s="451"/>
    </row>
    <row r="220" ht="12.75" customHeight="1">
      <c r="A220" s="322"/>
      <c r="B220" s="360"/>
      <c r="C220" s="360"/>
      <c r="D220" s="360"/>
      <c r="E220" s="361"/>
      <c r="F220" s="324"/>
      <c r="G220" s="324"/>
      <c r="H220" s="387"/>
      <c r="I220" s="387"/>
      <c r="J220" s="322"/>
      <c r="K220" s="360"/>
      <c r="L220" s="360"/>
      <c r="M220" s="360"/>
      <c r="N220" s="361"/>
      <c r="O220" s="324"/>
      <c r="P220" s="451"/>
    </row>
    <row r="221" ht="12.75" customHeight="1">
      <c r="A221" s="322"/>
      <c r="B221" s="34" t="s">
        <v>17</v>
      </c>
      <c r="C221" s="35"/>
      <c r="D221" s="35"/>
      <c r="E221" s="35"/>
      <c r="F221" s="324"/>
      <c r="G221" s="324"/>
      <c r="H221" s="387"/>
      <c r="I221" s="387"/>
      <c r="J221" s="322"/>
      <c r="K221" s="34" t="s">
        <v>17</v>
      </c>
      <c r="L221" s="35"/>
      <c r="M221" s="35"/>
      <c r="N221" s="35"/>
      <c r="O221" s="324"/>
      <c r="P221" s="451"/>
    </row>
    <row r="222" ht="12.75" customHeight="1">
      <c r="A222" s="322"/>
      <c r="B222" s="52" t="s">
        <v>42</v>
      </c>
      <c r="C222" s="54"/>
      <c r="D222" s="54"/>
      <c r="E222" s="56" t="s">
        <v>35</v>
      </c>
      <c r="F222" s="324"/>
      <c r="G222" s="324"/>
      <c r="H222" s="387"/>
      <c r="I222" s="387"/>
      <c r="J222" s="322"/>
      <c r="K222" s="52" t="s">
        <v>42</v>
      </c>
      <c r="L222" s="54"/>
      <c r="M222" s="54"/>
      <c r="N222" s="56" t="s">
        <v>35</v>
      </c>
      <c r="O222" s="324"/>
      <c r="P222" s="451"/>
    </row>
    <row r="223" ht="12.75" customHeight="1">
      <c r="A223" s="322"/>
      <c r="B223" s="60" t="s">
        <v>40</v>
      </c>
      <c r="C223" s="343">
        <f>'UTL COST'!$B$3</f>
        <v>369000</v>
      </c>
      <c r="D223" s="379">
        <f>'UTL COST'!$C$3</f>
        <v>0.0075</v>
      </c>
      <c r="E223" s="67">
        <v>0.0</v>
      </c>
      <c r="F223" s="324"/>
      <c r="G223" s="324"/>
      <c r="H223" s="387"/>
      <c r="I223" s="387"/>
      <c r="J223" s="322"/>
      <c r="K223" s="60" t="s">
        <v>40</v>
      </c>
      <c r="L223" s="343">
        <f>'UTL COST'!$B$3</f>
        <v>369000</v>
      </c>
      <c r="M223" s="379">
        <f>'UTL COST'!$C$3</f>
        <v>0.0075</v>
      </c>
      <c r="N223" s="67">
        <v>0.0</v>
      </c>
      <c r="O223" s="324"/>
      <c r="P223" s="451"/>
    </row>
    <row r="224" ht="12.75" customHeight="1">
      <c r="A224" s="322"/>
      <c r="B224" s="75" t="s">
        <v>51</v>
      </c>
      <c r="C224" s="371" t="str">
        <f>'UTL COST'!$B$4</f>
        <v>#REF!</v>
      </c>
      <c r="D224" s="382">
        <f>'UTL COST'!$C$4</f>
        <v>7000</v>
      </c>
      <c r="E224" s="76" t="str">
        <f>'UTL COST'!$D$4</f>
        <v>#REF!</v>
      </c>
      <c r="F224" s="324"/>
      <c r="G224" s="324"/>
      <c r="H224" s="387"/>
      <c r="I224" s="387"/>
      <c r="J224" s="322"/>
      <c r="K224" s="75" t="s">
        <v>51</v>
      </c>
      <c r="L224" s="371" t="str">
        <f>'UTL COST'!$B$4</f>
        <v>#REF!</v>
      </c>
      <c r="M224" s="382">
        <f>'UTL COST'!$C$4</f>
        <v>7000</v>
      </c>
      <c r="N224" s="76" t="str">
        <f>'UTL COST'!$D$4</f>
        <v>#REF!</v>
      </c>
      <c r="O224" s="324"/>
      <c r="P224" s="451"/>
    </row>
    <row r="225" ht="12.75" customHeight="1">
      <c r="A225" s="322"/>
      <c r="B225" s="75" t="s">
        <v>59</v>
      </c>
      <c r="C225" s="371" t="str">
        <f>'UTL COST'!$B$5</f>
        <v>#REF!</v>
      </c>
      <c r="D225" s="382">
        <f>'UTL COST'!$C$5</f>
        <v>45000</v>
      </c>
      <c r="E225" s="76" t="str">
        <f>'UTL COST'!$D$5</f>
        <v>#REF!</v>
      </c>
      <c r="F225" s="324"/>
      <c r="G225" s="324"/>
      <c r="H225" s="387"/>
      <c r="I225" s="387"/>
      <c r="J225" s="322"/>
      <c r="K225" s="75" t="s">
        <v>59</v>
      </c>
      <c r="L225" s="371" t="str">
        <f>'UTL COST'!$B$5</f>
        <v>#REF!</v>
      </c>
      <c r="M225" s="382">
        <f>'UTL COST'!$C$5</f>
        <v>45000</v>
      </c>
      <c r="N225" s="76" t="str">
        <f>'UTL COST'!$D$5</f>
        <v>#REF!</v>
      </c>
      <c r="O225" s="324"/>
      <c r="P225" s="451"/>
    </row>
    <row r="226" ht="12.75" customHeight="1">
      <c r="A226" s="322"/>
      <c r="B226" s="87" t="s">
        <v>78</v>
      </c>
      <c r="C226" s="371" t="str">
        <f>'UTL COST'!$B$6</f>
        <v>#REF!</v>
      </c>
      <c r="D226" s="383">
        <f>'UTL COST'!$C$6</f>
        <v>525</v>
      </c>
      <c r="E226" s="89">
        <v>0.1</v>
      </c>
      <c r="F226" s="324"/>
      <c r="G226" s="324"/>
      <c r="H226" s="387"/>
      <c r="I226" s="387"/>
      <c r="J226" s="322"/>
      <c r="K226" s="87" t="s">
        <v>78</v>
      </c>
      <c r="L226" s="371" t="str">
        <f>'UTL COST'!$B$6</f>
        <v>#REF!</v>
      </c>
      <c r="M226" s="383">
        <f>'UTL COST'!$C$6</f>
        <v>525</v>
      </c>
      <c r="N226" s="89">
        <v>0.1</v>
      </c>
      <c r="O226" s="324"/>
      <c r="P226" s="451"/>
    </row>
    <row r="227" ht="12.75" customHeight="1">
      <c r="A227" s="322"/>
      <c r="B227" s="34" t="s">
        <v>84</v>
      </c>
      <c r="C227" s="102"/>
      <c r="D227" s="102"/>
      <c r="E227" s="104" t="str">
        <f>IF(SUM(E223:E226)=0,"",SUM(E223:E226))</f>
        <v>#REF!</v>
      </c>
      <c r="F227" s="324"/>
      <c r="G227" s="324"/>
      <c r="H227" s="387"/>
      <c r="I227" s="387"/>
      <c r="J227" s="322"/>
      <c r="K227" s="34" t="s">
        <v>84</v>
      </c>
      <c r="L227" s="102"/>
      <c r="M227" s="102"/>
      <c r="N227" s="104" t="str">
        <f>IF(SUM(N223:N226)=0,"",SUM(N223:N226))</f>
        <v>#REF!</v>
      </c>
      <c r="O227" s="324"/>
      <c r="P227" s="451"/>
    </row>
    <row r="228" ht="12.75" customHeight="1">
      <c r="A228" s="322"/>
      <c r="B228" s="360"/>
      <c r="C228" s="360"/>
      <c r="D228" s="360"/>
      <c r="E228" s="361"/>
      <c r="F228" s="324"/>
      <c r="G228" s="324"/>
      <c r="H228" s="387"/>
      <c r="I228" s="387"/>
      <c r="J228" s="322"/>
      <c r="K228" s="360"/>
      <c r="L228" s="360"/>
      <c r="M228" s="360"/>
      <c r="N228" s="361"/>
      <c r="O228" s="324"/>
      <c r="P228" s="451"/>
    </row>
    <row r="229" ht="12.75" customHeight="1">
      <c r="A229" s="387"/>
      <c r="B229" s="387"/>
      <c r="C229" s="387"/>
      <c r="D229" s="387"/>
      <c r="E229" s="418"/>
      <c r="F229" s="387"/>
      <c r="G229" s="387"/>
      <c r="H229" s="387"/>
      <c r="I229" s="387"/>
      <c r="J229" s="387"/>
      <c r="K229" s="387"/>
      <c r="L229" s="387"/>
      <c r="M229" s="387"/>
      <c r="N229" s="387"/>
      <c r="O229" s="387"/>
      <c r="P229" s="387"/>
    </row>
    <row r="230" ht="12.75" customHeight="1">
      <c r="A230" s="387"/>
      <c r="B230" s="387"/>
      <c r="C230" s="387"/>
      <c r="D230" s="387"/>
      <c r="E230" s="418"/>
      <c r="F230" s="387"/>
      <c r="G230" s="387"/>
      <c r="H230" s="387"/>
      <c r="I230" s="387"/>
      <c r="J230" s="387"/>
      <c r="K230" s="387"/>
      <c r="L230" s="387"/>
      <c r="M230" s="387"/>
      <c r="N230" s="387"/>
      <c r="O230" s="387"/>
      <c r="P230" s="387"/>
    </row>
    <row r="231" ht="12.75" customHeight="1">
      <c r="A231" s="322"/>
      <c r="B231" s="322"/>
      <c r="C231" s="322"/>
      <c r="D231" s="322"/>
      <c r="E231" s="323"/>
      <c r="F231" s="324"/>
      <c r="G231" s="324"/>
      <c r="H231" s="387"/>
      <c r="I231" s="387"/>
      <c r="J231" s="322"/>
      <c r="K231" s="322"/>
      <c r="L231" s="322"/>
      <c r="M231" s="322"/>
      <c r="N231" s="323"/>
      <c r="O231" s="324"/>
      <c r="P231" s="451"/>
    </row>
    <row r="232" ht="12.75" customHeight="1">
      <c r="A232" s="322"/>
      <c r="B232" s="325"/>
      <c r="C232" s="322"/>
      <c r="D232" s="322"/>
      <c r="E232" s="323"/>
      <c r="F232" s="326"/>
      <c r="G232" s="326"/>
      <c r="H232" s="404"/>
      <c r="I232" s="387"/>
      <c r="J232" s="322"/>
      <c r="K232" s="325"/>
      <c r="L232" s="322"/>
      <c r="M232" s="322"/>
      <c r="N232" s="323"/>
      <c r="O232" s="326"/>
      <c r="P232" s="452"/>
    </row>
    <row r="233" ht="12.75" customHeight="1">
      <c r="A233" s="322"/>
      <c r="B233" s="327" t="s">
        <v>931</v>
      </c>
      <c r="C233" s="328" t="s">
        <v>1186</v>
      </c>
      <c r="D233" s="329"/>
      <c r="E233" s="323"/>
      <c r="F233" s="326"/>
      <c r="G233" s="326"/>
      <c r="H233" s="404"/>
      <c r="I233" s="387"/>
      <c r="J233" s="322"/>
      <c r="K233" s="327" t="s">
        <v>931</v>
      </c>
      <c r="L233" s="454" t="s">
        <v>345</v>
      </c>
      <c r="M233" s="329"/>
      <c r="N233" s="323"/>
      <c r="O233" s="326"/>
      <c r="P233" s="452"/>
    </row>
    <row r="234" ht="12.75" customHeight="1">
      <c r="A234" s="322"/>
      <c r="B234" s="325"/>
      <c r="C234" s="322"/>
      <c r="D234" s="322"/>
      <c r="E234" s="323"/>
      <c r="F234" s="326"/>
      <c r="G234" s="326"/>
      <c r="H234" s="404"/>
      <c r="I234" s="387"/>
      <c r="J234" s="322"/>
      <c r="K234" s="325"/>
      <c r="L234" s="322"/>
      <c r="M234" s="322"/>
      <c r="N234" s="323"/>
      <c r="O234" s="326"/>
      <c r="P234" s="452"/>
    </row>
    <row r="235" ht="12.75" customHeight="1">
      <c r="A235" s="322"/>
      <c r="B235" s="327" t="s">
        <v>935</v>
      </c>
      <c r="C235" s="331"/>
      <c r="D235" s="329"/>
      <c r="E235" s="323"/>
      <c r="F235" s="326"/>
      <c r="G235" s="326"/>
      <c r="H235" s="404"/>
      <c r="I235" s="387"/>
      <c r="J235" s="322"/>
      <c r="K235" s="327" t="s">
        <v>935</v>
      </c>
      <c r="L235" s="331"/>
      <c r="M235" s="329"/>
      <c r="N235" s="323"/>
      <c r="O235" s="326"/>
      <c r="P235" s="452"/>
    </row>
    <row r="236" ht="12.75" customHeight="1">
      <c r="A236" s="322"/>
      <c r="B236" s="327"/>
      <c r="C236" s="332"/>
      <c r="D236" s="332"/>
      <c r="E236" s="323"/>
      <c r="F236" s="326"/>
      <c r="G236" s="326"/>
      <c r="H236" s="404"/>
      <c r="I236" s="387"/>
      <c r="J236" s="322"/>
      <c r="K236" s="327"/>
      <c r="L236" s="332"/>
      <c r="M236" s="332"/>
      <c r="N236" s="323"/>
      <c r="O236" s="326"/>
      <c r="P236" s="452"/>
    </row>
    <row r="237" ht="12.75" customHeight="1">
      <c r="A237" s="322"/>
      <c r="B237" s="327" t="s">
        <v>939</v>
      </c>
      <c r="C237" s="333" t="str">
        <f>IF(SUM(E249,E264,E272)=0,"",SUM(E249,E264,E272))</f>
        <v>#REF!</v>
      </c>
      <c r="D237" s="321"/>
      <c r="E237" s="323"/>
      <c r="F237" s="326"/>
      <c r="G237" s="326"/>
      <c r="H237" s="404"/>
      <c r="I237" s="387"/>
      <c r="J237" s="322"/>
      <c r="K237" s="327" t="s">
        <v>939</v>
      </c>
      <c r="L237" s="333" t="str">
        <f>IF(SUM(N249,N264,N272)=0,"",SUM(N249,N264,N272))</f>
        <v>#REF!</v>
      </c>
      <c r="M237" s="321"/>
      <c r="N237" s="323"/>
      <c r="O237" s="326"/>
      <c r="P237" s="452"/>
    </row>
    <row r="238" ht="12.75" customHeight="1">
      <c r="A238" s="322"/>
      <c r="B238" s="327"/>
      <c r="C238" s="334"/>
      <c r="D238" s="334"/>
      <c r="E238" s="323"/>
      <c r="F238" s="326"/>
      <c r="G238" s="326"/>
      <c r="H238" s="404"/>
      <c r="I238" s="387"/>
      <c r="J238" s="322"/>
      <c r="K238" s="327"/>
      <c r="L238" s="334"/>
      <c r="M238" s="334"/>
      <c r="N238" s="323"/>
      <c r="O238" s="326"/>
      <c r="P238" s="452"/>
    </row>
    <row r="239" ht="12.75" customHeight="1">
      <c r="A239" s="322"/>
      <c r="B239" s="327" t="s">
        <v>946</v>
      </c>
      <c r="C239" s="335" t="str">
        <f>IF(C237="","",IF(ISBLANK(C235),"",C237/C235))</f>
        <v>#REF!</v>
      </c>
      <c r="D239" s="321"/>
      <c r="E239" s="323"/>
      <c r="F239" s="326"/>
      <c r="G239" s="326"/>
      <c r="H239" s="404"/>
      <c r="I239" s="387"/>
      <c r="J239" s="322"/>
      <c r="K239" s="327" t="s">
        <v>946</v>
      </c>
      <c r="L239" s="335" t="str">
        <f>IF(L237="","",IF(ISBLANK(L235),"",L237/L235))</f>
        <v>#REF!</v>
      </c>
      <c r="M239" s="321"/>
      <c r="N239" s="323"/>
      <c r="O239" s="326"/>
      <c r="P239" s="452"/>
    </row>
    <row r="240" ht="12.75" customHeight="1">
      <c r="A240" s="322"/>
      <c r="B240" s="327"/>
      <c r="C240" s="334"/>
      <c r="D240" s="334"/>
      <c r="E240" s="323"/>
      <c r="F240" s="326"/>
      <c r="G240" s="326"/>
      <c r="H240" s="404"/>
      <c r="I240" s="387"/>
      <c r="J240" s="322"/>
      <c r="K240" s="327"/>
      <c r="L240" s="334"/>
      <c r="M240" s="334"/>
      <c r="N240" s="323"/>
      <c r="O240" s="326"/>
      <c r="P240" s="452"/>
    </row>
    <row r="241" ht="12.75" customHeight="1">
      <c r="A241" s="322"/>
      <c r="B241" s="327" t="s">
        <v>950</v>
      </c>
      <c r="C241" s="333" t="str">
        <f>C235-C237</f>
        <v>#REF!</v>
      </c>
      <c r="D241" s="321"/>
      <c r="E241" s="323"/>
      <c r="F241" s="326"/>
      <c r="G241" s="326"/>
      <c r="H241" s="404"/>
      <c r="I241" s="387"/>
      <c r="J241" s="322"/>
      <c r="K241" s="327" t="s">
        <v>950</v>
      </c>
      <c r="L241" s="333" t="str">
        <f>L235-L237</f>
        <v>#REF!</v>
      </c>
      <c r="M241" s="321"/>
      <c r="N241" s="323"/>
      <c r="O241" s="326"/>
      <c r="P241" s="452"/>
    </row>
    <row r="242" ht="12.75" customHeight="1">
      <c r="A242" s="322"/>
      <c r="B242" s="322"/>
      <c r="C242" s="322"/>
      <c r="D242" s="322"/>
      <c r="E242" s="323"/>
      <c r="F242" s="324"/>
      <c r="G242" s="324"/>
      <c r="H242" s="404"/>
      <c r="I242" s="387"/>
      <c r="J242" s="322"/>
      <c r="K242" s="322"/>
      <c r="L242" s="322"/>
      <c r="M242" s="322"/>
      <c r="N242" s="323"/>
      <c r="O242" s="324"/>
      <c r="P242" s="451"/>
    </row>
    <row r="243" ht="12.75" customHeight="1">
      <c r="A243" s="322"/>
      <c r="B243" s="322"/>
      <c r="C243" s="322"/>
      <c r="D243" s="322"/>
      <c r="E243" s="337"/>
      <c r="F243" s="324"/>
      <c r="G243" s="324"/>
      <c r="H243" s="387"/>
      <c r="I243" s="387"/>
      <c r="J243" s="322"/>
      <c r="K243" s="322"/>
      <c r="L243" s="322"/>
      <c r="M243" s="322"/>
      <c r="N243" s="337"/>
      <c r="O243" s="324"/>
      <c r="P243" s="451"/>
    </row>
    <row r="244" ht="12.75" customHeight="1">
      <c r="A244" s="322"/>
      <c r="B244" s="338" t="s">
        <v>951</v>
      </c>
      <c r="C244" s="339"/>
      <c r="D244" s="339"/>
      <c r="E244" s="339"/>
      <c r="F244" s="324"/>
      <c r="G244" s="324"/>
      <c r="H244" s="410"/>
      <c r="I244" s="387"/>
      <c r="J244" s="322"/>
      <c r="K244" s="338" t="s">
        <v>951</v>
      </c>
      <c r="L244" s="339"/>
      <c r="M244" s="339"/>
      <c r="N244" s="339"/>
      <c r="O244" s="324"/>
      <c r="P244" s="451"/>
    </row>
    <row r="245" ht="12.75" customHeight="1">
      <c r="A245" s="322"/>
      <c r="B245" s="340" t="s">
        <v>953</v>
      </c>
      <c r="C245" s="341" t="s">
        <v>954</v>
      </c>
      <c r="D245" s="341" t="s">
        <v>955</v>
      </c>
      <c r="E245" s="341" t="s">
        <v>35</v>
      </c>
      <c r="F245" s="324"/>
      <c r="G245" s="324"/>
      <c r="H245" s="387"/>
      <c r="I245" s="387"/>
      <c r="J245" s="322"/>
      <c r="K245" s="340" t="s">
        <v>953</v>
      </c>
      <c r="L245" s="341" t="s">
        <v>954</v>
      </c>
      <c r="M245" s="341" t="s">
        <v>955</v>
      </c>
      <c r="N245" s="341" t="s">
        <v>35</v>
      </c>
      <c r="O245" s="324"/>
      <c r="P245" s="451"/>
    </row>
    <row r="246" ht="12.75" customHeight="1">
      <c r="A246" s="322"/>
      <c r="B246" s="60" t="s">
        <v>1108</v>
      </c>
      <c r="C246" s="342">
        <v>0.2</v>
      </c>
      <c r="D246" s="343">
        <f>$M$19</f>
        <v>44550</v>
      </c>
      <c r="E246" s="67">
        <f t="shared" ref="E246:E248" si="23">IF(OR(ISBLANK(C246),ISBLANK(D246)),"",D246*C246)</f>
        <v>8910</v>
      </c>
      <c r="F246" s="324"/>
      <c r="G246" s="324"/>
      <c r="H246" s="387"/>
      <c r="I246" s="387"/>
      <c r="J246" s="322"/>
      <c r="K246" s="60" t="s">
        <v>703</v>
      </c>
      <c r="L246" s="344">
        <v>0.1</v>
      </c>
      <c r="M246" s="343">
        <f>$M$63</f>
        <v>81000</v>
      </c>
      <c r="N246" s="67">
        <f t="shared" ref="N246:N248" si="24">IF(OR(ISBLANK(L246),ISBLANK(M246)),"",M246*L246)</f>
        <v>8100</v>
      </c>
      <c r="O246" s="324"/>
      <c r="P246" s="451"/>
    </row>
    <row r="247" ht="12.75" customHeight="1">
      <c r="A247" s="322"/>
      <c r="B247" s="75" t="s">
        <v>1007</v>
      </c>
      <c r="C247" s="370">
        <v>0.08</v>
      </c>
      <c r="D247" s="371">
        <f>'F&amp;B'!$F$237/12</f>
        <v>787.5</v>
      </c>
      <c r="E247" s="67">
        <f t="shared" si="23"/>
        <v>63</v>
      </c>
      <c r="F247" s="324"/>
      <c r="G247" s="324"/>
      <c r="H247" s="387"/>
      <c r="I247" s="387"/>
      <c r="J247" s="322"/>
      <c r="K247" s="75" t="s">
        <v>1188</v>
      </c>
      <c r="L247" s="405">
        <v>0.03</v>
      </c>
      <c r="M247" s="371">
        <f>'F&amp;B'!$F$174</f>
        <v>27000</v>
      </c>
      <c r="N247" s="67">
        <f t="shared" si="24"/>
        <v>810</v>
      </c>
      <c r="O247" s="324"/>
      <c r="P247" s="451"/>
    </row>
    <row r="248" ht="12.75" customHeight="1">
      <c r="A248" s="322"/>
      <c r="B248" s="87"/>
      <c r="C248" s="412">
        <v>0.0</v>
      </c>
      <c r="D248" s="408"/>
      <c r="E248" s="67" t="str">
        <f t="shared" si="23"/>
        <v/>
      </c>
      <c r="F248" s="324"/>
      <c r="G248" s="324"/>
      <c r="H248" s="387"/>
      <c r="I248" s="387"/>
      <c r="J248" s="322"/>
      <c r="K248" s="87" t="s">
        <v>1080</v>
      </c>
      <c r="L248" s="407">
        <v>0.02</v>
      </c>
      <c r="M248" s="408" t="str">
        <f>$M$34</f>
        <v/>
      </c>
      <c r="N248" s="67" t="str">
        <f t="shared" si="24"/>
        <v/>
      </c>
      <c r="O248" s="324"/>
      <c r="P248" s="451"/>
    </row>
    <row r="249" ht="12.75" customHeight="1">
      <c r="A249" s="322"/>
      <c r="B249" s="338" t="s">
        <v>84</v>
      </c>
      <c r="C249" s="358"/>
      <c r="D249" s="358"/>
      <c r="E249" s="359">
        <f>IF(SUM(E246:E248)=0,"",SUM(E246:E248))</f>
        <v>8973</v>
      </c>
      <c r="F249" s="324"/>
      <c r="G249" s="324"/>
      <c r="H249" s="387"/>
      <c r="I249" s="387"/>
      <c r="J249" s="322"/>
      <c r="K249" s="338" t="s">
        <v>84</v>
      </c>
      <c r="L249" s="358"/>
      <c r="M249" s="358"/>
      <c r="N249" s="359">
        <f>IF(SUM(N246:N248)=0,"",SUM(N246:N248))</f>
        <v>8910</v>
      </c>
      <c r="O249" s="324"/>
      <c r="P249" s="451"/>
    </row>
    <row r="250" ht="12.75" customHeight="1">
      <c r="A250" s="322"/>
      <c r="B250" s="360"/>
      <c r="C250" s="360"/>
      <c r="D250" s="360"/>
      <c r="E250" s="361"/>
      <c r="F250" s="324"/>
      <c r="G250" s="324"/>
      <c r="H250" s="387"/>
      <c r="I250" s="387"/>
      <c r="J250" s="322"/>
      <c r="K250" s="360"/>
      <c r="L250" s="360"/>
      <c r="M250" s="360"/>
      <c r="N250" s="361"/>
      <c r="O250" s="324"/>
      <c r="P250" s="451"/>
    </row>
    <row r="251" ht="12.75" customHeight="1">
      <c r="A251" s="322"/>
      <c r="B251" s="362" t="s">
        <v>972</v>
      </c>
      <c r="C251" s="363"/>
      <c r="D251" s="363"/>
      <c r="E251" s="363"/>
      <c r="F251" s="324"/>
      <c r="G251" s="324"/>
      <c r="H251" s="387"/>
      <c r="I251" s="387"/>
      <c r="J251" s="322"/>
      <c r="K251" s="362" t="s">
        <v>972</v>
      </c>
      <c r="L251" s="363"/>
      <c r="M251" s="363"/>
      <c r="N251" s="363"/>
      <c r="O251" s="324"/>
      <c r="P251" s="451"/>
    </row>
    <row r="252" ht="12.75" customHeight="1">
      <c r="A252" s="322"/>
      <c r="B252" s="365" t="s">
        <v>953</v>
      </c>
      <c r="C252" s="366" t="s">
        <v>3</v>
      </c>
      <c r="D252" s="366" t="s">
        <v>975</v>
      </c>
      <c r="E252" s="367" t="s">
        <v>35</v>
      </c>
      <c r="F252" s="324"/>
      <c r="G252" s="324"/>
      <c r="H252" s="387"/>
      <c r="I252" s="387"/>
      <c r="J252" s="322"/>
      <c r="K252" s="365" t="s">
        <v>953</v>
      </c>
      <c r="L252" s="366" t="s">
        <v>3</v>
      </c>
      <c r="M252" s="366" t="s">
        <v>975</v>
      </c>
      <c r="N252" s="367" t="s">
        <v>35</v>
      </c>
      <c r="O252" s="324"/>
      <c r="P252" s="451"/>
    </row>
    <row r="253" ht="12.75" customHeight="1">
      <c r="A253" s="322"/>
      <c r="B253" s="368"/>
      <c r="C253" s="366"/>
      <c r="D253" s="366"/>
      <c r="E253" s="368"/>
      <c r="F253" s="324"/>
      <c r="G253" s="324"/>
      <c r="H253" s="387"/>
      <c r="I253" s="387"/>
      <c r="J253" s="322"/>
      <c r="K253" s="368"/>
      <c r="L253" s="366"/>
      <c r="M253" s="366"/>
      <c r="N253" s="368"/>
      <c r="O253" s="324"/>
      <c r="P253" s="451"/>
    </row>
    <row r="254" ht="12.75" customHeight="1">
      <c r="A254" s="322"/>
      <c r="B254" s="60" t="s">
        <v>1061</v>
      </c>
      <c r="C254" s="342">
        <v>0.06</v>
      </c>
      <c r="D254" s="343">
        <f>'F&amp;B'!$F$284</f>
        <v>7200</v>
      </c>
      <c r="E254" s="67">
        <f t="shared" ref="E254:E263" si="25">D254*C254</f>
        <v>432</v>
      </c>
      <c r="F254" s="324"/>
      <c r="G254" s="324"/>
      <c r="H254" s="387"/>
      <c r="I254" s="387"/>
      <c r="J254" s="322"/>
      <c r="K254" s="60" t="s">
        <v>1190</v>
      </c>
      <c r="L254" s="342"/>
      <c r="M254" s="343">
        <f>'F&amp;B'!$F$290</f>
        <v>6300</v>
      </c>
      <c r="N254" s="67">
        <f t="shared" ref="N254:N263" si="26">M254*L254</f>
        <v>0</v>
      </c>
      <c r="O254" s="324"/>
      <c r="P254" s="451"/>
    </row>
    <row r="255" ht="12.75" customHeight="1">
      <c r="A255" s="322"/>
      <c r="B255" s="75" t="s">
        <v>214</v>
      </c>
      <c r="C255" s="370">
        <v>0.02</v>
      </c>
      <c r="D255" s="371">
        <f>'F&amp;B'!$F$290</f>
        <v>6300</v>
      </c>
      <c r="E255" s="67">
        <f t="shared" si="25"/>
        <v>126</v>
      </c>
      <c r="F255" s="324"/>
      <c r="G255" s="324"/>
      <c r="H255" s="387"/>
      <c r="I255" s="387"/>
      <c r="J255" s="322"/>
      <c r="K255" s="75" t="s">
        <v>173</v>
      </c>
      <c r="L255" s="370"/>
      <c r="M255" s="371">
        <f>$M$28</f>
        <v>7200</v>
      </c>
      <c r="N255" s="67">
        <f t="shared" si="26"/>
        <v>0</v>
      </c>
      <c r="O255" s="324"/>
      <c r="P255" s="451"/>
    </row>
    <row r="256" ht="12.75" customHeight="1">
      <c r="A256" s="322"/>
      <c r="B256" s="75" t="s">
        <v>273</v>
      </c>
      <c r="C256" s="370">
        <v>0.07</v>
      </c>
      <c r="D256" s="371">
        <f>'F&amp;B'!$F$283*4</f>
        <v>36000</v>
      </c>
      <c r="E256" s="67">
        <f t="shared" si="25"/>
        <v>2520</v>
      </c>
      <c r="F256" s="324"/>
      <c r="G256" s="324"/>
      <c r="H256" s="387"/>
      <c r="I256" s="387"/>
      <c r="J256" s="322"/>
      <c r="K256" s="75" t="s">
        <v>1000</v>
      </c>
      <c r="L256" s="405">
        <v>0.1</v>
      </c>
      <c r="M256" s="371">
        <f>$M$27</f>
        <v>13500</v>
      </c>
      <c r="N256" s="67">
        <f t="shared" si="26"/>
        <v>1350</v>
      </c>
      <c r="O256" s="324"/>
      <c r="P256" s="451"/>
    </row>
    <row r="257" ht="12.75" customHeight="1">
      <c r="A257" s="322"/>
      <c r="B257" s="75" t="s">
        <v>1000</v>
      </c>
      <c r="C257" s="370">
        <v>0.5</v>
      </c>
      <c r="D257" s="371">
        <f>'F&amp;B'!$F$277</f>
        <v>13500</v>
      </c>
      <c r="E257" s="67">
        <f t="shared" si="25"/>
        <v>6750</v>
      </c>
      <c r="F257" s="324"/>
      <c r="G257" s="324"/>
      <c r="H257" s="387"/>
      <c r="I257" s="387"/>
      <c r="J257" s="322"/>
      <c r="K257" s="75" t="s">
        <v>1048</v>
      </c>
      <c r="L257" s="346">
        <v>0.03</v>
      </c>
      <c r="M257" s="371">
        <f>'F&amp;B'!$F$246/3.79</f>
        <v>56160.94987</v>
      </c>
      <c r="N257" s="67">
        <f t="shared" si="26"/>
        <v>1684.828496</v>
      </c>
      <c r="O257" s="324"/>
      <c r="P257" s="451"/>
    </row>
    <row r="258" ht="12.75" customHeight="1">
      <c r="A258" s="322"/>
      <c r="B258" s="75" t="s">
        <v>1070</v>
      </c>
      <c r="C258" s="370">
        <v>0.03</v>
      </c>
      <c r="D258" s="371">
        <f>'F&amp;B'!F44/10</f>
        <v>23400</v>
      </c>
      <c r="E258" s="67">
        <f t="shared" si="25"/>
        <v>702</v>
      </c>
      <c r="F258" s="324"/>
      <c r="G258" s="324"/>
      <c r="H258" s="387"/>
      <c r="I258" s="387"/>
      <c r="J258" s="322"/>
      <c r="K258" s="75" t="s">
        <v>1164</v>
      </c>
      <c r="L258" s="346">
        <v>1.0</v>
      </c>
      <c r="M258" s="371">
        <f>$D$259</f>
        <v>1471.976447</v>
      </c>
      <c r="N258" s="67">
        <f t="shared" si="26"/>
        <v>1471.976447</v>
      </c>
      <c r="O258" s="324"/>
      <c r="P258" s="451"/>
    </row>
    <row r="259" ht="12.75" customHeight="1">
      <c r="A259" s="322"/>
      <c r="B259" s="75" t="s">
        <v>1164</v>
      </c>
      <c r="C259" s="370">
        <v>1.0</v>
      </c>
      <c r="D259" s="371">
        <f>SAUCES!D152</f>
        <v>1471.976447</v>
      </c>
      <c r="E259" s="67">
        <f t="shared" si="25"/>
        <v>1471.976447</v>
      </c>
      <c r="F259" s="324"/>
      <c r="G259" s="324"/>
      <c r="H259" s="387"/>
      <c r="I259" s="387"/>
      <c r="J259" s="322"/>
      <c r="K259" s="75" t="s">
        <v>1046</v>
      </c>
      <c r="L259" s="398">
        <v>0.02</v>
      </c>
      <c r="M259" s="371">
        <f>'F&amp;B'!$F$80</f>
        <v>103500</v>
      </c>
      <c r="N259" s="67">
        <f t="shared" si="26"/>
        <v>2070</v>
      </c>
      <c r="O259" s="324"/>
      <c r="P259" s="451"/>
    </row>
    <row r="260" ht="12.75" customHeight="1">
      <c r="A260" s="322"/>
      <c r="B260" s="75" t="s">
        <v>569</v>
      </c>
      <c r="C260" s="370">
        <v>0.003</v>
      </c>
      <c r="D260" s="371">
        <f>'F&amp;B'!$F$167</f>
        <v>37800</v>
      </c>
      <c r="E260" s="67">
        <f t="shared" si="25"/>
        <v>113.4</v>
      </c>
      <c r="F260" s="324"/>
      <c r="G260" s="324"/>
      <c r="H260" s="387"/>
      <c r="I260" s="387"/>
      <c r="J260" s="322"/>
      <c r="K260" s="75" t="s">
        <v>1044</v>
      </c>
      <c r="L260" s="398">
        <v>0.02</v>
      </c>
      <c r="M260" s="371">
        <f>'F&amp;B'!$F$28/12</f>
        <v>48750</v>
      </c>
      <c r="N260" s="67">
        <f t="shared" si="26"/>
        <v>975</v>
      </c>
      <c r="O260" s="324"/>
      <c r="P260" s="451"/>
    </row>
    <row r="261" ht="12.75" customHeight="1">
      <c r="A261" s="322"/>
      <c r="B261" s="348"/>
      <c r="C261" s="346"/>
      <c r="D261" s="373"/>
      <c r="E261" s="67">
        <f t="shared" si="25"/>
        <v>0</v>
      </c>
      <c r="F261" s="324"/>
      <c r="G261" s="324"/>
      <c r="H261" s="387"/>
      <c r="I261" s="387"/>
      <c r="J261" s="322"/>
      <c r="K261" s="348"/>
      <c r="L261" s="346"/>
      <c r="M261" s="373"/>
      <c r="N261" s="67">
        <f t="shared" si="26"/>
        <v>0</v>
      </c>
      <c r="O261" s="324"/>
      <c r="P261" s="451"/>
    </row>
    <row r="262" ht="12.75" customHeight="1">
      <c r="A262" s="322"/>
      <c r="B262" s="348"/>
      <c r="C262" s="346"/>
      <c r="D262" s="373"/>
      <c r="E262" s="67">
        <f t="shared" si="25"/>
        <v>0</v>
      </c>
      <c r="F262" s="324"/>
      <c r="G262" s="324"/>
      <c r="H262" s="387"/>
      <c r="I262" s="387"/>
      <c r="J262" s="322"/>
      <c r="K262" s="348"/>
      <c r="L262" s="346"/>
      <c r="M262" s="373"/>
      <c r="N262" s="67">
        <f t="shared" si="26"/>
        <v>0</v>
      </c>
      <c r="O262" s="324"/>
      <c r="P262" s="451"/>
    </row>
    <row r="263" ht="12.75" customHeight="1">
      <c r="A263" s="322"/>
      <c r="B263" s="354"/>
      <c r="C263" s="355"/>
      <c r="D263" s="356"/>
      <c r="E263" s="67">
        <f t="shared" si="25"/>
        <v>0</v>
      </c>
      <c r="F263" s="324"/>
      <c r="G263" s="324"/>
      <c r="H263" s="387"/>
      <c r="I263" s="387"/>
      <c r="J263" s="322"/>
      <c r="K263" s="354"/>
      <c r="L263" s="355"/>
      <c r="M263" s="356"/>
      <c r="N263" s="67">
        <f t="shared" si="26"/>
        <v>0</v>
      </c>
      <c r="O263" s="324"/>
      <c r="P263" s="451"/>
    </row>
    <row r="264" ht="12.75" customHeight="1">
      <c r="A264" s="322"/>
      <c r="B264" s="362" t="s">
        <v>84</v>
      </c>
      <c r="C264" s="374"/>
      <c r="D264" s="374"/>
      <c r="E264" s="375">
        <f>IF(SUM(E254:E263)=0,"",SUM(E254:E263))</f>
        <v>12115.37645</v>
      </c>
      <c r="F264" s="324"/>
      <c r="G264" s="324"/>
      <c r="H264" s="387"/>
      <c r="I264" s="387"/>
      <c r="J264" s="322"/>
      <c r="K264" s="362" t="s">
        <v>84</v>
      </c>
      <c r="L264" s="374"/>
      <c r="M264" s="374"/>
      <c r="N264" s="375">
        <f>IF(SUM(N254:N263)=0,"",SUM(N254:N263))</f>
        <v>7551.804943</v>
      </c>
      <c r="O264" s="324"/>
      <c r="P264" s="451"/>
    </row>
    <row r="265" ht="12.75" customHeight="1">
      <c r="A265" s="322"/>
      <c r="B265" s="360"/>
      <c r="C265" s="360"/>
      <c r="D265" s="360"/>
      <c r="E265" s="361"/>
      <c r="F265" s="324"/>
      <c r="G265" s="324"/>
      <c r="H265" s="387"/>
      <c r="I265" s="387"/>
      <c r="J265" s="322"/>
      <c r="K265" s="360"/>
      <c r="L265" s="360"/>
      <c r="M265" s="360"/>
      <c r="N265" s="361"/>
      <c r="O265" s="324"/>
      <c r="P265" s="451"/>
    </row>
    <row r="266" ht="12.75" customHeight="1">
      <c r="A266" s="322"/>
      <c r="B266" s="34" t="s">
        <v>17</v>
      </c>
      <c r="C266" s="35"/>
      <c r="D266" s="35"/>
      <c r="E266" s="35"/>
      <c r="F266" s="324"/>
      <c r="G266" s="324"/>
      <c r="H266" s="387"/>
      <c r="I266" s="387"/>
      <c r="J266" s="322"/>
      <c r="K266" s="34" t="s">
        <v>17</v>
      </c>
      <c r="L266" s="35"/>
      <c r="M266" s="35"/>
      <c r="N266" s="35"/>
      <c r="O266" s="324"/>
      <c r="P266" s="451"/>
    </row>
    <row r="267" ht="12.75" customHeight="1">
      <c r="A267" s="322"/>
      <c r="B267" s="52" t="s">
        <v>42</v>
      </c>
      <c r="C267" s="54"/>
      <c r="D267" s="54"/>
      <c r="E267" s="56" t="s">
        <v>35</v>
      </c>
      <c r="F267" s="324"/>
      <c r="G267" s="324"/>
      <c r="H267" s="387"/>
      <c r="I267" s="387"/>
      <c r="J267" s="322"/>
      <c r="K267" s="52" t="s">
        <v>42</v>
      </c>
      <c r="L267" s="54"/>
      <c r="M267" s="54"/>
      <c r="N267" s="56" t="s">
        <v>35</v>
      </c>
      <c r="O267" s="324"/>
      <c r="P267" s="451"/>
    </row>
    <row r="268" ht="12.75" customHeight="1">
      <c r="A268" s="322"/>
      <c r="B268" s="60" t="s">
        <v>40</v>
      </c>
      <c r="C268" s="343">
        <f>'UTL COST'!$B$3</f>
        <v>369000</v>
      </c>
      <c r="D268" s="379">
        <f>'UTL COST'!$C$3</f>
        <v>0.0075</v>
      </c>
      <c r="E268" s="67">
        <v>0.0</v>
      </c>
      <c r="F268" s="324"/>
      <c r="G268" s="324"/>
      <c r="H268" s="387"/>
      <c r="I268" s="387"/>
      <c r="J268" s="322"/>
      <c r="K268" s="60" t="s">
        <v>40</v>
      </c>
      <c r="L268" s="343">
        <f>'UTL COST'!$B$3</f>
        <v>369000</v>
      </c>
      <c r="M268" s="379">
        <f>'UTL COST'!$C$3</f>
        <v>0.0075</v>
      </c>
      <c r="N268" s="67">
        <v>0.0</v>
      </c>
      <c r="O268" s="324"/>
      <c r="P268" s="451"/>
    </row>
    <row r="269" ht="12.75" customHeight="1">
      <c r="A269" s="322"/>
      <c r="B269" s="75" t="s">
        <v>51</v>
      </c>
      <c r="C269" s="371" t="str">
        <f>'UTL COST'!$B$4</f>
        <v>#REF!</v>
      </c>
      <c r="D269" s="382">
        <f>'UTL COST'!$C$4</f>
        <v>7000</v>
      </c>
      <c r="E269" s="76" t="str">
        <f>'UTL COST'!$D$4</f>
        <v>#REF!</v>
      </c>
      <c r="F269" s="324"/>
      <c r="G269" s="324"/>
      <c r="H269" s="387"/>
      <c r="I269" s="387"/>
      <c r="J269" s="322"/>
      <c r="K269" s="75" t="s">
        <v>51</v>
      </c>
      <c r="L269" s="371" t="str">
        <f>'UTL COST'!$B$4</f>
        <v>#REF!</v>
      </c>
      <c r="M269" s="382">
        <f>'UTL COST'!$C$4</f>
        <v>7000</v>
      </c>
      <c r="N269" s="76" t="str">
        <f>'UTL COST'!$D$4</f>
        <v>#REF!</v>
      </c>
      <c r="O269" s="324"/>
      <c r="P269" s="451"/>
    </row>
    <row r="270" ht="12.75" customHeight="1">
      <c r="A270" s="322"/>
      <c r="B270" s="75" t="s">
        <v>59</v>
      </c>
      <c r="C270" s="371" t="str">
        <f>'UTL COST'!$B$5</f>
        <v>#REF!</v>
      </c>
      <c r="D270" s="382">
        <f>'UTL COST'!$C$5</f>
        <v>45000</v>
      </c>
      <c r="E270" s="76" t="str">
        <f>'UTL COST'!$D$5</f>
        <v>#REF!</v>
      </c>
      <c r="F270" s="324"/>
      <c r="G270" s="324"/>
      <c r="H270" s="387"/>
      <c r="I270" s="387"/>
      <c r="J270" s="322"/>
      <c r="K270" s="75" t="s">
        <v>59</v>
      </c>
      <c r="L270" s="371" t="str">
        <f>'UTL COST'!$B$5</f>
        <v>#REF!</v>
      </c>
      <c r="M270" s="382">
        <f>'UTL COST'!$C$5</f>
        <v>45000</v>
      </c>
      <c r="N270" s="76" t="str">
        <f>'UTL COST'!$D$5</f>
        <v>#REF!</v>
      </c>
      <c r="O270" s="324"/>
      <c r="P270" s="451"/>
    </row>
    <row r="271" ht="12.75" customHeight="1">
      <c r="A271" s="322"/>
      <c r="B271" s="87" t="s">
        <v>78</v>
      </c>
      <c r="C271" s="371" t="str">
        <f>'UTL COST'!$B$6</f>
        <v>#REF!</v>
      </c>
      <c r="D271" s="383">
        <f>'UTL COST'!$C$6</f>
        <v>525</v>
      </c>
      <c r="E271" s="89">
        <v>0.1</v>
      </c>
      <c r="F271" s="324"/>
      <c r="G271" s="324"/>
      <c r="H271" s="387"/>
      <c r="I271" s="387"/>
      <c r="J271" s="322"/>
      <c r="K271" s="87" t="s">
        <v>78</v>
      </c>
      <c r="L271" s="371" t="str">
        <f>'UTL COST'!$B$6</f>
        <v>#REF!</v>
      </c>
      <c r="M271" s="383">
        <f>'UTL COST'!$C$6</f>
        <v>525</v>
      </c>
      <c r="N271" s="89">
        <v>0.1</v>
      </c>
      <c r="O271" s="324"/>
      <c r="P271" s="451"/>
    </row>
    <row r="272" ht="12.75" customHeight="1">
      <c r="A272" s="322"/>
      <c r="B272" s="34" t="s">
        <v>84</v>
      </c>
      <c r="C272" s="102"/>
      <c r="D272" s="102"/>
      <c r="E272" s="104" t="str">
        <f>IF(SUM(E268:E271)=0,"",SUM(E268:E271))</f>
        <v>#REF!</v>
      </c>
      <c r="F272" s="324"/>
      <c r="G272" s="324"/>
      <c r="H272" s="387"/>
      <c r="I272" s="387"/>
      <c r="J272" s="322"/>
      <c r="K272" s="34" t="s">
        <v>84</v>
      </c>
      <c r="L272" s="102"/>
      <c r="M272" s="102"/>
      <c r="N272" s="104" t="str">
        <f>IF(SUM(N268:N271)=0,"",SUM(N268:N271))</f>
        <v>#REF!</v>
      </c>
      <c r="O272" s="324"/>
      <c r="P272" s="451"/>
    </row>
    <row r="273" ht="12.75" customHeight="1">
      <c r="A273" s="322"/>
      <c r="B273" s="360"/>
      <c r="C273" s="360"/>
      <c r="D273" s="360"/>
      <c r="E273" s="361"/>
      <c r="F273" s="324"/>
      <c r="G273" s="324"/>
      <c r="H273" s="387"/>
      <c r="I273" s="387"/>
      <c r="J273" s="322"/>
      <c r="K273" s="360"/>
      <c r="L273" s="360"/>
      <c r="M273" s="360"/>
      <c r="N273" s="361"/>
      <c r="O273" s="324"/>
      <c r="P273" s="451"/>
    </row>
    <row r="274" ht="12.75" customHeight="1">
      <c r="A274" s="387"/>
      <c r="B274" s="387"/>
      <c r="C274" s="387"/>
      <c r="D274" s="387"/>
      <c r="E274" s="418"/>
      <c r="F274" s="387"/>
      <c r="G274" s="387"/>
      <c r="H274" s="387"/>
      <c r="I274" s="387"/>
      <c r="J274" s="387"/>
      <c r="K274" s="387"/>
      <c r="L274" s="387"/>
      <c r="M274" s="387"/>
      <c r="N274" s="387"/>
      <c r="O274" s="387"/>
      <c r="P274" s="387"/>
    </row>
    <row r="275" ht="12.75" customHeight="1">
      <c r="A275" s="387"/>
      <c r="B275" s="387"/>
      <c r="C275" s="387"/>
      <c r="D275" s="387"/>
      <c r="E275" s="418"/>
      <c r="F275" s="387"/>
      <c r="G275" s="387"/>
      <c r="H275" s="387"/>
      <c r="I275" s="387"/>
      <c r="J275" s="387"/>
      <c r="K275" s="387"/>
      <c r="L275" s="387"/>
      <c r="M275" s="387"/>
      <c r="N275" s="387"/>
      <c r="O275" s="387"/>
      <c r="P275" s="387"/>
    </row>
    <row r="276" ht="12.75" customHeight="1">
      <c r="A276" s="322"/>
      <c r="B276" s="322"/>
      <c r="C276" s="322"/>
      <c r="D276" s="322"/>
      <c r="E276" s="323"/>
      <c r="F276" s="324"/>
      <c r="G276" s="324"/>
      <c r="H276" s="387"/>
      <c r="I276" s="387"/>
      <c r="J276" s="322"/>
      <c r="K276" s="322"/>
      <c r="L276" s="322"/>
      <c r="M276" s="322"/>
      <c r="N276" s="323"/>
      <c r="O276" s="324"/>
      <c r="P276" s="451"/>
    </row>
    <row r="277" ht="12.75" customHeight="1">
      <c r="A277" s="322"/>
      <c r="B277" s="325"/>
      <c r="C277" s="322"/>
      <c r="D277" s="322"/>
      <c r="E277" s="323"/>
      <c r="F277" s="326"/>
      <c r="G277" s="326"/>
      <c r="H277" s="404"/>
      <c r="I277" s="387"/>
      <c r="J277" s="322"/>
      <c r="K277" s="325"/>
      <c r="L277" s="322"/>
      <c r="M277" s="322"/>
      <c r="N277" s="323"/>
      <c r="O277" s="326"/>
      <c r="P277" s="452"/>
    </row>
    <row r="278" ht="12.75" customHeight="1">
      <c r="A278" s="322"/>
      <c r="B278" s="327" t="s">
        <v>931</v>
      </c>
      <c r="C278" s="330" t="s">
        <v>1196</v>
      </c>
      <c r="D278" s="329"/>
      <c r="E278" s="323"/>
      <c r="F278" s="326"/>
      <c r="G278" s="326"/>
      <c r="H278" s="404"/>
      <c r="I278" s="387"/>
      <c r="J278" s="322"/>
      <c r="K278" s="327" t="s">
        <v>931</v>
      </c>
      <c r="L278" s="454" t="s">
        <v>254</v>
      </c>
      <c r="M278" s="329"/>
      <c r="N278" s="323"/>
      <c r="O278" s="326"/>
      <c r="P278" s="452"/>
    </row>
    <row r="279" ht="12.75" customHeight="1">
      <c r="A279" s="322"/>
      <c r="B279" s="325"/>
      <c r="C279" s="322"/>
      <c r="D279" s="322"/>
      <c r="E279" s="323"/>
      <c r="F279" s="326"/>
      <c r="G279" s="326"/>
      <c r="H279" s="404"/>
      <c r="I279" s="387"/>
      <c r="J279" s="322"/>
      <c r="K279" s="325"/>
      <c r="L279" s="322"/>
      <c r="M279" s="322"/>
      <c r="N279" s="323"/>
      <c r="O279" s="326"/>
      <c r="P279" s="452"/>
    </row>
    <row r="280" ht="12.75" customHeight="1">
      <c r="A280" s="322"/>
      <c r="B280" s="327" t="s">
        <v>935</v>
      </c>
      <c r="C280" s="331">
        <v>230000.0</v>
      </c>
      <c r="D280" s="329"/>
      <c r="E280" s="323"/>
      <c r="F280" s="326"/>
      <c r="G280" s="326"/>
      <c r="H280" s="404"/>
      <c r="I280" s="387"/>
      <c r="J280" s="322"/>
      <c r="K280" s="327" t="s">
        <v>935</v>
      </c>
      <c r="L280" s="331">
        <v>180000.0</v>
      </c>
      <c r="M280" s="329"/>
      <c r="N280" s="323"/>
      <c r="O280" s="326"/>
      <c r="P280" s="452"/>
    </row>
    <row r="281" ht="12.75" customHeight="1">
      <c r="A281" s="322"/>
      <c r="B281" s="327"/>
      <c r="C281" s="332"/>
      <c r="D281" s="332"/>
      <c r="E281" s="323"/>
      <c r="F281" s="326"/>
      <c r="G281" s="326"/>
      <c r="H281" s="404"/>
      <c r="I281" s="387"/>
      <c r="J281" s="322"/>
      <c r="K281" s="327"/>
      <c r="L281" s="332"/>
      <c r="M281" s="332"/>
      <c r="N281" s="323"/>
      <c r="O281" s="326"/>
      <c r="P281" s="452"/>
    </row>
    <row r="282" ht="12.75" customHeight="1">
      <c r="A282" s="322"/>
      <c r="B282" s="327" t="s">
        <v>939</v>
      </c>
      <c r="C282" s="333" t="str">
        <f>IF(SUM(E294,E309,E317)=0,"",SUM(E294,E309,E317))</f>
        <v>#REF!</v>
      </c>
      <c r="D282" s="321"/>
      <c r="E282" s="323"/>
      <c r="F282" s="326"/>
      <c r="G282" s="326"/>
      <c r="H282" s="404"/>
      <c r="I282" s="387"/>
      <c r="J282" s="322"/>
      <c r="K282" s="327" t="s">
        <v>939</v>
      </c>
      <c r="L282" s="333" t="str">
        <f>IF(SUM(N294,N309,N317)=0,"",SUM(N294,N309,N317))</f>
        <v>#REF!</v>
      </c>
      <c r="M282" s="321"/>
      <c r="N282" s="323"/>
      <c r="O282" s="326"/>
      <c r="P282" s="452"/>
    </row>
    <row r="283" ht="12.75" customHeight="1">
      <c r="A283" s="322"/>
      <c r="B283" s="327"/>
      <c r="C283" s="334"/>
      <c r="D283" s="334"/>
      <c r="E283" s="323"/>
      <c r="F283" s="326"/>
      <c r="G283" s="326"/>
      <c r="H283" s="404"/>
      <c r="I283" s="387"/>
      <c r="J283" s="322"/>
      <c r="K283" s="327"/>
      <c r="L283" s="334"/>
      <c r="M283" s="334"/>
      <c r="N283" s="323"/>
      <c r="O283" s="326"/>
      <c r="P283" s="452"/>
    </row>
    <row r="284" ht="12.75" customHeight="1">
      <c r="A284" s="322"/>
      <c r="B284" s="327" t="s">
        <v>946</v>
      </c>
      <c r="C284" s="335" t="str">
        <f>IF(C282="","",IF(ISBLANK(C280),"",C282/C280))</f>
        <v>#REF!</v>
      </c>
      <c r="D284" s="321"/>
      <c r="E284" s="323"/>
      <c r="F284" s="326"/>
      <c r="G284" s="326"/>
      <c r="H284" s="404"/>
      <c r="I284" s="387"/>
      <c r="J284" s="322"/>
      <c r="K284" s="327" t="s">
        <v>946</v>
      </c>
      <c r="L284" s="335" t="str">
        <f>IF(L282="","",IF(ISBLANK(L280),"",L282/L280))</f>
        <v>#REF!</v>
      </c>
      <c r="M284" s="321"/>
      <c r="N284" s="323"/>
      <c r="O284" s="326"/>
      <c r="P284" s="452"/>
    </row>
    <row r="285" ht="12.75" customHeight="1">
      <c r="A285" s="322"/>
      <c r="B285" s="327"/>
      <c r="C285" s="334"/>
      <c r="D285" s="334"/>
      <c r="E285" s="323"/>
      <c r="F285" s="326"/>
      <c r="G285" s="326"/>
      <c r="H285" s="404"/>
      <c r="I285" s="387"/>
      <c r="J285" s="322"/>
      <c r="K285" s="327"/>
      <c r="L285" s="334"/>
      <c r="M285" s="334"/>
      <c r="N285" s="323"/>
      <c r="O285" s="326"/>
      <c r="P285" s="452"/>
    </row>
    <row r="286" ht="12.75" customHeight="1">
      <c r="A286" s="322"/>
      <c r="B286" s="327" t="s">
        <v>950</v>
      </c>
      <c r="C286" s="333" t="str">
        <f>C280-C282</f>
        <v>#REF!</v>
      </c>
      <c r="D286" s="321"/>
      <c r="E286" s="323"/>
      <c r="F286" s="326"/>
      <c r="G286" s="326"/>
      <c r="H286" s="404"/>
      <c r="I286" s="387"/>
      <c r="J286" s="322"/>
      <c r="K286" s="327" t="s">
        <v>950</v>
      </c>
      <c r="L286" s="333" t="str">
        <f>L280-L282</f>
        <v>#REF!</v>
      </c>
      <c r="M286" s="321"/>
      <c r="N286" s="323"/>
      <c r="O286" s="326"/>
      <c r="P286" s="452"/>
    </row>
    <row r="287" ht="12.75" customHeight="1">
      <c r="A287" s="322"/>
      <c r="B287" s="322"/>
      <c r="C287" s="322"/>
      <c r="D287" s="322"/>
      <c r="E287" s="323"/>
      <c r="F287" s="324"/>
      <c r="G287" s="324"/>
      <c r="H287" s="404"/>
      <c r="I287" s="387"/>
      <c r="J287" s="322"/>
      <c r="K287" s="322"/>
      <c r="L287" s="322"/>
      <c r="M287" s="322"/>
      <c r="N287" s="323"/>
      <c r="O287" s="324"/>
      <c r="P287" s="451"/>
    </row>
    <row r="288" ht="12.75" customHeight="1">
      <c r="A288" s="322"/>
      <c r="B288" s="322"/>
      <c r="C288" s="322"/>
      <c r="D288" s="322"/>
      <c r="E288" s="337"/>
      <c r="F288" s="324"/>
      <c r="G288" s="324"/>
      <c r="H288" s="387"/>
      <c r="I288" s="387"/>
      <c r="J288" s="322"/>
      <c r="K288" s="322"/>
      <c r="L288" s="322"/>
      <c r="M288" s="322"/>
      <c r="N288" s="337"/>
      <c r="O288" s="324"/>
      <c r="P288" s="451"/>
    </row>
    <row r="289" ht="12.75" customHeight="1">
      <c r="A289" s="322"/>
      <c r="B289" s="338" t="s">
        <v>951</v>
      </c>
      <c r="C289" s="339"/>
      <c r="D289" s="339"/>
      <c r="E289" s="339"/>
      <c r="F289" s="324"/>
      <c r="G289" s="324"/>
      <c r="H289" s="410"/>
      <c r="I289" s="387"/>
      <c r="J289" s="322"/>
      <c r="K289" s="338" t="s">
        <v>951</v>
      </c>
      <c r="L289" s="339"/>
      <c r="M289" s="339"/>
      <c r="N289" s="339"/>
      <c r="O289" s="324"/>
      <c r="P289" s="451"/>
    </row>
    <row r="290" ht="12.75" customHeight="1">
      <c r="A290" s="322"/>
      <c r="B290" s="340" t="s">
        <v>953</v>
      </c>
      <c r="C290" s="341" t="s">
        <v>954</v>
      </c>
      <c r="D290" s="341" t="s">
        <v>955</v>
      </c>
      <c r="E290" s="341" t="s">
        <v>35</v>
      </c>
      <c r="F290" s="324"/>
      <c r="G290" s="324"/>
      <c r="H290" s="387"/>
      <c r="I290" s="387"/>
      <c r="J290" s="322"/>
      <c r="K290" s="340" t="s">
        <v>953</v>
      </c>
      <c r="L290" s="341" t="s">
        <v>954</v>
      </c>
      <c r="M290" s="341" t="s">
        <v>955</v>
      </c>
      <c r="N290" s="341" t="s">
        <v>35</v>
      </c>
      <c r="O290" s="324"/>
      <c r="P290" s="451"/>
    </row>
    <row r="291" ht="12.75" customHeight="1">
      <c r="A291" s="322"/>
      <c r="B291" s="60" t="s">
        <v>703</v>
      </c>
      <c r="C291" s="342">
        <v>0.16</v>
      </c>
      <c r="D291" s="343" t="str">
        <f>M199</f>
        <v/>
      </c>
      <c r="E291" s="67" t="str">
        <f t="shared" ref="E291:E293" si="27">IF(OR(ISBLANK(C291),ISBLANK(D291)),"",D291*C291)</f>
        <v/>
      </c>
      <c r="F291" s="324"/>
      <c r="G291" s="324"/>
      <c r="H291" s="387"/>
      <c r="I291" s="387"/>
      <c r="J291" s="322"/>
      <c r="K291" s="60" t="s">
        <v>1160</v>
      </c>
      <c r="L291" s="344">
        <v>0.15</v>
      </c>
      <c r="M291" s="343">
        <f>'F&amp;B'!$F$270</f>
        <v>15840</v>
      </c>
      <c r="N291" s="67">
        <f t="shared" ref="N291:N293" si="28">IF(OR(ISBLANK(L291),ISBLANK(M291)),"",M291*L291)</f>
        <v>2376</v>
      </c>
      <c r="O291" s="324"/>
      <c r="P291" s="451"/>
    </row>
    <row r="292" ht="12.75" customHeight="1">
      <c r="A292" s="322"/>
      <c r="B292" s="75" t="s">
        <v>850</v>
      </c>
      <c r="C292" s="370">
        <v>0.0</v>
      </c>
      <c r="D292" s="371">
        <f>SANDWICHES!$D$27</f>
        <v>63000</v>
      </c>
      <c r="E292" s="67">
        <f t="shared" si="27"/>
        <v>0</v>
      </c>
      <c r="F292" s="324"/>
      <c r="G292" s="324"/>
      <c r="H292" s="387"/>
      <c r="I292" s="387"/>
      <c r="J292" s="322"/>
      <c r="K292" s="75" t="s">
        <v>765</v>
      </c>
      <c r="L292" s="370">
        <v>0.12</v>
      </c>
      <c r="M292" s="371">
        <f>'F&amp;B'!$F$288</f>
        <v>54000</v>
      </c>
      <c r="N292" s="67">
        <f t="shared" si="28"/>
        <v>6480</v>
      </c>
      <c r="O292" s="324"/>
      <c r="P292" s="451"/>
    </row>
    <row r="293" ht="12.75" customHeight="1">
      <c r="A293" s="322"/>
      <c r="B293" s="87" t="s">
        <v>1046</v>
      </c>
      <c r="C293" s="412">
        <v>0.0</v>
      </c>
      <c r="D293" s="408">
        <f>SANDWICHES!$D$72</f>
        <v>103500</v>
      </c>
      <c r="E293" s="67">
        <f t="shared" si="27"/>
        <v>0</v>
      </c>
      <c r="F293" s="324"/>
      <c r="G293" s="324"/>
      <c r="H293" s="387"/>
      <c r="I293" s="387"/>
      <c r="J293" s="322"/>
      <c r="K293" s="406" t="s">
        <v>1061</v>
      </c>
      <c r="L293" s="407">
        <v>0.025</v>
      </c>
      <c r="M293" s="408"/>
      <c r="N293" s="67" t="str">
        <f t="shared" si="28"/>
        <v/>
      </c>
      <c r="O293" s="324"/>
      <c r="P293" s="451"/>
    </row>
    <row r="294" ht="12.75" customHeight="1">
      <c r="A294" s="322"/>
      <c r="B294" s="338" t="s">
        <v>84</v>
      </c>
      <c r="C294" s="358"/>
      <c r="D294" s="358"/>
      <c r="E294" s="359" t="str">
        <f>IF(SUM(E291:E293)=0,"",SUM(E291:E293))</f>
        <v/>
      </c>
      <c r="F294" s="324"/>
      <c r="G294" s="324"/>
      <c r="H294" s="387"/>
      <c r="I294" s="387"/>
      <c r="J294" s="322"/>
      <c r="K294" s="338" t="s">
        <v>84</v>
      </c>
      <c r="L294" s="358"/>
      <c r="M294" s="358"/>
      <c r="N294" s="359">
        <f>IF(SUM(N291:N293)=0,"",SUM(N291:N293))</f>
        <v>8856</v>
      </c>
      <c r="O294" s="324"/>
      <c r="P294" s="451"/>
    </row>
    <row r="295" ht="12.75" customHeight="1">
      <c r="A295" s="322"/>
      <c r="B295" s="360"/>
      <c r="C295" s="360"/>
      <c r="D295" s="360"/>
      <c r="E295" s="361"/>
      <c r="F295" s="324"/>
      <c r="G295" s="324"/>
      <c r="H295" s="387"/>
      <c r="I295" s="387"/>
      <c r="J295" s="322"/>
      <c r="K295" s="360"/>
      <c r="L295" s="360"/>
      <c r="M295" s="360"/>
      <c r="N295" s="361"/>
      <c r="O295" s="324"/>
      <c r="P295" s="451"/>
    </row>
    <row r="296" ht="12.75" customHeight="1">
      <c r="A296" s="322"/>
      <c r="B296" s="362" t="s">
        <v>972</v>
      </c>
      <c r="C296" s="363"/>
      <c r="D296" s="363"/>
      <c r="E296" s="363"/>
      <c r="F296" s="324"/>
      <c r="G296" s="324"/>
      <c r="H296" s="387"/>
      <c r="I296" s="387"/>
      <c r="J296" s="322"/>
      <c r="K296" s="362" t="s">
        <v>972</v>
      </c>
      <c r="L296" s="363"/>
      <c r="M296" s="363"/>
      <c r="N296" s="363"/>
      <c r="O296" s="324"/>
      <c r="P296" s="451"/>
    </row>
    <row r="297" ht="12.75" customHeight="1">
      <c r="A297" s="322"/>
      <c r="B297" s="365" t="s">
        <v>953</v>
      </c>
      <c r="C297" s="366" t="s">
        <v>3</v>
      </c>
      <c r="D297" s="366" t="s">
        <v>975</v>
      </c>
      <c r="E297" s="367" t="s">
        <v>35</v>
      </c>
      <c r="F297" s="324"/>
      <c r="G297" s="324"/>
      <c r="H297" s="387"/>
      <c r="I297" s="387"/>
      <c r="J297" s="322"/>
      <c r="K297" s="365" t="s">
        <v>953</v>
      </c>
      <c r="L297" s="366" t="s">
        <v>3</v>
      </c>
      <c r="M297" s="366" t="s">
        <v>975</v>
      </c>
      <c r="N297" s="367" t="s">
        <v>35</v>
      </c>
      <c r="O297" s="324"/>
      <c r="P297" s="451"/>
    </row>
    <row r="298" ht="12.75" customHeight="1">
      <c r="A298" s="322"/>
      <c r="B298" s="368"/>
      <c r="C298" s="366"/>
      <c r="D298" s="366"/>
      <c r="E298" s="368"/>
      <c r="F298" s="324"/>
      <c r="G298" s="324"/>
      <c r="H298" s="387"/>
      <c r="I298" s="387"/>
      <c r="J298" s="322"/>
      <c r="K298" s="368"/>
      <c r="L298" s="366"/>
      <c r="M298" s="366"/>
      <c r="N298" s="368"/>
      <c r="O298" s="324"/>
      <c r="P298" s="451"/>
    </row>
    <row r="299" ht="12.75" customHeight="1">
      <c r="A299" s="322"/>
      <c r="B299" s="60" t="s">
        <v>1000</v>
      </c>
      <c r="C299" s="342">
        <v>1.0</v>
      </c>
      <c r="D299" s="343" t="str">
        <f>'F&amp;B'!F426</f>
        <v/>
      </c>
      <c r="E299" s="67">
        <f>D299*C299</f>
        <v>0</v>
      </c>
      <c r="F299" s="324"/>
      <c r="G299" s="324"/>
      <c r="H299" s="387"/>
      <c r="I299" s="387"/>
      <c r="J299" s="322"/>
      <c r="K299" s="60" t="s">
        <v>1000</v>
      </c>
      <c r="L299" s="344">
        <v>0.1</v>
      </c>
      <c r="M299" s="343">
        <f>'F&amp;B'!$F$277</f>
        <v>13500</v>
      </c>
      <c r="N299" s="67">
        <f>M299*L299</f>
        <v>1350</v>
      </c>
      <c r="O299" s="324"/>
      <c r="P299" s="451"/>
    </row>
    <row r="300" ht="12.75" customHeight="1">
      <c r="A300" s="322"/>
      <c r="B300" s="75" t="s">
        <v>587</v>
      </c>
      <c r="C300" s="370">
        <v>0.065</v>
      </c>
      <c r="D300" s="371"/>
      <c r="E300" s="67">
        <v>2000.0</v>
      </c>
      <c r="F300" s="324"/>
      <c r="G300" s="324"/>
      <c r="H300" s="387"/>
      <c r="I300" s="387"/>
      <c r="J300" s="322"/>
      <c r="K300" s="75" t="s">
        <v>1162</v>
      </c>
      <c r="L300" s="405">
        <v>0.1</v>
      </c>
      <c r="M300" s="371">
        <f>'F&amp;B'!$F$289</f>
        <v>5400</v>
      </c>
      <c r="N300" s="67">
        <v>1500.0</v>
      </c>
      <c r="O300" s="324"/>
      <c r="P300" s="451"/>
    </row>
    <row r="301" ht="12.75" customHeight="1">
      <c r="A301" s="322"/>
      <c r="B301" s="75" t="s">
        <v>1080</v>
      </c>
      <c r="C301" s="370">
        <v>0.04</v>
      </c>
      <c r="D301" s="371">
        <f>'F&amp;B'!$F$60*3</f>
        <v>29700</v>
      </c>
      <c r="E301" s="67">
        <f t="shared" ref="E301:E308" si="29">D301*C301</f>
        <v>1188</v>
      </c>
      <c r="F301" s="324"/>
      <c r="G301" s="324"/>
      <c r="H301" s="387"/>
      <c r="I301" s="387"/>
      <c r="J301" s="322"/>
      <c r="K301" s="75" t="s">
        <v>1080</v>
      </c>
      <c r="L301" s="405">
        <v>0.05</v>
      </c>
      <c r="M301" s="371">
        <f>'F&amp;B'!$F$60*4</f>
        <v>39600</v>
      </c>
      <c r="N301" s="67">
        <f>M301*L301</f>
        <v>1980</v>
      </c>
      <c r="O301" s="324"/>
      <c r="P301" s="451"/>
    </row>
    <row r="302" ht="12.75" customHeight="1">
      <c r="A302" s="322"/>
      <c r="B302" s="75" t="s">
        <v>1113</v>
      </c>
      <c r="C302" s="346">
        <v>0.02</v>
      </c>
      <c r="D302" s="371">
        <f>'F&amp;B'!$F$146</f>
        <v>65250</v>
      </c>
      <c r="E302" s="67">
        <f t="shared" si="29"/>
        <v>1305</v>
      </c>
      <c r="F302" s="324"/>
      <c r="G302" s="324"/>
      <c r="H302" s="387"/>
      <c r="I302" s="387"/>
      <c r="J302" s="322"/>
      <c r="K302" s="75"/>
      <c r="L302" s="346"/>
      <c r="M302" s="371"/>
      <c r="N302" s="67"/>
      <c r="O302" s="324"/>
      <c r="P302" s="451"/>
    </row>
    <row r="303" ht="12.75" customHeight="1">
      <c r="A303" s="322"/>
      <c r="B303" s="75" t="s">
        <v>1163</v>
      </c>
      <c r="C303" s="346">
        <v>0.05</v>
      </c>
      <c r="D303" s="371" t="str">
        <f>STARTERS!D244</f>
        <v/>
      </c>
      <c r="E303" s="67">
        <f t="shared" si="29"/>
        <v>0</v>
      </c>
      <c r="F303" s="324"/>
      <c r="G303" s="324"/>
      <c r="H303" s="387"/>
      <c r="I303" s="387"/>
      <c r="J303" s="322"/>
      <c r="K303" s="75"/>
      <c r="L303" s="346"/>
      <c r="M303" s="371"/>
      <c r="N303" s="67"/>
      <c r="O303" s="324"/>
      <c r="P303" s="451"/>
    </row>
    <row r="304" ht="12.75" customHeight="1">
      <c r="A304" s="322"/>
      <c r="B304" s="75" t="s">
        <v>1164</v>
      </c>
      <c r="C304" s="346">
        <v>1.0</v>
      </c>
      <c r="D304" s="371">
        <f>SAUCES!$D$152</f>
        <v>1471.976447</v>
      </c>
      <c r="E304" s="67">
        <f t="shared" si="29"/>
        <v>1471.976447</v>
      </c>
      <c r="F304" s="324"/>
      <c r="G304" s="324"/>
      <c r="H304" s="387"/>
      <c r="I304" s="387"/>
      <c r="J304" s="322"/>
      <c r="K304" s="75" t="s">
        <v>37</v>
      </c>
      <c r="L304" s="346">
        <v>1.0</v>
      </c>
      <c r="M304" s="371">
        <f>SAUCES!$L$16</f>
        <v>629.9629934</v>
      </c>
      <c r="N304" s="67">
        <f t="shared" ref="N304:N308" si="30">M304*L304</f>
        <v>629.9629934</v>
      </c>
      <c r="O304" s="324"/>
      <c r="P304" s="451"/>
    </row>
    <row r="305" ht="12.75" customHeight="1">
      <c r="A305" s="322"/>
      <c r="B305" s="75" t="s">
        <v>1165</v>
      </c>
      <c r="C305" s="346">
        <v>0.045</v>
      </c>
      <c r="D305" s="347">
        <f>'F&amp;B'!$F$293</f>
        <v>6750</v>
      </c>
      <c r="E305" s="67">
        <f t="shared" si="29"/>
        <v>303.75</v>
      </c>
      <c r="F305" s="324"/>
      <c r="G305" s="324"/>
      <c r="H305" s="387"/>
      <c r="I305" s="387"/>
      <c r="J305" s="322"/>
      <c r="K305" s="75" t="s">
        <v>1165</v>
      </c>
      <c r="L305" s="398">
        <v>0.05</v>
      </c>
      <c r="M305" s="371">
        <f>'F&amp;B'!$F$293</f>
        <v>6750</v>
      </c>
      <c r="N305" s="67">
        <f t="shared" si="30"/>
        <v>337.5</v>
      </c>
      <c r="O305" s="324"/>
      <c r="P305" s="451"/>
    </row>
    <row r="306" ht="12.75" customHeight="1">
      <c r="A306" s="322"/>
      <c r="B306" s="348"/>
      <c r="C306" s="346"/>
      <c r="D306" s="373"/>
      <c r="E306" s="67">
        <f t="shared" si="29"/>
        <v>0</v>
      </c>
      <c r="F306" s="324"/>
      <c r="G306" s="324"/>
      <c r="H306" s="387"/>
      <c r="I306" s="387"/>
      <c r="J306" s="322"/>
      <c r="K306" s="75" t="s">
        <v>1164</v>
      </c>
      <c r="L306" s="346">
        <v>1.0</v>
      </c>
      <c r="M306" s="371">
        <f>SAUCES!$D$152</f>
        <v>1471.976447</v>
      </c>
      <c r="N306" s="67">
        <f t="shared" si="30"/>
        <v>1471.976447</v>
      </c>
      <c r="O306" s="324"/>
      <c r="P306" s="451"/>
    </row>
    <row r="307" ht="12.75" customHeight="1">
      <c r="A307" s="322"/>
      <c r="B307" s="348"/>
      <c r="C307" s="346"/>
      <c r="D307" s="373"/>
      <c r="E307" s="67">
        <f t="shared" si="29"/>
        <v>0</v>
      </c>
      <c r="F307" s="324"/>
      <c r="G307" s="324"/>
      <c r="H307" s="387"/>
      <c r="I307" s="387"/>
      <c r="J307" s="322"/>
      <c r="K307" s="348"/>
      <c r="L307" s="346"/>
      <c r="M307" s="373"/>
      <c r="N307" s="67">
        <f t="shared" si="30"/>
        <v>0</v>
      </c>
      <c r="O307" s="324"/>
      <c r="P307" s="451"/>
    </row>
    <row r="308" ht="12.75" customHeight="1">
      <c r="A308" s="322"/>
      <c r="B308" s="354"/>
      <c r="C308" s="355"/>
      <c r="D308" s="356"/>
      <c r="E308" s="67">
        <f t="shared" si="29"/>
        <v>0</v>
      </c>
      <c r="F308" s="324"/>
      <c r="G308" s="324"/>
      <c r="H308" s="387"/>
      <c r="I308" s="387"/>
      <c r="J308" s="322"/>
      <c r="K308" s="354"/>
      <c r="L308" s="355"/>
      <c r="M308" s="356"/>
      <c r="N308" s="67">
        <f t="shared" si="30"/>
        <v>0</v>
      </c>
      <c r="O308" s="324"/>
      <c r="P308" s="451"/>
    </row>
    <row r="309" ht="12.75" customHeight="1">
      <c r="A309" s="322"/>
      <c r="B309" s="362" t="s">
        <v>84</v>
      </c>
      <c r="C309" s="374"/>
      <c r="D309" s="374"/>
      <c r="E309" s="375">
        <f>IF(SUM(E299:E308)=0,"",SUM(E299:E308))</f>
        <v>6268.726447</v>
      </c>
      <c r="F309" s="324"/>
      <c r="G309" s="324"/>
      <c r="H309" s="387"/>
      <c r="I309" s="387"/>
      <c r="J309" s="322"/>
      <c r="K309" s="362" t="s">
        <v>84</v>
      </c>
      <c r="L309" s="374"/>
      <c r="M309" s="374"/>
      <c r="N309" s="375">
        <f>IF(SUM(N299:N308)=0,"",SUM(N299:N308))</f>
        <v>7269.43944</v>
      </c>
      <c r="O309" s="324"/>
      <c r="P309" s="451"/>
    </row>
    <row r="310" ht="12.75" customHeight="1">
      <c r="A310" s="322"/>
      <c r="B310" s="360"/>
      <c r="C310" s="360"/>
      <c r="D310" s="360"/>
      <c r="E310" s="361"/>
      <c r="F310" s="324"/>
      <c r="G310" s="324"/>
      <c r="H310" s="387"/>
      <c r="I310" s="387"/>
      <c r="J310" s="322"/>
      <c r="K310" s="360"/>
      <c r="L310" s="360"/>
      <c r="M310" s="360"/>
      <c r="N310" s="361"/>
      <c r="O310" s="324"/>
      <c r="P310" s="451"/>
    </row>
    <row r="311" ht="12.75" customHeight="1">
      <c r="A311" s="322"/>
      <c r="B311" s="34" t="s">
        <v>17</v>
      </c>
      <c r="C311" s="35"/>
      <c r="D311" s="35"/>
      <c r="E311" s="35"/>
      <c r="F311" s="324"/>
      <c r="G311" s="324"/>
      <c r="H311" s="387"/>
      <c r="I311" s="387"/>
      <c r="J311" s="322"/>
      <c r="K311" s="34" t="s">
        <v>17</v>
      </c>
      <c r="L311" s="35"/>
      <c r="M311" s="35"/>
      <c r="N311" s="35"/>
      <c r="O311" s="324"/>
      <c r="P311" s="451"/>
    </row>
    <row r="312" ht="12.75" customHeight="1">
      <c r="A312" s="322"/>
      <c r="B312" s="52" t="s">
        <v>42</v>
      </c>
      <c r="C312" s="54"/>
      <c r="D312" s="54"/>
      <c r="E312" s="56" t="s">
        <v>35</v>
      </c>
      <c r="F312" s="324"/>
      <c r="G312" s="324"/>
      <c r="H312" s="387"/>
      <c r="I312" s="387"/>
      <c r="J312" s="322"/>
      <c r="K312" s="52" t="s">
        <v>42</v>
      </c>
      <c r="L312" s="54"/>
      <c r="M312" s="54"/>
      <c r="N312" s="56" t="s">
        <v>35</v>
      </c>
      <c r="O312" s="324"/>
      <c r="P312" s="451"/>
    </row>
    <row r="313" ht="12.75" customHeight="1">
      <c r="A313" s="322"/>
      <c r="B313" s="60" t="s">
        <v>40</v>
      </c>
      <c r="C313" s="343">
        <f>'UTL COST'!$B$3</f>
        <v>369000</v>
      </c>
      <c r="D313" s="379">
        <f>'UTL COST'!$C$3</f>
        <v>0.0075</v>
      </c>
      <c r="E313" s="67">
        <f>'UTL COST'!$D$3</f>
        <v>2767.5</v>
      </c>
      <c r="F313" s="324"/>
      <c r="G313" s="324"/>
      <c r="H313" s="387"/>
      <c r="I313" s="387"/>
      <c r="J313" s="322"/>
      <c r="K313" s="60" t="s">
        <v>40</v>
      </c>
      <c r="L313" s="343">
        <f>'UTL COST'!$B$3</f>
        <v>369000</v>
      </c>
      <c r="M313" s="379">
        <f>'UTL COST'!$C$3</f>
        <v>0.0075</v>
      </c>
      <c r="N313" s="67">
        <v>0.0</v>
      </c>
      <c r="O313" s="324"/>
      <c r="P313" s="451"/>
    </row>
    <row r="314" ht="12.75" customHeight="1">
      <c r="A314" s="322"/>
      <c r="B314" s="75" t="s">
        <v>51</v>
      </c>
      <c r="C314" s="371" t="str">
        <f>'UTL COST'!$B$4</f>
        <v>#REF!</v>
      </c>
      <c r="D314" s="382">
        <f>'UTL COST'!$C$4</f>
        <v>7000</v>
      </c>
      <c r="E314" s="76" t="str">
        <f>'UTL COST'!$D$4</f>
        <v>#REF!</v>
      </c>
      <c r="F314" s="324"/>
      <c r="G314" s="324"/>
      <c r="H314" s="387"/>
      <c r="I314" s="387"/>
      <c r="J314" s="322"/>
      <c r="K314" s="75" t="s">
        <v>51</v>
      </c>
      <c r="L314" s="371" t="str">
        <f>'UTL COST'!$B$4</f>
        <v>#REF!</v>
      </c>
      <c r="M314" s="382">
        <f>'UTL COST'!$C$4</f>
        <v>7000</v>
      </c>
      <c r="N314" s="76" t="str">
        <f>'UTL COST'!$D$4</f>
        <v>#REF!</v>
      </c>
      <c r="O314" s="324"/>
      <c r="P314" s="451"/>
    </row>
    <row r="315" ht="12.75" customHeight="1">
      <c r="A315" s="322"/>
      <c r="B315" s="75" t="s">
        <v>59</v>
      </c>
      <c r="C315" s="371" t="str">
        <f>'UTL COST'!$B$5</f>
        <v>#REF!</v>
      </c>
      <c r="D315" s="382">
        <f>'UTL COST'!$C$5</f>
        <v>45000</v>
      </c>
      <c r="E315" s="76" t="str">
        <f>'UTL COST'!$D$5</f>
        <v>#REF!</v>
      </c>
      <c r="F315" s="324"/>
      <c r="G315" s="324"/>
      <c r="H315" s="387"/>
      <c r="I315" s="387"/>
      <c r="J315" s="322"/>
      <c r="K315" s="75" t="s">
        <v>59</v>
      </c>
      <c r="L315" s="371" t="str">
        <f>'UTL COST'!$B$5</f>
        <v>#REF!</v>
      </c>
      <c r="M315" s="382">
        <f>'UTL COST'!$C$5</f>
        <v>45000</v>
      </c>
      <c r="N315" s="76" t="str">
        <f>'UTL COST'!$D$5</f>
        <v>#REF!</v>
      </c>
      <c r="O315" s="324"/>
      <c r="P315" s="451"/>
    </row>
    <row r="316" ht="12.75" customHeight="1">
      <c r="A316" s="322"/>
      <c r="B316" s="87" t="s">
        <v>78</v>
      </c>
      <c r="C316" s="371" t="str">
        <f>'UTL COST'!$B$6</f>
        <v>#REF!</v>
      </c>
      <c r="D316" s="383">
        <f>'UTL COST'!$C$6</f>
        <v>525</v>
      </c>
      <c r="E316" s="89">
        <v>0.1</v>
      </c>
      <c r="F316" s="324"/>
      <c r="G316" s="324"/>
      <c r="H316" s="387"/>
      <c r="I316" s="387"/>
      <c r="J316" s="322"/>
      <c r="K316" s="87" t="s">
        <v>78</v>
      </c>
      <c r="L316" s="371" t="str">
        <f>'UTL COST'!$B$6</f>
        <v>#REF!</v>
      </c>
      <c r="M316" s="383">
        <f>'UTL COST'!$C$6</f>
        <v>525</v>
      </c>
      <c r="N316" s="89">
        <v>0.1</v>
      </c>
      <c r="O316" s="324"/>
      <c r="P316" s="451"/>
    </row>
    <row r="317" ht="12.75" customHeight="1">
      <c r="A317" s="322"/>
      <c r="B317" s="34" t="s">
        <v>84</v>
      </c>
      <c r="C317" s="102"/>
      <c r="D317" s="102"/>
      <c r="E317" s="104" t="str">
        <f>IF(SUM(E313:E316)=0,"",SUM(E313:E316))</f>
        <v>#REF!</v>
      </c>
      <c r="F317" s="324"/>
      <c r="G317" s="324"/>
      <c r="H317" s="387"/>
      <c r="I317" s="387"/>
      <c r="J317" s="322"/>
      <c r="K317" s="34" t="s">
        <v>84</v>
      </c>
      <c r="L317" s="102"/>
      <c r="M317" s="102"/>
      <c r="N317" s="104" t="str">
        <f>IF(SUM(N313:N316)=0,"",SUM(N313:N316))</f>
        <v>#REF!</v>
      </c>
      <c r="O317" s="324"/>
      <c r="P317" s="451"/>
    </row>
    <row r="318" ht="12.75" customHeight="1">
      <c r="A318" s="322"/>
      <c r="B318" s="360"/>
      <c r="C318" s="360"/>
      <c r="D318" s="360"/>
      <c r="E318" s="361"/>
      <c r="F318" s="324"/>
      <c r="G318" s="324"/>
      <c r="H318" s="387"/>
      <c r="I318" s="387"/>
      <c r="J318" s="322"/>
      <c r="K318" s="360"/>
      <c r="L318" s="360"/>
      <c r="M318" s="360"/>
      <c r="N318" s="361"/>
      <c r="O318" s="324"/>
      <c r="P318" s="451"/>
    </row>
    <row r="319" ht="12.75" customHeight="1">
      <c r="A319" s="387"/>
      <c r="B319" s="387"/>
      <c r="C319" s="387"/>
      <c r="D319" s="387"/>
      <c r="E319" s="418"/>
      <c r="F319" s="387"/>
      <c r="G319" s="387"/>
      <c r="H319" s="387"/>
      <c r="I319" s="387"/>
      <c r="J319" s="387"/>
      <c r="K319" s="387"/>
      <c r="L319" s="387"/>
      <c r="M319" s="387"/>
      <c r="N319" s="387"/>
      <c r="O319" s="387"/>
      <c r="P319" s="387"/>
    </row>
    <row r="320" ht="12.75" customHeight="1">
      <c r="A320" s="387"/>
      <c r="B320" s="387"/>
      <c r="C320" s="387"/>
      <c r="D320" s="387"/>
      <c r="E320" s="418"/>
      <c r="F320" s="387"/>
      <c r="G320" s="387"/>
      <c r="H320" s="387"/>
      <c r="I320" s="387"/>
      <c r="J320" s="387"/>
      <c r="K320" s="387"/>
      <c r="L320" s="387"/>
      <c r="M320" s="387"/>
      <c r="N320" s="387"/>
      <c r="O320" s="387"/>
      <c r="P320" s="387"/>
    </row>
    <row r="321" ht="12.75" customHeight="1">
      <c r="A321" s="387"/>
      <c r="B321" s="387"/>
      <c r="C321" s="387"/>
      <c r="D321" s="387"/>
      <c r="E321" s="418"/>
      <c r="F321" s="387"/>
      <c r="G321" s="387"/>
      <c r="H321" s="387"/>
      <c r="I321" s="387"/>
      <c r="J321" s="387"/>
      <c r="K321" s="387"/>
      <c r="L321" s="387"/>
      <c r="M321" s="387"/>
      <c r="N321" s="387"/>
      <c r="O321" s="387"/>
      <c r="P321" s="387"/>
    </row>
    <row r="322" ht="12.75" customHeight="1">
      <c r="A322" s="322"/>
      <c r="B322" s="322"/>
      <c r="C322" s="322"/>
      <c r="D322" s="322"/>
      <c r="E322" s="323"/>
      <c r="F322" s="324"/>
      <c r="G322" s="324"/>
      <c r="H322" s="387"/>
      <c r="I322" s="387"/>
      <c r="J322" s="322"/>
      <c r="K322" s="322"/>
      <c r="L322" s="322"/>
      <c r="M322" s="322"/>
      <c r="N322" s="323"/>
      <c r="O322" s="324"/>
      <c r="P322" s="451"/>
    </row>
    <row r="323" ht="12.75" customHeight="1">
      <c r="A323" s="322"/>
      <c r="B323" s="325"/>
      <c r="C323" s="322"/>
      <c r="D323" s="322"/>
      <c r="E323" s="323"/>
      <c r="F323" s="326"/>
      <c r="G323" s="326"/>
      <c r="H323" s="404"/>
      <c r="I323" s="387"/>
      <c r="J323" s="322"/>
      <c r="K323" s="325"/>
      <c r="L323" s="322"/>
      <c r="M323" s="322"/>
      <c r="N323" s="323"/>
      <c r="O323" s="326"/>
      <c r="P323" s="452"/>
    </row>
    <row r="324" ht="12.75" customHeight="1">
      <c r="A324" s="322"/>
      <c r="B324" s="327" t="s">
        <v>931</v>
      </c>
      <c r="C324" s="454" t="s">
        <v>1201</v>
      </c>
      <c r="D324" s="329"/>
      <c r="E324" s="323"/>
      <c r="F324" s="326"/>
      <c r="G324" s="326"/>
      <c r="H324" s="404"/>
      <c r="I324" s="387"/>
      <c r="J324" s="322"/>
      <c r="K324" s="327" t="s">
        <v>931</v>
      </c>
      <c r="L324" s="454" t="s">
        <v>1202</v>
      </c>
      <c r="M324" s="329"/>
      <c r="N324" s="323"/>
      <c r="O324" s="326"/>
      <c r="P324" s="452"/>
    </row>
    <row r="325" ht="12.75" customHeight="1">
      <c r="A325" s="322"/>
      <c r="B325" s="325"/>
      <c r="C325" s="322"/>
      <c r="D325" s="322"/>
      <c r="E325" s="323"/>
      <c r="F325" s="326"/>
      <c r="G325" s="326"/>
      <c r="H325" s="404"/>
      <c r="I325" s="387"/>
      <c r="J325" s="322"/>
      <c r="K325" s="325"/>
      <c r="L325" s="322"/>
      <c r="M325" s="322"/>
      <c r="N325" s="323"/>
      <c r="O325" s="326"/>
      <c r="P325" s="452"/>
    </row>
    <row r="326" ht="12.75" customHeight="1">
      <c r="A326" s="322"/>
      <c r="B326" s="327" t="s">
        <v>935</v>
      </c>
      <c r="C326" s="331">
        <v>250000.0</v>
      </c>
      <c r="D326" s="329"/>
      <c r="E326" s="323"/>
      <c r="F326" s="326"/>
      <c r="G326" s="326"/>
      <c r="H326" s="404"/>
      <c r="I326" s="387"/>
      <c r="J326" s="322"/>
      <c r="K326" s="327" t="s">
        <v>935</v>
      </c>
      <c r="L326" s="331">
        <v>180000.0</v>
      </c>
      <c r="M326" s="329"/>
      <c r="N326" s="323"/>
      <c r="O326" s="326"/>
      <c r="P326" s="452"/>
    </row>
    <row r="327" ht="12.75" customHeight="1">
      <c r="A327" s="322"/>
      <c r="B327" s="327"/>
      <c r="C327" s="332"/>
      <c r="D327" s="332"/>
      <c r="E327" s="323"/>
      <c r="F327" s="326"/>
      <c r="G327" s="326"/>
      <c r="H327" s="404"/>
      <c r="I327" s="387"/>
      <c r="J327" s="322"/>
      <c r="K327" s="327"/>
      <c r="L327" s="332"/>
      <c r="M327" s="332"/>
      <c r="N327" s="323"/>
      <c r="O327" s="326"/>
      <c r="P327" s="452"/>
    </row>
    <row r="328" ht="12.75" customHeight="1">
      <c r="A328" s="322"/>
      <c r="B328" s="327" t="s">
        <v>939</v>
      </c>
      <c r="C328" s="333" t="str">
        <f>IF(SUM(E340,E355,E363)=0,"",SUM(E340,E355,E363))</f>
        <v>#REF!</v>
      </c>
      <c r="D328" s="321"/>
      <c r="E328" s="323"/>
      <c r="F328" s="326"/>
      <c r="G328" s="326"/>
      <c r="H328" s="404"/>
      <c r="I328" s="387"/>
      <c r="J328" s="322"/>
      <c r="K328" s="327" t="s">
        <v>939</v>
      </c>
      <c r="L328" s="333" t="str">
        <f>IF(SUM(N340,N355,N363)=0,"",SUM(N340,N355,N363))</f>
        <v>#REF!</v>
      </c>
      <c r="M328" s="321"/>
      <c r="N328" s="323"/>
      <c r="O328" s="326"/>
      <c r="P328" s="452"/>
    </row>
    <row r="329" ht="12.75" customHeight="1">
      <c r="A329" s="322"/>
      <c r="B329" s="327"/>
      <c r="C329" s="334"/>
      <c r="D329" s="334"/>
      <c r="E329" s="323"/>
      <c r="F329" s="326"/>
      <c r="G329" s="326"/>
      <c r="H329" s="404"/>
      <c r="I329" s="387"/>
      <c r="J329" s="322"/>
      <c r="K329" s="327"/>
      <c r="L329" s="334"/>
      <c r="M329" s="334"/>
      <c r="N329" s="323"/>
      <c r="O329" s="326"/>
      <c r="P329" s="452"/>
    </row>
    <row r="330" ht="12.75" customHeight="1">
      <c r="A330" s="322"/>
      <c r="B330" s="327" t="s">
        <v>946</v>
      </c>
      <c r="C330" s="335" t="str">
        <f>IF(C328="","",IF(ISBLANK(C326),"",C328/C326))</f>
        <v>#REF!</v>
      </c>
      <c r="D330" s="321"/>
      <c r="E330" s="323"/>
      <c r="F330" s="326"/>
      <c r="G330" s="326"/>
      <c r="H330" s="404"/>
      <c r="I330" s="387"/>
      <c r="J330" s="322"/>
      <c r="K330" s="327" t="s">
        <v>946</v>
      </c>
      <c r="L330" s="335" t="str">
        <f>IF(L328="","",IF(ISBLANK(L326),"",L328/L326))</f>
        <v>#REF!</v>
      </c>
      <c r="M330" s="321"/>
      <c r="N330" s="323"/>
      <c r="O330" s="326"/>
      <c r="P330" s="452"/>
    </row>
    <row r="331" ht="12.75" customHeight="1">
      <c r="A331" s="322"/>
      <c r="B331" s="327"/>
      <c r="C331" s="334"/>
      <c r="D331" s="334"/>
      <c r="E331" s="323"/>
      <c r="F331" s="326"/>
      <c r="G331" s="326"/>
      <c r="H331" s="404"/>
      <c r="I331" s="387"/>
      <c r="J331" s="322"/>
      <c r="K331" s="327"/>
      <c r="L331" s="334"/>
      <c r="M331" s="334"/>
      <c r="N331" s="323"/>
      <c r="O331" s="326"/>
      <c r="P331" s="452"/>
    </row>
    <row r="332" ht="12.75" customHeight="1">
      <c r="A332" s="322"/>
      <c r="B332" s="327" t="s">
        <v>950</v>
      </c>
      <c r="C332" s="333" t="str">
        <f>C326-C328</f>
        <v>#REF!</v>
      </c>
      <c r="D332" s="321"/>
      <c r="E332" s="323"/>
      <c r="F332" s="326"/>
      <c r="G332" s="326"/>
      <c r="H332" s="404"/>
      <c r="I332" s="387"/>
      <c r="J332" s="322"/>
      <c r="K332" s="327" t="s">
        <v>950</v>
      </c>
      <c r="L332" s="333" t="str">
        <f>L326-L328</f>
        <v>#REF!</v>
      </c>
      <c r="M332" s="321"/>
      <c r="N332" s="323"/>
      <c r="O332" s="326"/>
      <c r="P332" s="452"/>
    </row>
    <row r="333" ht="12.75" customHeight="1">
      <c r="A333" s="322"/>
      <c r="B333" s="322"/>
      <c r="C333" s="322"/>
      <c r="D333" s="322"/>
      <c r="E333" s="323"/>
      <c r="F333" s="324"/>
      <c r="G333" s="324"/>
      <c r="H333" s="404"/>
      <c r="I333" s="387"/>
      <c r="J333" s="322"/>
      <c r="K333" s="322"/>
      <c r="L333" s="322"/>
      <c r="M333" s="322"/>
      <c r="N333" s="323"/>
      <c r="O333" s="324"/>
      <c r="P333" s="451"/>
    </row>
    <row r="334" ht="12.75" customHeight="1">
      <c r="A334" s="322"/>
      <c r="B334" s="322"/>
      <c r="C334" s="322"/>
      <c r="D334" s="322"/>
      <c r="E334" s="337"/>
      <c r="F334" s="324"/>
      <c r="G334" s="324"/>
      <c r="H334" s="387"/>
      <c r="I334" s="387"/>
      <c r="J334" s="322"/>
      <c r="K334" s="322"/>
      <c r="L334" s="322"/>
      <c r="M334" s="322"/>
      <c r="N334" s="337"/>
      <c r="O334" s="324"/>
      <c r="P334" s="451"/>
    </row>
    <row r="335" ht="12.75" customHeight="1">
      <c r="A335" s="322"/>
      <c r="B335" s="338" t="s">
        <v>951</v>
      </c>
      <c r="C335" s="339"/>
      <c r="D335" s="339"/>
      <c r="E335" s="339"/>
      <c r="F335" s="324"/>
      <c r="G335" s="324"/>
      <c r="H335" s="410"/>
      <c r="I335" s="387"/>
      <c r="J335" s="322"/>
      <c r="K335" s="338" t="s">
        <v>951</v>
      </c>
      <c r="L335" s="339"/>
      <c r="M335" s="339"/>
      <c r="N335" s="339"/>
      <c r="O335" s="324"/>
      <c r="P335" s="451"/>
    </row>
    <row r="336" ht="12.75" customHeight="1">
      <c r="A336" s="322"/>
      <c r="B336" s="340" t="s">
        <v>953</v>
      </c>
      <c r="C336" s="341" t="s">
        <v>954</v>
      </c>
      <c r="D336" s="341" t="s">
        <v>955</v>
      </c>
      <c r="E336" s="341" t="s">
        <v>35</v>
      </c>
      <c r="F336" s="324"/>
      <c r="G336" s="324"/>
      <c r="H336" s="387"/>
      <c r="I336" s="387"/>
      <c r="J336" s="322"/>
      <c r="K336" s="340" t="s">
        <v>953</v>
      </c>
      <c r="L336" s="341" t="s">
        <v>954</v>
      </c>
      <c r="M336" s="341" t="s">
        <v>955</v>
      </c>
      <c r="N336" s="341" t="s">
        <v>35</v>
      </c>
      <c r="O336" s="324"/>
      <c r="P336" s="451"/>
    </row>
    <row r="337" ht="12.75" customHeight="1">
      <c r="A337" s="322"/>
      <c r="B337" s="60" t="s">
        <v>1106</v>
      </c>
      <c r="C337" s="344">
        <v>0.08</v>
      </c>
      <c r="D337" s="343">
        <f>'F&amp;B'!$F$274</f>
        <v>94500</v>
      </c>
      <c r="E337" s="67">
        <f t="shared" ref="E337:E339" si="31">IF(OR(ISBLANK(C337),ISBLANK(D337)),"",D337*C337)</f>
        <v>7560</v>
      </c>
      <c r="F337" s="324"/>
      <c r="G337" s="324"/>
      <c r="H337" s="387"/>
      <c r="I337" s="387"/>
      <c r="J337" s="322"/>
      <c r="K337" s="60" t="s">
        <v>225</v>
      </c>
      <c r="L337" s="342">
        <v>1.0</v>
      </c>
      <c r="M337" s="343">
        <f>'F&amp;B'!$F$84/30</f>
        <v>1299</v>
      </c>
      <c r="N337" s="67">
        <f>IF(OR(ISBLANK(L337),ISBLANK(M337)),"",M337*L337)</f>
        <v>1299</v>
      </c>
      <c r="O337" s="324"/>
      <c r="P337" s="451"/>
    </row>
    <row r="338" ht="12.75" customHeight="1">
      <c r="A338" s="322"/>
      <c r="B338" s="75" t="s">
        <v>1173</v>
      </c>
      <c r="C338" s="405">
        <v>0.5</v>
      </c>
      <c r="D338" s="371">
        <f>'F&amp;B'!$F$301</f>
        <v>13500</v>
      </c>
      <c r="E338" s="67">
        <f t="shared" si="31"/>
        <v>6750</v>
      </c>
      <c r="F338" s="324"/>
      <c r="G338" s="324"/>
      <c r="H338" s="387"/>
      <c r="I338" s="387"/>
      <c r="J338" s="322"/>
      <c r="K338" s="60" t="s">
        <v>1151</v>
      </c>
      <c r="L338" s="344">
        <v>0.1</v>
      </c>
      <c r="M338" s="343">
        <f>'F&amp;B'!$F$285</f>
        <v>8100</v>
      </c>
      <c r="N338" s="67">
        <f t="shared" ref="N338:N339" si="32">M338*L338</f>
        <v>810</v>
      </c>
      <c r="O338" s="324"/>
      <c r="P338" s="451"/>
    </row>
    <row r="339" ht="12.75" customHeight="1">
      <c r="A339" s="322"/>
      <c r="B339" s="87"/>
      <c r="C339" s="412"/>
      <c r="D339" s="408"/>
      <c r="E339" s="67" t="str">
        <f t="shared" si="31"/>
        <v/>
      </c>
      <c r="F339" s="324"/>
      <c r="G339" s="324"/>
      <c r="H339" s="387"/>
      <c r="I339" s="387"/>
      <c r="J339" s="322"/>
      <c r="K339" s="75" t="s">
        <v>1080</v>
      </c>
      <c r="L339" s="370">
        <v>0.04</v>
      </c>
      <c r="M339" s="371">
        <f>'F&amp;B'!$F$60*3</f>
        <v>29700</v>
      </c>
      <c r="N339" s="67">
        <f t="shared" si="32"/>
        <v>1188</v>
      </c>
      <c r="O339" s="324"/>
      <c r="P339" s="451"/>
    </row>
    <row r="340" ht="12.75" customHeight="1">
      <c r="A340" s="322"/>
      <c r="B340" s="338" t="s">
        <v>84</v>
      </c>
      <c r="C340" s="358"/>
      <c r="D340" s="358"/>
      <c r="E340" s="359">
        <f>IF(SUM(E337:E339)=0,"",SUM(E337:E339))</f>
        <v>14310</v>
      </c>
      <c r="F340" s="324"/>
      <c r="G340" s="324"/>
      <c r="H340" s="387"/>
      <c r="I340" s="387"/>
      <c r="J340" s="322"/>
      <c r="K340" s="338" t="s">
        <v>84</v>
      </c>
      <c r="L340" s="358"/>
      <c r="M340" s="358"/>
      <c r="N340" s="359">
        <f>IF(SUM(N337:N339)=0,"",SUM(N337:N339))</f>
        <v>3297</v>
      </c>
      <c r="O340" s="324"/>
      <c r="P340" s="451"/>
    </row>
    <row r="341" ht="12.75" customHeight="1">
      <c r="A341" s="322"/>
      <c r="B341" s="360"/>
      <c r="C341" s="360"/>
      <c r="D341" s="360"/>
      <c r="E341" s="361"/>
      <c r="F341" s="324"/>
      <c r="G341" s="324"/>
      <c r="H341" s="387"/>
      <c r="I341" s="387"/>
      <c r="J341" s="322"/>
      <c r="K341" s="360"/>
      <c r="L341" s="360"/>
      <c r="M341" s="360"/>
      <c r="N341" s="361"/>
      <c r="O341" s="324"/>
      <c r="P341" s="451"/>
    </row>
    <row r="342" ht="12.75" customHeight="1">
      <c r="A342" s="322"/>
      <c r="B342" s="362" t="s">
        <v>972</v>
      </c>
      <c r="C342" s="363"/>
      <c r="D342" s="363"/>
      <c r="E342" s="363"/>
      <c r="F342" s="324"/>
      <c r="G342" s="324"/>
      <c r="H342" s="387"/>
      <c r="I342" s="387"/>
      <c r="J342" s="322"/>
      <c r="K342" s="362" t="s">
        <v>972</v>
      </c>
      <c r="L342" s="363"/>
      <c r="M342" s="363"/>
      <c r="N342" s="363"/>
      <c r="O342" s="324"/>
      <c r="P342" s="451"/>
    </row>
    <row r="343" ht="12.75" customHeight="1">
      <c r="A343" s="322"/>
      <c r="B343" s="365" t="s">
        <v>953</v>
      </c>
      <c r="C343" s="366" t="s">
        <v>3</v>
      </c>
      <c r="D343" s="366" t="s">
        <v>975</v>
      </c>
      <c r="E343" s="367" t="s">
        <v>35</v>
      </c>
      <c r="F343" s="324"/>
      <c r="G343" s="324"/>
      <c r="H343" s="387"/>
      <c r="I343" s="387"/>
      <c r="J343" s="322"/>
      <c r="K343" s="365" t="s">
        <v>953</v>
      </c>
      <c r="L343" s="366" t="s">
        <v>3</v>
      </c>
      <c r="M343" s="366" t="s">
        <v>975</v>
      </c>
      <c r="N343" s="367" t="s">
        <v>35</v>
      </c>
      <c r="O343" s="324"/>
      <c r="P343" s="451"/>
    </row>
    <row r="344" ht="12.75" customHeight="1">
      <c r="A344" s="322"/>
      <c r="B344" s="368"/>
      <c r="C344" s="366"/>
      <c r="D344" s="366"/>
      <c r="E344" s="368"/>
      <c r="F344" s="324"/>
      <c r="G344" s="324"/>
      <c r="H344" s="387"/>
      <c r="I344" s="387"/>
      <c r="J344" s="322"/>
      <c r="K344" s="368"/>
      <c r="L344" s="366"/>
      <c r="M344" s="366"/>
      <c r="N344" s="368"/>
      <c r="O344" s="324"/>
      <c r="P344" s="451"/>
    </row>
    <row r="345" ht="12.75" customHeight="1">
      <c r="A345" s="322"/>
      <c r="B345" s="60" t="s">
        <v>349</v>
      </c>
      <c r="C345" s="342">
        <v>0.005</v>
      </c>
      <c r="D345" s="343">
        <f t="shared" ref="D345:D346" si="33">D209</f>
        <v>47250</v>
      </c>
      <c r="E345" s="67">
        <f t="shared" ref="E345:E354" si="34">D345*C345</f>
        <v>236.25</v>
      </c>
      <c r="F345" s="324"/>
      <c r="G345" s="324"/>
      <c r="H345" s="387"/>
      <c r="I345" s="387"/>
      <c r="J345" s="322"/>
      <c r="K345" s="60" t="s">
        <v>1205</v>
      </c>
      <c r="L345" s="344">
        <v>0.03</v>
      </c>
      <c r="M345" s="343">
        <f>'F&amp;B'!$F$220</f>
        <v>128700</v>
      </c>
      <c r="N345" s="67">
        <f t="shared" ref="N345:N349" si="35">M345*L345</f>
        <v>3861</v>
      </c>
      <c r="O345" s="324"/>
      <c r="P345" s="451"/>
    </row>
    <row r="346" ht="12.75" customHeight="1">
      <c r="A346" s="322"/>
      <c r="B346" s="75" t="s">
        <v>817</v>
      </c>
      <c r="C346" s="370">
        <v>0.03</v>
      </c>
      <c r="D346" s="371">
        <f t="shared" si="33"/>
        <v>6750</v>
      </c>
      <c r="E346" s="67">
        <f t="shared" si="34"/>
        <v>202.5</v>
      </c>
      <c r="F346" s="324"/>
      <c r="G346" s="324"/>
      <c r="H346" s="387"/>
      <c r="I346" s="387"/>
      <c r="J346" s="322"/>
      <c r="K346" s="75" t="s">
        <v>1206</v>
      </c>
      <c r="L346" s="405">
        <v>0.12</v>
      </c>
      <c r="M346" s="371">
        <f>'F&amp;B'!$F$288</f>
        <v>54000</v>
      </c>
      <c r="N346" s="67">
        <f t="shared" si="35"/>
        <v>6480</v>
      </c>
      <c r="O346" s="324"/>
      <c r="P346" s="451"/>
    </row>
    <row r="347" ht="12.75" customHeight="1">
      <c r="A347" s="322"/>
      <c r="B347" s="75" t="s">
        <v>738</v>
      </c>
      <c r="C347" s="405">
        <v>0.02</v>
      </c>
      <c r="D347" s="371">
        <f>'F&amp;B'!F284</f>
        <v>7200</v>
      </c>
      <c r="E347" s="67">
        <f t="shared" si="34"/>
        <v>144</v>
      </c>
      <c r="F347" s="324"/>
      <c r="G347" s="324"/>
      <c r="H347" s="387"/>
      <c r="I347" s="387"/>
      <c r="J347" s="322"/>
      <c r="K347" s="75" t="s">
        <v>703</v>
      </c>
      <c r="L347" s="370">
        <v>0.16</v>
      </c>
      <c r="M347" s="371">
        <f>$M$63</f>
        <v>81000</v>
      </c>
      <c r="N347" s="67">
        <f t="shared" si="35"/>
        <v>12960</v>
      </c>
      <c r="O347" s="324"/>
      <c r="P347" s="451"/>
    </row>
    <row r="348" ht="12.75" customHeight="1">
      <c r="A348" s="322"/>
      <c r="B348" s="228" t="s">
        <v>1178</v>
      </c>
      <c r="C348" s="398">
        <v>0.02</v>
      </c>
      <c r="D348" s="371">
        <f t="shared" ref="D348:D349" si="36">D212</f>
        <v>99000</v>
      </c>
      <c r="E348" s="67">
        <f t="shared" si="34"/>
        <v>1980</v>
      </c>
      <c r="F348" s="324"/>
      <c r="G348" s="324"/>
      <c r="H348" s="387"/>
      <c r="I348" s="387"/>
      <c r="J348" s="322"/>
      <c r="K348" s="75" t="s">
        <v>1207</v>
      </c>
      <c r="L348" s="346">
        <v>0.08</v>
      </c>
      <c r="M348" s="371">
        <f>SAUCES!$D$137</f>
        <v>32710.58771</v>
      </c>
      <c r="N348" s="67">
        <f t="shared" si="35"/>
        <v>2616.847017</v>
      </c>
      <c r="O348" s="324"/>
      <c r="P348" s="451"/>
    </row>
    <row r="349" ht="12.75" customHeight="1">
      <c r="A349" s="322"/>
      <c r="B349" s="75" t="s">
        <v>1179</v>
      </c>
      <c r="C349" s="346">
        <v>0.008</v>
      </c>
      <c r="D349" s="371">
        <f t="shared" si="36"/>
        <v>41400</v>
      </c>
      <c r="E349" s="67">
        <f t="shared" si="34"/>
        <v>331.2</v>
      </c>
      <c r="F349" s="324"/>
      <c r="G349" s="324"/>
      <c r="H349" s="387"/>
      <c r="I349" s="387"/>
      <c r="J349" s="322"/>
      <c r="K349" s="75" t="s">
        <v>273</v>
      </c>
      <c r="L349" s="405">
        <v>0.05</v>
      </c>
      <c r="M349" s="371">
        <f>'F&amp;B'!$F$283*4</f>
        <v>36000</v>
      </c>
      <c r="N349" s="67">
        <f t="shared" si="35"/>
        <v>1800</v>
      </c>
      <c r="O349" s="324"/>
      <c r="P349" s="451"/>
    </row>
    <row r="350" ht="12.75" customHeight="1">
      <c r="A350" s="322"/>
      <c r="B350" s="75" t="s">
        <v>1114</v>
      </c>
      <c r="C350" s="398">
        <v>0.03</v>
      </c>
      <c r="D350" s="371">
        <f>'F&amp;B'!$F$300</f>
        <v>13500</v>
      </c>
      <c r="E350" s="67">
        <f t="shared" si="34"/>
        <v>405</v>
      </c>
      <c r="F350" s="324"/>
      <c r="G350" s="324"/>
      <c r="H350" s="387"/>
      <c r="I350" s="387"/>
      <c r="J350" s="322"/>
      <c r="K350" s="75" t="s">
        <v>850</v>
      </c>
      <c r="L350" s="405">
        <v>0.02</v>
      </c>
      <c r="M350" s="371">
        <f>SANDWICHES!$D$27</f>
        <v>63000</v>
      </c>
      <c r="N350" s="67">
        <f t="shared" ref="N350:N351" si="37">IF(OR(ISBLANK(L350),ISBLANK(M350)),"",M350*L350)</f>
        <v>1260</v>
      </c>
      <c r="O350" s="324"/>
      <c r="P350" s="451"/>
    </row>
    <row r="351" ht="12.75" customHeight="1">
      <c r="A351" s="322"/>
      <c r="B351" s="75" t="s">
        <v>1182</v>
      </c>
      <c r="C351" s="398">
        <v>0.08</v>
      </c>
      <c r="D351" s="347">
        <f>SAUCES!$L$1</f>
        <v>13999.17763</v>
      </c>
      <c r="E351" s="67">
        <f t="shared" si="34"/>
        <v>1119.934211</v>
      </c>
      <c r="F351" s="324"/>
      <c r="G351" s="324"/>
      <c r="H351" s="387"/>
      <c r="I351" s="387"/>
      <c r="J351" s="322"/>
      <c r="K351" s="87" t="s">
        <v>1046</v>
      </c>
      <c r="L351" s="407">
        <v>0.01</v>
      </c>
      <c r="M351" s="408">
        <f>SANDWICHES!$D$72</f>
        <v>103500</v>
      </c>
      <c r="N351" s="67">
        <f t="shared" si="37"/>
        <v>1035</v>
      </c>
      <c r="O351" s="324"/>
      <c r="P351" s="451"/>
    </row>
    <row r="352" ht="12.75" customHeight="1">
      <c r="A352" s="322"/>
      <c r="B352" s="348"/>
      <c r="C352" s="346"/>
      <c r="D352" s="373"/>
      <c r="E352" s="67">
        <f t="shared" si="34"/>
        <v>0</v>
      </c>
      <c r="F352" s="324"/>
      <c r="G352" s="324"/>
      <c r="H352" s="387"/>
      <c r="I352" s="387"/>
      <c r="J352" s="322"/>
      <c r="K352" s="348"/>
      <c r="L352" s="346"/>
      <c r="M352" s="373"/>
      <c r="N352" s="67">
        <f t="shared" ref="N352:N354" si="38">M352*L352</f>
        <v>0</v>
      </c>
      <c r="O352" s="324"/>
      <c r="P352" s="451"/>
    </row>
    <row r="353" ht="12.75" customHeight="1">
      <c r="A353" s="322"/>
      <c r="B353" s="348"/>
      <c r="C353" s="346"/>
      <c r="D353" s="373"/>
      <c r="E353" s="67">
        <f t="shared" si="34"/>
        <v>0</v>
      </c>
      <c r="F353" s="324"/>
      <c r="G353" s="324"/>
      <c r="H353" s="387"/>
      <c r="I353" s="387"/>
      <c r="J353" s="322"/>
      <c r="K353" s="348"/>
      <c r="L353" s="346"/>
      <c r="M353" s="373"/>
      <c r="N353" s="67">
        <f t="shared" si="38"/>
        <v>0</v>
      </c>
      <c r="O353" s="324"/>
      <c r="P353" s="451"/>
    </row>
    <row r="354" ht="12.75" customHeight="1">
      <c r="A354" s="322"/>
      <c r="B354" s="354"/>
      <c r="C354" s="355"/>
      <c r="D354" s="356"/>
      <c r="E354" s="67">
        <f t="shared" si="34"/>
        <v>0</v>
      </c>
      <c r="F354" s="324"/>
      <c r="G354" s="324"/>
      <c r="H354" s="387"/>
      <c r="I354" s="387"/>
      <c r="J354" s="322"/>
      <c r="K354" s="354"/>
      <c r="L354" s="355"/>
      <c r="M354" s="356"/>
      <c r="N354" s="67">
        <f t="shared" si="38"/>
        <v>0</v>
      </c>
      <c r="O354" s="324"/>
      <c r="P354" s="451"/>
    </row>
    <row r="355" ht="12.75" customHeight="1">
      <c r="A355" s="322"/>
      <c r="B355" s="362" t="s">
        <v>84</v>
      </c>
      <c r="C355" s="374"/>
      <c r="D355" s="374"/>
      <c r="E355" s="375">
        <f>IF(SUM(E345:E354)=0,"",SUM(E345:E354))</f>
        <v>4418.884211</v>
      </c>
      <c r="F355" s="324"/>
      <c r="G355" s="324"/>
      <c r="H355" s="387"/>
      <c r="I355" s="387"/>
      <c r="J355" s="322"/>
      <c r="K355" s="362" t="s">
        <v>84</v>
      </c>
      <c r="L355" s="374"/>
      <c r="M355" s="374"/>
      <c r="N355" s="375">
        <f>IF(SUM(N345:N354)=0,"",SUM(N345:N354))</f>
        <v>30012.84702</v>
      </c>
      <c r="O355" s="324"/>
      <c r="P355" s="451"/>
    </row>
    <row r="356" ht="12.75" customHeight="1">
      <c r="A356" s="322"/>
      <c r="B356" s="360"/>
      <c r="C356" s="360"/>
      <c r="D356" s="360"/>
      <c r="E356" s="361"/>
      <c r="F356" s="324"/>
      <c r="G356" s="324"/>
      <c r="H356" s="387"/>
      <c r="I356" s="387"/>
      <c r="J356" s="322"/>
      <c r="K356" s="360"/>
      <c r="L356" s="360"/>
      <c r="M356" s="360"/>
      <c r="N356" s="361"/>
      <c r="O356" s="324"/>
      <c r="P356" s="451"/>
    </row>
    <row r="357" ht="12.75" customHeight="1">
      <c r="A357" s="322"/>
      <c r="B357" s="34" t="s">
        <v>17</v>
      </c>
      <c r="C357" s="35"/>
      <c r="D357" s="35"/>
      <c r="E357" s="35"/>
      <c r="F357" s="324"/>
      <c r="G357" s="324"/>
      <c r="H357" s="387"/>
      <c r="I357" s="387"/>
      <c r="J357" s="322"/>
      <c r="K357" s="34" t="s">
        <v>17</v>
      </c>
      <c r="L357" s="35"/>
      <c r="M357" s="35"/>
      <c r="N357" s="35"/>
      <c r="O357" s="324"/>
      <c r="P357" s="451"/>
    </row>
    <row r="358" ht="12.75" customHeight="1">
      <c r="A358" s="322"/>
      <c r="B358" s="52" t="s">
        <v>42</v>
      </c>
      <c r="C358" s="54"/>
      <c r="D358" s="54"/>
      <c r="E358" s="56" t="s">
        <v>35</v>
      </c>
      <c r="F358" s="324"/>
      <c r="G358" s="324"/>
      <c r="H358" s="387"/>
      <c r="I358" s="387"/>
      <c r="J358" s="322"/>
      <c r="K358" s="52" t="s">
        <v>42</v>
      </c>
      <c r="L358" s="54"/>
      <c r="M358" s="54"/>
      <c r="N358" s="56" t="s">
        <v>35</v>
      </c>
      <c r="O358" s="324"/>
      <c r="P358" s="451"/>
    </row>
    <row r="359" ht="12.75" customHeight="1">
      <c r="A359" s="322"/>
      <c r="B359" s="60" t="s">
        <v>40</v>
      </c>
      <c r="C359" s="343">
        <f>'UTL COST'!$B$3</f>
        <v>369000</v>
      </c>
      <c r="D359" s="379">
        <f>'UTL COST'!$C$3</f>
        <v>0.0075</v>
      </c>
      <c r="E359" s="67">
        <v>0.0</v>
      </c>
      <c r="F359" s="324"/>
      <c r="G359" s="324"/>
      <c r="H359" s="387"/>
      <c r="I359" s="387"/>
      <c r="J359" s="322"/>
      <c r="K359" s="60" t="s">
        <v>40</v>
      </c>
      <c r="L359" s="343">
        <f>'UTL COST'!$B$3</f>
        <v>369000</v>
      </c>
      <c r="M359" s="379">
        <f>'UTL COST'!$C$3</f>
        <v>0.0075</v>
      </c>
      <c r="N359" s="67">
        <v>0.0</v>
      </c>
      <c r="O359" s="324"/>
      <c r="P359" s="451"/>
    </row>
    <row r="360" ht="12.75" customHeight="1">
      <c r="A360" s="322"/>
      <c r="B360" s="75" t="s">
        <v>51</v>
      </c>
      <c r="C360" s="371" t="str">
        <f>'UTL COST'!$B$4</f>
        <v>#REF!</v>
      </c>
      <c r="D360" s="382">
        <f>'UTL COST'!$C$4</f>
        <v>7000</v>
      </c>
      <c r="E360" s="76" t="str">
        <f>'UTL COST'!$D$4</f>
        <v>#REF!</v>
      </c>
      <c r="F360" s="324"/>
      <c r="G360" s="324"/>
      <c r="H360" s="387"/>
      <c r="I360" s="387"/>
      <c r="J360" s="322"/>
      <c r="K360" s="75" t="s">
        <v>51</v>
      </c>
      <c r="L360" s="371" t="str">
        <f>'UTL COST'!$B$4</f>
        <v>#REF!</v>
      </c>
      <c r="M360" s="382">
        <f>'UTL COST'!$C$4</f>
        <v>7000</v>
      </c>
      <c r="N360" s="76" t="str">
        <f>'UTL COST'!$D$4</f>
        <v>#REF!</v>
      </c>
      <c r="O360" s="324"/>
      <c r="P360" s="451"/>
    </row>
    <row r="361" ht="12.75" customHeight="1">
      <c r="A361" s="322"/>
      <c r="B361" s="75" t="s">
        <v>59</v>
      </c>
      <c r="C361" s="371" t="str">
        <f>'UTL COST'!$B$5</f>
        <v>#REF!</v>
      </c>
      <c r="D361" s="382">
        <f>'UTL COST'!$C$5</f>
        <v>45000</v>
      </c>
      <c r="E361" s="76" t="str">
        <f>'UTL COST'!$D$5</f>
        <v>#REF!</v>
      </c>
      <c r="F361" s="324"/>
      <c r="G361" s="324"/>
      <c r="H361" s="387"/>
      <c r="I361" s="387"/>
      <c r="J361" s="322"/>
      <c r="K361" s="75" t="s">
        <v>59</v>
      </c>
      <c r="L361" s="371" t="str">
        <f>'UTL COST'!$B$5</f>
        <v>#REF!</v>
      </c>
      <c r="M361" s="382">
        <f>'UTL COST'!$C$5</f>
        <v>45000</v>
      </c>
      <c r="N361" s="76" t="str">
        <f>'UTL COST'!$D$5</f>
        <v>#REF!</v>
      </c>
      <c r="O361" s="324"/>
      <c r="P361" s="451"/>
    </row>
    <row r="362" ht="12.75" customHeight="1">
      <c r="A362" s="322"/>
      <c r="B362" s="87" t="s">
        <v>78</v>
      </c>
      <c r="C362" s="371" t="str">
        <f>'UTL COST'!$B$6</f>
        <v>#REF!</v>
      </c>
      <c r="D362" s="383">
        <f>'UTL COST'!$C$6</f>
        <v>525</v>
      </c>
      <c r="E362" s="89">
        <v>0.1</v>
      </c>
      <c r="F362" s="324"/>
      <c r="G362" s="324"/>
      <c r="H362" s="387"/>
      <c r="I362" s="387"/>
      <c r="J362" s="322"/>
      <c r="K362" s="87" t="s">
        <v>78</v>
      </c>
      <c r="L362" s="371" t="str">
        <f>'UTL COST'!$B$6</f>
        <v>#REF!</v>
      </c>
      <c r="M362" s="383">
        <f>'UTL COST'!$C$6</f>
        <v>525</v>
      </c>
      <c r="N362" s="89">
        <v>0.1</v>
      </c>
      <c r="O362" s="324"/>
      <c r="P362" s="451"/>
    </row>
    <row r="363" ht="12.75" customHeight="1">
      <c r="A363" s="322"/>
      <c r="B363" s="34" t="s">
        <v>84</v>
      </c>
      <c r="C363" s="102"/>
      <c r="D363" s="102"/>
      <c r="E363" s="104" t="str">
        <f>IF(SUM(E359:E362)=0,"",SUM(E359:E362))</f>
        <v>#REF!</v>
      </c>
      <c r="F363" s="324"/>
      <c r="G363" s="324"/>
      <c r="H363" s="387"/>
      <c r="I363" s="387"/>
      <c r="J363" s="322"/>
      <c r="K363" s="34" t="s">
        <v>84</v>
      </c>
      <c r="L363" s="102"/>
      <c r="M363" s="102"/>
      <c r="N363" s="104" t="str">
        <f>IF(SUM(N359:N362)=0,"",SUM(N359:N362))</f>
        <v>#REF!</v>
      </c>
      <c r="O363" s="324"/>
      <c r="P363" s="451"/>
    </row>
    <row r="364" ht="12.75" customHeight="1">
      <c r="A364" s="322"/>
      <c r="B364" s="360"/>
      <c r="C364" s="360"/>
      <c r="D364" s="360"/>
      <c r="E364" s="361"/>
      <c r="F364" s="324"/>
      <c r="G364" s="324"/>
      <c r="H364" s="387"/>
      <c r="I364" s="387"/>
      <c r="J364" s="322"/>
      <c r="K364" s="360"/>
      <c r="L364" s="360"/>
      <c r="M364" s="360"/>
      <c r="N364" s="361"/>
      <c r="O364" s="324"/>
      <c r="P364" s="451"/>
    </row>
    <row r="365" ht="12.75" customHeight="1">
      <c r="A365" s="387"/>
      <c r="B365" s="387"/>
      <c r="C365" s="387"/>
      <c r="D365" s="387"/>
      <c r="E365" s="418"/>
      <c r="F365" s="387"/>
      <c r="G365" s="387"/>
      <c r="H365" s="387"/>
      <c r="I365" s="387"/>
      <c r="J365" s="387"/>
      <c r="K365" s="387"/>
      <c r="L365" s="387"/>
      <c r="M365" s="387"/>
      <c r="N365" s="387"/>
      <c r="O365" s="387"/>
      <c r="P365" s="387"/>
    </row>
    <row r="366" ht="12.75" customHeight="1">
      <c r="A366" s="387"/>
      <c r="B366" s="387"/>
      <c r="C366" s="387"/>
      <c r="D366" s="387"/>
      <c r="E366" s="418"/>
      <c r="F366" s="387"/>
      <c r="G366" s="387"/>
      <c r="H366" s="387"/>
      <c r="I366" s="387"/>
      <c r="J366" s="387"/>
      <c r="K366" s="387"/>
      <c r="L366" s="387"/>
      <c r="M366" s="387"/>
      <c r="N366" s="387"/>
      <c r="O366" s="387"/>
      <c r="P366" s="387"/>
    </row>
    <row r="367" ht="12.75" customHeight="1">
      <c r="A367" s="322"/>
      <c r="B367" s="322"/>
      <c r="C367" s="322"/>
      <c r="D367" s="322"/>
      <c r="E367" s="323"/>
      <c r="F367" s="324"/>
      <c r="G367" s="324"/>
      <c r="H367" s="387"/>
      <c r="I367" s="387"/>
      <c r="J367" s="322"/>
      <c r="K367" s="322"/>
      <c r="L367" s="322"/>
      <c r="M367" s="322"/>
      <c r="N367" s="323"/>
      <c r="O367" s="324"/>
      <c r="P367" s="387"/>
    </row>
    <row r="368" ht="12.75" customHeight="1">
      <c r="A368" s="322"/>
      <c r="B368" s="325"/>
      <c r="C368" s="322"/>
      <c r="D368" s="322"/>
      <c r="E368" s="323"/>
      <c r="F368" s="326"/>
      <c r="G368" s="326"/>
      <c r="H368" s="387"/>
      <c r="I368" s="387"/>
      <c r="J368" s="322"/>
      <c r="K368" s="325"/>
      <c r="L368" s="322"/>
      <c r="M368" s="322"/>
      <c r="N368" s="323"/>
      <c r="O368" s="326"/>
      <c r="P368" s="387"/>
    </row>
    <row r="369" ht="12.75" customHeight="1">
      <c r="A369" s="322"/>
      <c r="B369" s="327" t="s">
        <v>931</v>
      </c>
      <c r="C369" s="454" t="s">
        <v>1208</v>
      </c>
      <c r="D369" s="329"/>
      <c r="E369" s="323"/>
      <c r="F369" s="326"/>
      <c r="G369" s="326"/>
      <c r="H369" s="387"/>
      <c r="I369" s="387"/>
      <c r="J369" s="322"/>
      <c r="K369" s="327" t="s">
        <v>931</v>
      </c>
      <c r="L369" s="330" t="s">
        <v>245</v>
      </c>
      <c r="M369" s="329"/>
      <c r="N369" s="323"/>
      <c r="O369" s="326"/>
      <c r="P369" s="387"/>
    </row>
    <row r="370" ht="12.75" customHeight="1">
      <c r="A370" s="322"/>
      <c r="B370" s="325"/>
      <c r="C370" s="322"/>
      <c r="D370" s="322"/>
      <c r="E370" s="323"/>
      <c r="F370" s="326"/>
      <c r="G370" s="326"/>
      <c r="H370" s="387"/>
      <c r="I370" s="387"/>
      <c r="J370" s="322"/>
      <c r="K370" s="325"/>
      <c r="L370" s="322"/>
      <c r="M370" s="322"/>
      <c r="N370" s="323"/>
      <c r="O370" s="326"/>
      <c r="P370" s="387"/>
    </row>
    <row r="371" ht="12.75" customHeight="1">
      <c r="A371" s="322"/>
      <c r="B371" s="327" t="s">
        <v>935</v>
      </c>
      <c r="C371" s="331">
        <v>250000.0</v>
      </c>
      <c r="D371" s="329"/>
      <c r="E371" s="323"/>
      <c r="F371" s="326"/>
      <c r="G371" s="326"/>
      <c r="H371" s="387"/>
      <c r="I371" s="387"/>
      <c r="J371" s="322"/>
      <c r="K371" s="327" t="s">
        <v>935</v>
      </c>
      <c r="L371" s="440">
        <v>1200000.0</v>
      </c>
      <c r="M371" s="329"/>
      <c r="N371" s="323">
        <f>L371/90000</f>
        <v>13.33333333</v>
      </c>
      <c r="O371" s="326"/>
      <c r="P371" s="387"/>
    </row>
    <row r="372" ht="12.75" customHeight="1">
      <c r="A372" s="322"/>
      <c r="B372" s="327"/>
      <c r="C372" s="332"/>
      <c r="D372" s="332"/>
      <c r="E372" s="323"/>
      <c r="F372" s="326"/>
      <c r="G372" s="326"/>
      <c r="H372" s="387"/>
      <c r="I372" s="387"/>
      <c r="J372" s="322"/>
      <c r="K372" s="327"/>
      <c r="L372" s="332"/>
      <c r="M372" s="332" t="str">
        <f>L373/90000</f>
        <v>#REF!</v>
      </c>
      <c r="N372" s="323"/>
      <c r="O372" s="326"/>
      <c r="P372" s="387"/>
    </row>
    <row r="373" ht="12.75" customHeight="1">
      <c r="A373" s="322"/>
      <c r="B373" s="327" t="s">
        <v>939</v>
      </c>
      <c r="C373" s="333" t="str">
        <f>IF(SUM(E385,E400,E408)=0,"",SUM(E385,E400,E408))</f>
        <v>#REF!</v>
      </c>
      <c r="D373" s="321"/>
      <c r="E373" s="323"/>
      <c r="F373" s="326"/>
      <c r="G373" s="326"/>
      <c r="H373" s="387"/>
      <c r="I373" s="387"/>
      <c r="J373" s="322"/>
      <c r="K373" s="327" t="s">
        <v>939</v>
      </c>
      <c r="L373" s="333" t="str">
        <f>IF(SUM(N385,N400,N408)=0,"",SUM(N385,N400,N408))</f>
        <v>#REF!</v>
      </c>
      <c r="M373" s="321"/>
      <c r="N373" s="323" t="str">
        <f>L373/90000</f>
        <v>#REF!</v>
      </c>
      <c r="O373" s="326"/>
      <c r="P373" s="387"/>
    </row>
    <row r="374" ht="12.75" customHeight="1">
      <c r="A374" s="322"/>
      <c r="B374" s="327"/>
      <c r="C374" s="334"/>
      <c r="D374" s="334"/>
      <c r="E374" s="323"/>
      <c r="F374" s="326"/>
      <c r="G374" s="326"/>
      <c r="H374" s="387"/>
      <c r="I374" s="387"/>
      <c r="J374" s="322"/>
      <c r="K374" s="327"/>
      <c r="L374" s="334"/>
      <c r="M374" s="334"/>
      <c r="N374" s="323"/>
      <c r="O374" s="326"/>
      <c r="P374" s="387"/>
    </row>
    <row r="375" ht="12.75" customHeight="1">
      <c r="A375" s="322"/>
      <c r="B375" s="327" t="s">
        <v>946</v>
      </c>
      <c r="C375" s="335" t="str">
        <f>IF(C373="","",IF(ISBLANK(C371),"",C373/C371))</f>
        <v>#REF!</v>
      </c>
      <c r="D375" s="321"/>
      <c r="E375" s="323"/>
      <c r="F375" s="326"/>
      <c r="G375" s="326"/>
      <c r="H375" s="387"/>
      <c r="I375" s="387"/>
      <c r="J375" s="322"/>
      <c r="K375" s="327" t="s">
        <v>946</v>
      </c>
      <c r="L375" s="335" t="str">
        <f>IF(L373="","",IF(ISBLANK(L371),"",L373/L371))</f>
        <v>#REF!</v>
      </c>
      <c r="M375" s="321"/>
      <c r="N375" s="323"/>
      <c r="O375" s="326"/>
      <c r="P375" s="387"/>
    </row>
    <row r="376" ht="12.75" customHeight="1">
      <c r="A376" s="322"/>
      <c r="B376" s="327"/>
      <c r="C376" s="334"/>
      <c r="D376" s="334"/>
      <c r="E376" s="323"/>
      <c r="F376" s="326"/>
      <c r="G376" s="326"/>
      <c r="H376" s="387"/>
      <c r="I376" s="387"/>
      <c r="J376" s="322"/>
      <c r="K376" s="327"/>
      <c r="L376" s="334"/>
      <c r="M376" s="334"/>
      <c r="N376" s="323"/>
      <c r="O376" s="326"/>
      <c r="P376" s="387"/>
    </row>
    <row r="377" ht="12.75" customHeight="1">
      <c r="A377" s="322"/>
      <c r="B377" s="327" t="s">
        <v>950</v>
      </c>
      <c r="C377" s="333" t="str">
        <f>C371-C373</f>
        <v>#REF!</v>
      </c>
      <c r="D377" s="321"/>
      <c r="E377" s="323"/>
      <c r="F377" s="326"/>
      <c r="G377" s="326"/>
      <c r="H377" s="387"/>
      <c r="I377" s="387"/>
      <c r="J377" s="322"/>
      <c r="K377" s="327" t="s">
        <v>950</v>
      </c>
      <c r="L377" s="333" t="str">
        <f>L371-L373</f>
        <v>#REF!</v>
      </c>
      <c r="M377" s="321"/>
      <c r="N377" s="323"/>
      <c r="O377" s="326"/>
      <c r="P377" s="387"/>
    </row>
    <row r="378" ht="12.75" customHeight="1">
      <c r="A378" s="322"/>
      <c r="B378" s="322"/>
      <c r="C378" s="322"/>
      <c r="D378" s="322"/>
      <c r="E378" s="323"/>
      <c r="F378" s="324"/>
      <c r="G378" s="324"/>
      <c r="H378" s="387"/>
      <c r="I378" s="387"/>
      <c r="J378" s="322"/>
      <c r="K378" s="322"/>
      <c r="L378" s="322"/>
      <c r="M378" s="322"/>
      <c r="N378" s="323"/>
      <c r="O378" s="324"/>
      <c r="P378" s="387"/>
    </row>
    <row r="379" ht="12.75" customHeight="1">
      <c r="A379" s="322"/>
      <c r="B379" s="322"/>
      <c r="C379" s="322"/>
      <c r="D379" s="322"/>
      <c r="E379" s="337"/>
      <c r="F379" s="324"/>
      <c r="G379" s="324"/>
      <c r="H379" s="387"/>
      <c r="I379" s="387"/>
      <c r="J379" s="322"/>
      <c r="K379" s="322"/>
      <c r="L379" s="322"/>
      <c r="M379" s="322"/>
      <c r="N379" s="337"/>
      <c r="O379" s="324"/>
      <c r="P379" s="387"/>
    </row>
    <row r="380" ht="12.75" customHeight="1">
      <c r="A380" s="322"/>
      <c r="B380" s="338" t="s">
        <v>951</v>
      </c>
      <c r="C380" s="339"/>
      <c r="D380" s="339"/>
      <c r="E380" s="339"/>
      <c r="F380" s="324"/>
      <c r="G380" s="324"/>
      <c r="H380" s="387"/>
      <c r="I380" s="387"/>
      <c r="J380" s="322"/>
      <c r="K380" s="338" t="s">
        <v>951</v>
      </c>
      <c r="L380" s="339"/>
      <c r="M380" s="339"/>
      <c r="N380" s="339"/>
      <c r="O380" s="324"/>
      <c r="P380" s="387"/>
    </row>
    <row r="381" ht="12.75" customHeight="1">
      <c r="A381" s="322"/>
      <c r="B381" s="340" t="s">
        <v>953</v>
      </c>
      <c r="C381" s="341" t="s">
        <v>954</v>
      </c>
      <c r="D381" s="341" t="s">
        <v>955</v>
      </c>
      <c r="E381" s="341" t="s">
        <v>35</v>
      </c>
      <c r="F381" s="324"/>
      <c r="G381" s="324"/>
      <c r="H381" s="387"/>
      <c r="I381" s="387"/>
      <c r="J381" s="322"/>
      <c r="K381" s="340" t="s">
        <v>953</v>
      </c>
      <c r="L381" s="341" t="s">
        <v>954</v>
      </c>
      <c r="M381" s="341" t="s">
        <v>955</v>
      </c>
      <c r="N381" s="341" t="s">
        <v>35</v>
      </c>
      <c r="O381" s="324"/>
      <c r="P381" s="387"/>
    </row>
    <row r="382" ht="12.75" customHeight="1">
      <c r="A382" s="322"/>
      <c r="B382" s="60" t="s">
        <v>1209</v>
      </c>
      <c r="C382" s="344">
        <v>0.06</v>
      </c>
      <c r="D382" s="343">
        <f>'F&amp;B'!F$129</f>
        <v>67500</v>
      </c>
      <c r="E382" s="67">
        <f t="shared" ref="E382:E384" si="39">IF(OR(ISBLANK(C382),ISBLANK(D382)),"",D382*C382)</f>
        <v>4050</v>
      </c>
      <c r="F382" s="324"/>
      <c r="G382" s="324"/>
      <c r="H382" s="387"/>
      <c r="I382" s="387"/>
      <c r="J382" s="322"/>
      <c r="K382" s="60" t="s">
        <v>1147</v>
      </c>
      <c r="L382" s="342">
        <v>0.12</v>
      </c>
      <c r="M382" s="343">
        <f>'F&amp;B'!$F$90</f>
        <v>108000</v>
      </c>
      <c r="N382" s="67">
        <f t="shared" ref="N382:N384" si="40">IF(OR(ISBLANK(L382),ISBLANK(M382)),"",M382*L382)</f>
        <v>12960</v>
      </c>
      <c r="O382" s="324"/>
      <c r="P382" s="387"/>
    </row>
    <row r="383" ht="12.75" customHeight="1">
      <c r="A383" s="322"/>
      <c r="B383" s="75" t="s">
        <v>262</v>
      </c>
      <c r="C383" s="405">
        <v>0.04</v>
      </c>
      <c r="D383" s="371">
        <f>'F&amp;B'!$F$302</f>
        <v>10800</v>
      </c>
      <c r="E383" s="67">
        <f t="shared" si="39"/>
        <v>432</v>
      </c>
      <c r="F383" s="324"/>
      <c r="G383" s="324"/>
      <c r="H383" s="387"/>
      <c r="I383" s="387"/>
      <c r="J383" s="322"/>
      <c r="K383" s="228" t="s">
        <v>1210</v>
      </c>
      <c r="L383" s="405">
        <v>0.08</v>
      </c>
      <c r="M383" s="371">
        <f>4*90000</f>
        <v>360000</v>
      </c>
      <c r="N383" s="67">
        <f t="shared" si="40"/>
        <v>28800</v>
      </c>
      <c r="O383" s="324"/>
      <c r="P383" s="387"/>
    </row>
    <row r="384" ht="12.75" customHeight="1">
      <c r="A384" s="322"/>
      <c r="B384" s="87" t="s">
        <v>1126</v>
      </c>
      <c r="C384" s="407">
        <v>0.07</v>
      </c>
      <c r="D384" s="408">
        <f>'F&amp;B'!$F$268</f>
        <v>234000</v>
      </c>
      <c r="E384" s="67">
        <f t="shared" si="39"/>
        <v>16380</v>
      </c>
      <c r="F384" s="324"/>
      <c r="G384" s="324"/>
      <c r="H384" s="387"/>
      <c r="I384" s="387"/>
      <c r="J384" s="322"/>
      <c r="K384" s="406" t="s">
        <v>1098</v>
      </c>
      <c r="L384" s="407">
        <v>0.5</v>
      </c>
      <c r="M384" s="371">
        <f>'F&amp;B'!F280</f>
        <v>2970</v>
      </c>
      <c r="N384" s="67">
        <f t="shared" si="40"/>
        <v>1485</v>
      </c>
      <c r="O384" s="324"/>
      <c r="P384" s="387"/>
    </row>
    <row r="385" ht="12.75" customHeight="1">
      <c r="A385" s="322"/>
      <c r="B385" s="338" t="s">
        <v>84</v>
      </c>
      <c r="C385" s="358"/>
      <c r="D385" s="358"/>
      <c r="E385" s="359">
        <f>IF(SUM(E382:E384)=0,"",SUM(E382:E384))</f>
        <v>20862</v>
      </c>
      <c r="F385" s="324"/>
      <c r="G385" s="324"/>
      <c r="H385" s="387"/>
      <c r="I385" s="387"/>
      <c r="J385" s="322"/>
      <c r="K385" s="338" t="s">
        <v>84</v>
      </c>
      <c r="L385" s="358"/>
      <c r="M385" s="358"/>
      <c r="N385" s="359">
        <f>IF(SUM(N382:N384)=0,"",SUM(N382:N384))</f>
        <v>43245</v>
      </c>
      <c r="O385" s="324"/>
      <c r="P385" s="387"/>
    </row>
    <row r="386" ht="12.75" customHeight="1">
      <c r="A386" s="322"/>
      <c r="B386" s="360"/>
      <c r="C386" s="360"/>
      <c r="D386" s="360"/>
      <c r="E386" s="361"/>
      <c r="F386" s="324"/>
      <c r="G386" s="324"/>
      <c r="H386" s="387"/>
      <c r="I386" s="387"/>
      <c r="J386" s="322"/>
      <c r="K386" s="360"/>
      <c r="L386" s="360"/>
      <c r="M386" s="360"/>
      <c r="N386" s="361"/>
      <c r="O386" s="324"/>
      <c r="P386" s="387"/>
    </row>
    <row r="387" ht="12.75" customHeight="1">
      <c r="A387" s="322"/>
      <c r="B387" s="362" t="s">
        <v>972</v>
      </c>
      <c r="C387" s="363"/>
      <c r="D387" s="363"/>
      <c r="E387" s="363"/>
      <c r="F387" s="324"/>
      <c r="G387" s="324"/>
      <c r="H387" s="387"/>
      <c r="I387" s="387"/>
      <c r="J387" s="322"/>
      <c r="K387" s="362" t="s">
        <v>972</v>
      </c>
      <c r="L387" s="363"/>
      <c r="M387" s="363"/>
      <c r="N387" s="363"/>
      <c r="O387" s="324"/>
      <c r="P387" s="387"/>
    </row>
    <row r="388" ht="12.75" customHeight="1">
      <c r="A388" s="322"/>
      <c r="B388" s="365" t="s">
        <v>953</v>
      </c>
      <c r="C388" s="366" t="s">
        <v>3</v>
      </c>
      <c r="D388" s="366" t="s">
        <v>975</v>
      </c>
      <c r="E388" s="367" t="s">
        <v>35</v>
      </c>
      <c r="F388" s="324"/>
      <c r="G388" s="324"/>
      <c r="H388" s="387"/>
      <c r="I388" s="387"/>
      <c r="J388" s="322"/>
      <c r="K388" s="365" t="s">
        <v>953</v>
      </c>
      <c r="L388" s="366" t="s">
        <v>3</v>
      </c>
      <c r="M388" s="366" t="s">
        <v>975</v>
      </c>
      <c r="N388" s="367" t="s">
        <v>35</v>
      </c>
      <c r="O388" s="324"/>
      <c r="P388" s="387"/>
    </row>
    <row r="389" ht="12.75" customHeight="1">
      <c r="A389" s="322"/>
      <c r="B389" s="368"/>
      <c r="C389" s="366"/>
      <c r="D389" s="366"/>
      <c r="E389" s="368"/>
      <c r="F389" s="324"/>
      <c r="G389" s="324"/>
      <c r="H389" s="387"/>
      <c r="I389" s="387"/>
      <c r="J389" s="322"/>
      <c r="K389" s="368"/>
      <c r="L389" s="366"/>
      <c r="M389" s="366"/>
      <c r="N389" s="368"/>
      <c r="O389" s="324"/>
      <c r="P389" s="387"/>
    </row>
    <row r="390" ht="12.75" customHeight="1">
      <c r="A390" s="322"/>
      <c r="B390" s="60" t="s">
        <v>547</v>
      </c>
      <c r="C390" s="342">
        <v>0.08</v>
      </c>
      <c r="D390" s="343">
        <f>SAUCES!$L$122</f>
        <v>28970.23839</v>
      </c>
      <c r="E390" s="67">
        <f t="shared" ref="E390:E393" si="41">D390*C390</f>
        <v>2317.619071</v>
      </c>
      <c r="F390" s="324"/>
      <c r="G390" s="324"/>
      <c r="H390" s="387"/>
      <c r="I390" s="387"/>
      <c r="J390" s="322"/>
      <c r="K390" s="139" t="s">
        <v>1211</v>
      </c>
      <c r="L390" s="344">
        <v>1.0</v>
      </c>
      <c r="M390" s="343">
        <f>M472</f>
        <v>9000</v>
      </c>
      <c r="N390" s="67">
        <f>IF(OR(ISBLANK(L390),ISBLANK(M390)),"",M390*L390)</f>
        <v>9000</v>
      </c>
      <c r="O390" s="324"/>
      <c r="P390" s="387"/>
    </row>
    <row r="391" ht="12.75" customHeight="1">
      <c r="A391" s="322"/>
      <c r="B391" s="228" t="s">
        <v>1250</v>
      </c>
      <c r="C391" s="405">
        <v>0.1</v>
      </c>
      <c r="D391" s="371"/>
      <c r="E391" s="67">
        <f t="shared" si="41"/>
        <v>0</v>
      </c>
      <c r="F391" s="324"/>
      <c r="G391" s="324"/>
      <c r="H391" s="387"/>
      <c r="I391" s="387"/>
      <c r="J391" s="322"/>
      <c r="K391" s="75" t="s">
        <v>310</v>
      </c>
      <c r="L391" s="370">
        <v>1.0</v>
      </c>
      <c r="M391" s="371">
        <f>M258</f>
        <v>1471.976447</v>
      </c>
      <c r="N391" s="67">
        <f t="shared" ref="N391:N399" si="42">M391*L391</f>
        <v>1471.976447</v>
      </c>
      <c r="O391" s="324"/>
      <c r="P391" s="387"/>
    </row>
    <row r="392" ht="12.75" customHeight="1">
      <c r="A392" s="322"/>
      <c r="B392" s="228" t="s">
        <v>351</v>
      </c>
      <c r="C392" s="405">
        <v>0.025</v>
      </c>
      <c r="D392" s="371"/>
      <c r="E392" s="67">
        <f t="shared" si="41"/>
        <v>0</v>
      </c>
      <c r="F392" s="324"/>
      <c r="G392" s="324"/>
      <c r="H392" s="387"/>
      <c r="I392" s="387"/>
      <c r="J392" s="322"/>
      <c r="K392" s="75" t="s">
        <v>1114</v>
      </c>
      <c r="L392" s="398">
        <v>0.09</v>
      </c>
      <c r="M392" s="371">
        <f>'F&amp;B'!$F$300</f>
        <v>13500</v>
      </c>
      <c r="N392" s="67">
        <f t="shared" si="42"/>
        <v>1215</v>
      </c>
      <c r="O392" s="324"/>
      <c r="P392" s="387"/>
    </row>
    <row r="393" ht="12.75" customHeight="1">
      <c r="A393" s="322"/>
      <c r="B393" s="75" t="s">
        <v>1114</v>
      </c>
      <c r="C393" s="398">
        <v>0.03</v>
      </c>
      <c r="D393" s="371">
        <f>'F&amp;B'!$F$300</f>
        <v>13500</v>
      </c>
      <c r="E393" s="67">
        <f t="shared" si="41"/>
        <v>405</v>
      </c>
      <c r="F393" s="324"/>
      <c r="G393" s="324"/>
      <c r="H393" s="387"/>
      <c r="I393" s="387"/>
      <c r="J393" s="322"/>
      <c r="K393" s="228" t="s">
        <v>817</v>
      </c>
      <c r="L393" s="398">
        <v>0.03</v>
      </c>
      <c r="M393" s="371">
        <f>'F&amp;B'!F293</f>
        <v>6750</v>
      </c>
      <c r="N393" s="67">
        <f t="shared" si="42"/>
        <v>202.5</v>
      </c>
      <c r="O393" s="324"/>
      <c r="P393" s="387"/>
    </row>
    <row r="394" ht="12.75" customHeight="1">
      <c r="A394" s="322"/>
      <c r="B394" s="228" t="s">
        <v>1231</v>
      </c>
      <c r="C394" s="405">
        <v>0.05</v>
      </c>
      <c r="D394" s="371">
        <f>'F&amp;B'!$F$289</f>
        <v>5400</v>
      </c>
      <c r="E394" s="67">
        <v>1500.0</v>
      </c>
      <c r="F394" s="324"/>
      <c r="G394" s="324"/>
      <c r="H394" s="387"/>
      <c r="I394" s="387"/>
      <c r="J394" s="322"/>
      <c r="K394" s="228" t="s">
        <v>1153</v>
      </c>
      <c r="L394" s="398">
        <v>0.02</v>
      </c>
      <c r="M394" s="371">
        <f>'F&amp;B'!F189</f>
        <v>144000</v>
      </c>
      <c r="N394" s="67">
        <f t="shared" si="42"/>
        <v>2880</v>
      </c>
      <c r="O394" s="324"/>
      <c r="P394" s="387"/>
    </row>
    <row r="395" ht="12.75" customHeight="1">
      <c r="A395" s="322"/>
      <c r="B395" s="228" t="s">
        <v>1254</v>
      </c>
      <c r="C395" s="398">
        <v>0.05</v>
      </c>
      <c r="D395" s="371"/>
      <c r="E395" s="67">
        <f t="shared" ref="E395:E399" si="43">D395*C395</f>
        <v>0</v>
      </c>
      <c r="F395" s="324"/>
      <c r="G395" s="324"/>
      <c r="H395" s="387"/>
      <c r="I395" s="387"/>
      <c r="J395" s="322"/>
      <c r="K395" s="75" t="s">
        <v>1113</v>
      </c>
      <c r="L395" s="346">
        <v>0.02</v>
      </c>
      <c r="M395" s="371">
        <f>'F&amp;B'!$F$146</f>
        <v>65250</v>
      </c>
      <c r="N395" s="67">
        <f t="shared" si="42"/>
        <v>1305</v>
      </c>
      <c r="O395" s="324"/>
      <c r="P395" s="387"/>
    </row>
    <row r="396" ht="12.75" customHeight="1">
      <c r="A396" s="322"/>
      <c r="B396" s="228" t="s">
        <v>1257</v>
      </c>
      <c r="C396" s="398">
        <v>0.05</v>
      </c>
      <c r="D396" s="347"/>
      <c r="E396" s="67">
        <f t="shared" si="43"/>
        <v>0</v>
      </c>
      <c r="F396" s="324"/>
      <c r="G396" s="324"/>
      <c r="H396" s="387"/>
      <c r="I396" s="387"/>
      <c r="J396" s="322"/>
      <c r="K396" s="348"/>
      <c r="L396" s="346"/>
      <c r="M396" s="373"/>
      <c r="N396" s="67">
        <f t="shared" si="42"/>
        <v>0</v>
      </c>
      <c r="O396" s="324"/>
      <c r="P396" s="387"/>
    </row>
    <row r="397" ht="15.75" customHeight="1">
      <c r="A397" s="322"/>
      <c r="B397" s="345" t="s">
        <v>1244</v>
      </c>
      <c r="C397" s="398">
        <v>0.05</v>
      </c>
      <c r="D397" s="373"/>
      <c r="E397" s="67">
        <f t="shared" si="43"/>
        <v>0</v>
      </c>
      <c r="F397" s="324"/>
      <c r="G397" s="324"/>
      <c r="H397" s="387"/>
      <c r="I397" s="387"/>
      <c r="J397" s="322"/>
      <c r="K397" s="348"/>
      <c r="L397" s="346"/>
      <c r="M397" s="373"/>
      <c r="N397" s="67">
        <f t="shared" si="42"/>
        <v>0</v>
      </c>
      <c r="O397" s="324"/>
      <c r="P397" s="387"/>
    </row>
    <row r="398" ht="12.75" customHeight="1">
      <c r="A398" s="322"/>
      <c r="B398" s="348"/>
      <c r="C398" s="346"/>
      <c r="D398" s="373"/>
      <c r="E398" s="67">
        <f t="shared" si="43"/>
        <v>0</v>
      </c>
      <c r="F398" s="324"/>
      <c r="G398" s="324"/>
      <c r="H398" s="387"/>
      <c r="I398" s="387"/>
      <c r="J398" s="322"/>
      <c r="K398" s="348"/>
      <c r="L398" s="346"/>
      <c r="M398" s="373"/>
      <c r="N398" s="67">
        <f t="shared" si="42"/>
        <v>0</v>
      </c>
      <c r="O398" s="324"/>
      <c r="P398" s="387"/>
    </row>
    <row r="399" ht="12.75" customHeight="1">
      <c r="A399" s="322"/>
      <c r="B399" s="354"/>
      <c r="C399" s="355"/>
      <c r="D399" s="356"/>
      <c r="E399" s="67">
        <f t="shared" si="43"/>
        <v>0</v>
      </c>
      <c r="F399" s="324"/>
      <c r="G399" s="324"/>
      <c r="H399" s="387"/>
      <c r="I399" s="387"/>
      <c r="J399" s="322"/>
      <c r="K399" s="354"/>
      <c r="L399" s="355"/>
      <c r="M399" s="356"/>
      <c r="N399" s="67">
        <f t="shared" si="42"/>
        <v>0</v>
      </c>
      <c r="O399" s="324"/>
      <c r="P399" s="387"/>
    </row>
    <row r="400" ht="12.75" customHeight="1">
      <c r="A400" s="322"/>
      <c r="B400" s="362" t="s">
        <v>84</v>
      </c>
      <c r="C400" s="374"/>
      <c r="D400" s="374"/>
      <c r="E400" s="375">
        <f>IF(SUM(E390:E399)=0,"",SUM(E390:E399))</f>
        <v>4222.619071</v>
      </c>
      <c r="F400" s="324"/>
      <c r="G400" s="324"/>
      <c r="H400" s="387"/>
      <c r="I400" s="387"/>
      <c r="J400" s="322"/>
      <c r="K400" s="362" t="s">
        <v>84</v>
      </c>
      <c r="L400" s="374"/>
      <c r="M400" s="374"/>
      <c r="N400" s="375">
        <f>IF(SUM(N390:N399)=0,"",SUM(N390:N399))</f>
        <v>16074.47645</v>
      </c>
      <c r="O400" s="324"/>
      <c r="P400" s="387"/>
    </row>
    <row r="401" ht="12.75" customHeight="1">
      <c r="A401" s="322"/>
      <c r="B401" s="360"/>
      <c r="C401" s="360"/>
      <c r="D401" s="360"/>
      <c r="E401" s="361"/>
      <c r="F401" s="324"/>
      <c r="G401" s="324"/>
      <c r="H401" s="387"/>
      <c r="I401" s="387"/>
      <c r="J401" s="322"/>
      <c r="K401" s="360"/>
      <c r="L401" s="360"/>
      <c r="M401" s="360"/>
      <c r="N401" s="361"/>
      <c r="O401" s="324"/>
      <c r="P401" s="387"/>
    </row>
    <row r="402" ht="12.75" customHeight="1">
      <c r="A402" s="322"/>
      <c r="B402" s="34" t="s">
        <v>17</v>
      </c>
      <c r="C402" s="35"/>
      <c r="D402" s="35"/>
      <c r="E402" s="35"/>
      <c r="F402" s="324"/>
      <c r="G402" s="324"/>
      <c r="H402" s="387"/>
      <c r="I402" s="387"/>
      <c r="J402" s="322"/>
      <c r="K402" s="34" t="s">
        <v>17</v>
      </c>
      <c r="L402" s="35"/>
      <c r="M402" s="35"/>
      <c r="N402" s="35"/>
      <c r="O402" s="324"/>
      <c r="P402" s="387"/>
    </row>
    <row r="403" ht="12.75" customHeight="1">
      <c r="A403" s="322"/>
      <c r="B403" s="52" t="s">
        <v>42</v>
      </c>
      <c r="C403" s="54"/>
      <c r="D403" s="54"/>
      <c r="E403" s="56" t="s">
        <v>35</v>
      </c>
      <c r="F403" s="324"/>
      <c r="G403" s="324"/>
      <c r="H403" s="387"/>
      <c r="I403" s="387"/>
      <c r="J403" s="322"/>
      <c r="K403" s="52" t="s">
        <v>42</v>
      </c>
      <c r="L403" s="54"/>
      <c r="M403" s="54"/>
      <c r="N403" s="56" t="s">
        <v>35</v>
      </c>
      <c r="O403" s="324"/>
      <c r="P403" s="387"/>
    </row>
    <row r="404" ht="12.75" customHeight="1">
      <c r="A404" s="322"/>
      <c r="B404" s="60" t="s">
        <v>40</v>
      </c>
      <c r="C404" s="343">
        <f>'UTL COST'!$B$3</f>
        <v>369000</v>
      </c>
      <c r="D404" s="379">
        <f>'UTL COST'!$C$3</f>
        <v>0.0075</v>
      </c>
      <c r="E404" s="67">
        <v>0.0</v>
      </c>
      <c r="F404" s="324"/>
      <c r="G404" s="324"/>
      <c r="H404" s="387"/>
      <c r="I404" s="387"/>
      <c r="J404" s="322"/>
      <c r="K404" s="60" t="s">
        <v>40</v>
      </c>
      <c r="L404" s="343">
        <f>'UTL COST'!$B$3</f>
        <v>369000</v>
      </c>
      <c r="M404" s="379">
        <f>'UTL COST'!$C$3</f>
        <v>0.0075</v>
      </c>
      <c r="N404" s="67">
        <v>0.0</v>
      </c>
      <c r="O404" s="324"/>
      <c r="P404" s="387"/>
    </row>
    <row r="405" ht="12.75" customHeight="1">
      <c r="A405" s="322"/>
      <c r="B405" s="75" t="s">
        <v>51</v>
      </c>
      <c r="C405" s="371" t="str">
        <f>'UTL COST'!$B$4</f>
        <v>#REF!</v>
      </c>
      <c r="D405" s="382">
        <f>'UTL COST'!$C$4</f>
        <v>7000</v>
      </c>
      <c r="E405" s="76" t="str">
        <f>'UTL COST'!$D$4</f>
        <v>#REF!</v>
      </c>
      <c r="F405" s="324"/>
      <c r="G405" s="324"/>
      <c r="H405" s="387"/>
      <c r="I405" s="387"/>
      <c r="J405" s="322"/>
      <c r="K405" s="75" t="s">
        <v>51</v>
      </c>
      <c r="L405" s="371" t="str">
        <f>'UTL COST'!$B$4</f>
        <v>#REF!</v>
      </c>
      <c r="M405" s="382">
        <f>'UTL COST'!$C$4</f>
        <v>7000</v>
      </c>
      <c r="N405" s="76" t="str">
        <f>'UTL COST'!$D$4</f>
        <v>#REF!</v>
      </c>
      <c r="O405" s="324"/>
      <c r="P405" s="387"/>
    </row>
    <row r="406" ht="12.75" customHeight="1">
      <c r="A406" s="322"/>
      <c r="B406" s="75" t="s">
        <v>59</v>
      </c>
      <c r="C406" s="371" t="str">
        <f>'UTL COST'!$B$5</f>
        <v>#REF!</v>
      </c>
      <c r="D406" s="382">
        <f>'UTL COST'!$C$5</f>
        <v>45000</v>
      </c>
      <c r="E406" s="76" t="str">
        <f>'UTL COST'!$D$5</f>
        <v>#REF!</v>
      </c>
      <c r="F406" s="324"/>
      <c r="G406" s="324"/>
      <c r="H406" s="387"/>
      <c r="I406" s="387"/>
      <c r="J406" s="322"/>
      <c r="K406" s="75" t="s">
        <v>59</v>
      </c>
      <c r="L406" s="371" t="str">
        <f>'UTL COST'!$B$5</f>
        <v>#REF!</v>
      </c>
      <c r="M406" s="382">
        <f>'UTL COST'!$C$5</f>
        <v>45000</v>
      </c>
      <c r="N406" s="76" t="str">
        <f>'UTL COST'!$D$5</f>
        <v>#REF!</v>
      </c>
      <c r="O406" s="324"/>
      <c r="P406" s="387"/>
    </row>
    <row r="407" ht="12.75" customHeight="1">
      <c r="A407" s="322"/>
      <c r="B407" s="87" t="s">
        <v>78</v>
      </c>
      <c r="C407" s="371" t="str">
        <f>'UTL COST'!$B$6</f>
        <v>#REF!</v>
      </c>
      <c r="D407" s="383">
        <f>'UTL COST'!$C$6</f>
        <v>525</v>
      </c>
      <c r="E407" s="89">
        <v>0.1</v>
      </c>
      <c r="F407" s="324"/>
      <c r="G407" s="324"/>
      <c r="H407" s="387"/>
      <c r="I407" s="387"/>
      <c r="J407" s="322"/>
      <c r="K407" s="87" t="s">
        <v>78</v>
      </c>
      <c r="L407" s="371" t="str">
        <f>'UTL COST'!$B$6</f>
        <v>#REF!</v>
      </c>
      <c r="M407" s="383">
        <f>'UTL COST'!$C$6</f>
        <v>525</v>
      </c>
      <c r="N407" s="89">
        <v>0.1</v>
      </c>
      <c r="O407" s="324"/>
      <c r="P407" s="387"/>
    </row>
    <row r="408" ht="12.75" customHeight="1">
      <c r="A408" s="322"/>
      <c r="B408" s="34" t="s">
        <v>84</v>
      </c>
      <c r="C408" s="102"/>
      <c r="D408" s="102"/>
      <c r="E408" s="104" t="str">
        <f>IF(SUM(E404:E407)=0,"",SUM(E404:E407))</f>
        <v>#REF!</v>
      </c>
      <c r="F408" s="324"/>
      <c r="G408" s="324"/>
      <c r="H408" s="387"/>
      <c r="I408" s="387"/>
      <c r="J408" s="322"/>
      <c r="K408" s="34" t="s">
        <v>84</v>
      </c>
      <c r="L408" s="102"/>
      <c r="M408" s="102"/>
      <c r="N408" s="104" t="str">
        <f>IF(SUM(N404:N407)=0,"",SUM(N404:N407))</f>
        <v>#REF!</v>
      </c>
      <c r="O408" s="324"/>
      <c r="P408" s="387"/>
    </row>
    <row r="409" ht="12.75" customHeight="1">
      <c r="A409" s="322"/>
      <c r="B409" s="360"/>
      <c r="C409" s="360"/>
      <c r="D409" s="360"/>
      <c r="E409" s="361"/>
      <c r="F409" s="324"/>
      <c r="G409" s="324"/>
      <c r="H409" s="387"/>
      <c r="I409" s="387"/>
      <c r="J409" s="322"/>
      <c r="K409" s="360"/>
      <c r="L409" s="360"/>
      <c r="M409" s="360"/>
      <c r="N409" s="361"/>
      <c r="O409" s="324"/>
      <c r="P409" s="387"/>
    </row>
    <row r="410" ht="15.75" customHeight="1"/>
    <row r="411" ht="15.75" customHeight="1"/>
    <row r="412" ht="15.75" customHeight="1">
      <c r="A412" s="322"/>
      <c r="B412" s="322"/>
      <c r="C412" s="322"/>
      <c r="D412" s="322"/>
      <c r="E412" s="323"/>
      <c r="F412" s="324"/>
      <c r="J412" s="322"/>
      <c r="K412" s="322"/>
      <c r="L412" s="322"/>
      <c r="M412" s="322"/>
      <c r="N412" s="323"/>
      <c r="O412" s="324"/>
    </row>
    <row r="413" ht="15.75" customHeight="1">
      <c r="A413" s="322"/>
      <c r="B413" s="325"/>
      <c r="C413" s="322"/>
      <c r="D413" s="322"/>
      <c r="E413" s="323"/>
      <c r="F413" s="326"/>
      <c r="J413" s="322"/>
      <c r="K413" s="325"/>
      <c r="L413" s="322"/>
      <c r="M413" s="322"/>
      <c r="N413" s="323"/>
      <c r="O413" s="326"/>
    </row>
    <row r="414" ht="15.75" customHeight="1">
      <c r="A414" s="322"/>
      <c r="B414" s="327" t="s">
        <v>931</v>
      </c>
      <c r="C414" s="330" t="s">
        <v>1214</v>
      </c>
      <c r="D414" s="329"/>
      <c r="E414" s="323"/>
      <c r="F414" s="326"/>
      <c r="J414" s="322"/>
      <c r="K414" s="327" t="s">
        <v>931</v>
      </c>
      <c r="L414" s="330" t="s">
        <v>1215</v>
      </c>
      <c r="M414" s="329"/>
      <c r="N414" s="323"/>
      <c r="O414" s="326"/>
    </row>
    <row r="415" ht="15.75" customHeight="1">
      <c r="A415" s="322"/>
      <c r="B415" s="325"/>
      <c r="C415" s="322"/>
      <c r="D415" s="322"/>
      <c r="E415" s="323"/>
      <c r="F415" s="326"/>
      <c r="J415" s="322"/>
      <c r="K415" s="325"/>
      <c r="L415" s="322"/>
      <c r="M415" s="322"/>
      <c r="N415" s="323"/>
      <c r="O415" s="326"/>
    </row>
    <row r="416" ht="15.75" customHeight="1">
      <c r="A416" s="322"/>
      <c r="B416" s="327" t="s">
        <v>935</v>
      </c>
      <c r="C416" s="331">
        <v>184000.0</v>
      </c>
      <c r="D416" s="329"/>
      <c r="E416" s="323"/>
      <c r="F416" s="326"/>
      <c r="J416" s="322"/>
      <c r="K416" s="327" t="s">
        <v>935</v>
      </c>
      <c r="L416" s="331"/>
      <c r="M416" s="329"/>
      <c r="N416" s="323"/>
      <c r="O416" s="326"/>
    </row>
    <row r="417" ht="15.75" customHeight="1">
      <c r="A417" s="322"/>
      <c r="B417" s="327"/>
      <c r="C417" s="332"/>
      <c r="D417" s="332" t="str">
        <f>C418/90000</f>
        <v>#REF!</v>
      </c>
      <c r="E417" s="323"/>
      <c r="F417" s="326"/>
      <c r="J417" s="322"/>
      <c r="K417" s="327"/>
      <c r="L417" s="332"/>
      <c r="M417" s="332" t="str">
        <f>L418/90000</f>
        <v>#REF!</v>
      </c>
      <c r="N417" s="323"/>
      <c r="O417" s="326"/>
    </row>
    <row r="418" ht="15.75" customHeight="1">
      <c r="A418" s="322"/>
      <c r="B418" s="327" t="s">
        <v>939</v>
      </c>
      <c r="C418" s="333" t="str">
        <f>IF(SUM(E430,E445,E453)=0,"",SUM(E430,E445,E453))</f>
        <v>#REF!</v>
      </c>
      <c r="D418" s="321"/>
      <c r="E418" s="323" t="str">
        <f>C418/90000</f>
        <v>#REF!</v>
      </c>
      <c r="F418" s="326"/>
      <c r="J418" s="322"/>
      <c r="K418" s="327" t="s">
        <v>939</v>
      </c>
      <c r="L418" s="333" t="str">
        <f>IF(SUM(N430,N445,N453)=0,"",SUM(N430,N445,N453))</f>
        <v>#REF!</v>
      </c>
      <c r="M418" s="321"/>
      <c r="N418" s="323" t="str">
        <f>L418/90000</f>
        <v>#REF!</v>
      </c>
      <c r="O418" s="326"/>
    </row>
    <row r="419" ht="15.75" customHeight="1">
      <c r="A419" s="322"/>
      <c r="B419" s="327"/>
      <c r="C419" s="334"/>
      <c r="D419" s="334"/>
      <c r="E419" s="323"/>
      <c r="F419" s="326"/>
      <c r="J419" s="322"/>
      <c r="K419" s="327"/>
      <c r="L419" s="334"/>
      <c r="M419" s="334"/>
      <c r="N419" s="323"/>
      <c r="O419" s="326"/>
    </row>
    <row r="420" ht="15.75" customHeight="1">
      <c r="A420" s="322"/>
      <c r="B420" s="327" t="s">
        <v>946</v>
      </c>
      <c r="C420" s="335" t="str">
        <f>IF(C418="","",IF(ISBLANK(C416),"",C418/C416))</f>
        <v>#REF!</v>
      </c>
      <c r="D420" s="321"/>
      <c r="E420" s="323"/>
      <c r="F420" s="326"/>
      <c r="J420" s="322"/>
      <c r="K420" s="327" t="s">
        <v>946</v>
      </c>
      <c r="L420" s="335" t="str">
        <f>IF(L418="","",IF(ISBLANK(L416),"",L418/L416))</f>
        <v>#REF!</v>
      </c>
      <c r="M420" s="321"/>
      <c r="N420" s="323"/>
      <c r="O420" s="326"/>
    </row>
    <row r="421" ht="15.75" customHeight="1">
      <c r="A421" s="322"/>
      <c r="B421" s="327"/>
      <c r="C421" s="334"/>
      <c r="D421" s="334"/>
      <c r="E421" s="323"/>
      <c r="F421" s="326"/>
      <c r="J421" s="322"/>
      <c r="K421" s="327"/>
      <c r="L421" s="334"/>
      <c r="M421" s="334"/>
      <c r="N421" s="323"/>
      <c r="O421" s="326"/>
    </row>
    <row r="422" ht="15.75" customHeight="1">
      <c r="A422" s="322"/>
      <c r="B422" s="327" t="s">
        <v>950</v>
      </c>
      <c r="C422" s="333" t="str">
        <f>C416-C418</f>
        <v>#REF!</v>
      </c>
      <c r="D422" s="321"/>
      <c r="E422" s="323"/>
      <c r="F422" s="326"/>
      <c r="J422" s="322"/>
      <c r="K422" s="327" t="s">
        <v>950</v>
      </c>
      <c r="L422" s="333" t="str">
        <f>L416-L418</f>
        <v>#REF!</v>
      </c>
      <c r="M422" s="321"/>
      <c r="N422" s="323"/>
      <c r="O422" s="326"/>
    </row>
    <row r="423" ht="15.75" customHeight="1">
      <c r="A423" s="322"/>
      <c r="B423" s="322"/>
      <c r="C423" s="322"/>
      <c r="D423" s="322"/>
      <c r="E423" s="323"/>
      <c r="F423" s="324"/>
      <c r="J423" s="322"/>
      <c r="K423" s="322"/>
      <c r="L423" s="322"/>
      <c r="M423" s="322"/>
      <c r="N423" s="323"/>
      <c r="O423" s="324"/>
    </row>
    <row r="424" ht="15.75" customHeight="1">
      <c r="A424" s="322"/>
      <c r="B424" s="322"/>
      <c r="C424" s="322"/>
      <c r="D424" s="322"/>
      <c r="E424" s="337"/>
      <c r="F424" s="324"/>
      <c r="J424" s="322"/>
      <c r="K424" s="322"/>
      <c r="L424" s="322"/>
      <c r="M424" s="322"/>
      <c r="N424" s="337"/>
      <c r="O424" s="324"/>
    </row>
    <row r="425" ht="15.75" customHeight="1">
      <c r="A425" s="322"/>
      <c r="B425" s="338" t="s">
        <v>951</v>
      </c>
      <c r="C425" s="339"/>
      <c r="D425" s="339"/>
      <c r="E425" s="339"/>
      <c r="F425" s="324"/>
      <c r="J425" s="322"/>
      <c r="K425" s="338" t="s">
        <v>951</v>
      </c>
      <c r="L425" s="339"/>
      <c r="M425" s="339"/>
      <c r="N425" s="339"/>
      <c r="O425" s="324"/>
    </row>
    <row r="426" ht="15.75" customHeight="1">
      <c r="A426" s="322"/>
      <c r="B426" s="340" t="s">
        <v>953</v>
      </c>
      <c r="C426" s="341" t="s">
        <v>954</v>
      </c>
      <c r="D426" s="341" t="s">
        <v>955</v>
      </c>
      <c r="E426" s="341" t="s">
        <v>35</v>
      </c>
      <c r="F426" s="324"/>
      <c r="J426" s="322"/>
      <c r="K426" s="340" t="s">
        <v>953</v>
      </c>
      <c r="L426" s="341" t="s">
        <v>954</v>
      </c>
      <c r="M426" s="341" t="s">
        <v>955</v>
      </c>
      <c r="N426" s="341" t="s">
        <v>35</v>
      </c>
      <c r="O426" s="324"/>
    </row>
    <row r="427" ht="15.75" customHeight="1">
      <c r="A427" s="322"/>
      <c r="B427" s="139" t="s">
        <v>1216</v>
      </c>
      <c r="C427" s="344">
        <v>0.12</v>
      </c>
      <c r="D427" s="343">
        <f>'F&amp;B'!F225</f>
        <v>297000</v>
      </c>
      <c r="E427" s="67">
        <f t="shared" ref="E427:E429" si="44">IF(OR(ISBLANK(C427),ISBLANK(D427)),"",D427*C427)</f>
        <v>35640</v>
      </c>
      <c r="F427" s="324"/>
      <c r="J427" s="322"/>
      <c r="K427" s="139" t="s">
        <v>1217</v>
      </c>
      <c r="L427" s="344">
        <v>0.2</v>
      </c>
      <c r="M427" s="343">
        <f>'F&amp;B'!$F$242/12</f>
        <v>1125</v>
      </c>
      <c r="N427" s="67">
        <f t="shared" ref="N427:N429" si="45">IF(OR(ISBLANK(L427),ISBLANK(M427)),"",M427*L427)</f>
        <v>225</v>
      </c>
      <c r="O427" s="324"/>
    </row>
    <row r="428" ht="15.75" customHeight="1">
      <c r="A428" s="322"/>
      <c r="B428" s="228" t="s">
        <v>738</v>
      </c>
      <c r="C428" s="405">
        <v>0.01</v>
      </c>
      <c r="D428" s="371">
        <f>'F&amp;B'!F136</f>
        <v>90000</v>
      </c>
      <c r="E428" s="67">
        <f t="shared" si="44"/>
        <v>900</v>
      </c>
      <c r="F428" s="324"/>
      <c r="J428" s="322"/>
      <c r="K428" s="228" t="s">
        <v>351</v>
      </c>
      <c r="L428" s="405">
        <v>0.03</v>
      </c>
      <c r="M428" s="371">
        <f>'F&amp;B'!F251</f>
        <v>455400</v>
      </c>
      <c r="N428" s="67">
        <f t="shared" si="45"/>
        <v>13662</v>
      </c>
      <c r="O428" s="324"/>
    </row>
    <row r="429" ht="15.75" customHeight="1">
      <c r="A429" s="322"/>
      <c r="B429" s="406" t="s">
        <v>60</v>
      </c>
      <c r="C429" s="407">
        <v>0.02</v>
      </c>
      <c r="D429" s="371">
        <f>'F&amp;B'!F103</f>
        <v>148500</v>
      </c>
      <c r="E429" s="67">
        <f t="shared" si="44"/>
        <v>2970</v>
      </c>
      <c r="F429" s="324"/>
      <c r="J429" s="322"/>
      <c r="K429" s="406" t="s">
        <v>718</v>
      </c>
      <c r="L429" s="407">
        <v>0.1</v>
      </c>
      <c r="M429" s="371">
        <f>SAUCES!D172</f>
        <v>65027.16346</v>
      </c>
      <c r="N429" s="67">
        <f t="shared" si="45"/>
        <v>6502.716346</v>
      </c>
      <c r="O429" s="324"/>
    </row>
    <row r="430" ht="15.75" customHeight="1">
      <c r="A430" s="322"/>
      <c r="B430" s="338" t="s">
        <v>84</v>
      </c>
      <c r="C430" s="358"/>
      <c r="D430" s="358"/>
      <c r="E430" s="359">
        <f>IF(SUM(E427:E428)=0,"",SUM(E427:E428))</f>
        <v>36540</v>
      </c>
      <c r="F430" s="324"/>
      <c r="J430" s="322"/>
      <c r="K430" s="338" t="s">
        <v>84</v>
      </c>
      <c r="L430" s="358"/>
      <c r="M430" s="358"/>
      <c r="N430" s="359">
        <f>IF(SUM(N427:N428)=0,"",SUM(N427:N428))</f>
        <v>13887</v>
      </c>
      <c r="O430" s="324"/>
    </row>
    <row r="431" ht="15.75" customHeight="1">
      <c r="A431" s="322"/>
      <c r="B431" s="360"/>
      <c r="C431" s="360"/>
      <c r="D431" s="360"/>
      <c r="E431" s="361"/>
      <c r="F431" s="324"/>
      <c r="J431" s="322"/>
      <c r="K431" s="360"/>
      <c r="L431" s="360"/>
      <c r="M431" s="360"/>
      <c r="N431" s="361"/>
      <c r="O431" s="324"/>
    </row>
    <row r="432" ht="15.75" customHeight="1">
      <c r="A432" s="322"/>
      <c r="B432" s="362" t="s">
        <v>972</v>
      </c>
      <c r="C432" s="363"/>
      <c r="D432" s="363"/>
      <c r="E432" s="363"/>
      <c r="F432" s="324"/>
      <c r="J432" s="322"/>
      <c r="K432" s="362" t="s">
        <v>972</v>
      </c>
      <c r="L432" s="363"/>
      <c r="M432" s="363"/>
      <c r="N432" s="363"/>
      <c r="O432" s="324"/>
    </row>
    <row r="433" ht="15.75" customHeight="1">
      <c r="A433" s="322"/>
      <c r="B433" s="365" t="s">
        <v>953</v>
      </c>
      <c r="C433" s="366" t="s">
        <v>3</v>
      </c>
      <c r="D433" s="366" t="s">
        <v>975</v>
      </c>
      <c r="E433" s="367" t="s">
        <v>35</v>
      </c>
      <c r="F433" s="324"/>
      <c r="J433" s="322"/>
      <c r="K433" s="365" t="s">
        <v>953</v>
      </c>
      <c r="L433" s="366" t="s">
        <v>3</v>
      </c>
      <c r="M433" s="366" t="s">
        <v>975</v>
      </c>
      <c r="N433" s="367" t="s">
        <v>35</v>
      </c>
      <c r="O433" s="324"/>
    </row>
    <row r="434" ht="15.75" customHeight="1">
      <c r="A434" s="322"/>
      <c r="B434" s="368"/>
      <c r="C434" s="366"/>
      <c r="D434" s="366"/>
      <c r="E434" s="368"/>
      <c r="F434" s="324"/>
      <c r="J434" s="322"/>
      <c r="K434" s="368"/>
      <c r="L434" s="366"/>
      <c r="M434" s="366"/>
      <c r="N434" s="368"/>
      <c r="O434" s="324"/>
    </row>
    <row r="435" ht="15.75" customHeight="1">
      <c r="A435" s="322"/>
      <c r="B435" s="139" t="s">
        <v>1033</v>
      </c>
      <c r="C435" s="344">
        <v>0.05</v>
      </c>
      <c r="D435" s="343">
        <f>'F&amp;B'!F278</f>
        <v>103500</v>
      </c>
      <c r="E435" s="67">
        <f t="shared" ref="E435:E444" si="46">D435*C435</f>
        <v>5175</v>
      </c>
      <c r="F435" s="324"/>
      <c r="J435" s="322"/>
      <c r="K435" s="139" t="s">
        <v>273</v>
      </c>
      <c r="L435" s="344">
        <v>0.055</v>
      </c>
      <c r="M435" s="343">
        <f>'F&amp;B'!F283</f>
        <v>9000</v>
      </c>
      <c r="N435" s="67">
        <f t="shared" ref="N435:N444" si="47">M435*L435</f>
        <v>495</v>
      </c>
      <c r="O435" s="324"/>
    </row>
    <row r="436" ht="15.75" customHeight="1">
      <c r="A436" s="322"/>
      <c r="B436" s="228" t="s">
        <v>769</v>
      </c>
      <c r="C436" s="405">
        <v>1.0</v>
      </c>
      <c r="D436" s="371">
        <f>SAUCES!D46</f>
        <v>965.0953623</v>
      </c>
      <c r="E436" s="67">
        <f t="shared" si="46"/>
        <v>965.0953623</v>
      </c>
      <c r="F436" s="324"/>
      <c r="J436" s="322"/>
      <c r="K436" s="228" t="s">
        <v>1221</v>
      </c>
      <c r="L436" s="405">
        <v>0.015</v>
      </c>
      <c r="M436" s="371">
        <f>'F&amp;B'!F315</f>
        <v>2970</v>
      </c>
      <c r="N436" s="67">
        <f t="shared" si="47"/>
        <v>44.55</v>
      </c>
      <c r="O436" s="324"/>
    </row>
    <row r="437" ht="15.75" customHeight="1">
      <c r="A437" s="322"/>
      <c r="B437" s="228" t="s">
        <v>1180</v>
      </c>
      <c r="C437" s="398">
        <v>0.03</v>
      </c>
      <c r="D437" s="371">
        <f>'F&amp;B'!F283*4.5</f>
        <v>40500</v>
      </c>
      <c r="E437" s="67">
        <f t="shared" si="46"/>
        <v>1215</v>
      </c>
      <c r="F437" s="324"/>
      <c r="J437" s="322"/>
      <c r="K437" s="228" t="s">
        <v>1224</v>
      </c>
      <c r="L437" s="398">
        <v>0.03</v>
      </c>
      <c r="M437" s="371">
        <f>'F&amp;B'!F44/10</f>
        <v>23400</v>
      </c>
      <c r="N437" s="67">
        <f t="shared" si="47"/>
        <v>702</v>
      </c>
      <c r="O437" s="324"/>
    </row>
    <row r="438" ht="15.75" customHeight="1">
      <c r="A438" s="322"/>
      <c r="B438" s="228" t="s">
        <v>1225</v>
      </c>
      <c r="C438" s="398">
        <v>1.0</v>
      </c>
      <c r="D438" s="371">
        <f>'F&amp;B'!F302</f>
        <v>10800</v>
      </c>
      <c r="E438" s="67">
        <f t="shared" si="46"/>
        <v>10800</v>
      </c>
      <c r="F438" s="324"/>
      <c r="J438" s="322"/>
      <c r="K438" s="228" t="s">
        <v>262</v>
      </c>
      <c r="L438" s="398">
        <v>0.02</v>
      </c>
      <c r="M438" s="371">
        <f>'F&amp;B'!F302</f>
        <v>10800</v>
      </c>
      <c r="N438" s="67">
        <f t="shared" si="47"/>
        <v>216</v>
      </c>
      <c r="O438" s="324"/>
    </row>
    <row r="439" ht="15.75" customHeight="1">
      <c r="A439" s="322"/>
      <c r="B439" s="228" t="s">
        <v>1226</v>
      </c>
      <c r="C439" s="398"/>
      <c r="D439" s="371"/>
      <c r="E439" s="67">
        <f t="shared" si="46"/>
        <v>0</v>
      </c>
      <c r="F439" s="324"/>
      <c r="J439" s="322"/>
      <c r="K439" s="228" t="s">
        <v>1227</v>
      </c>
      <c r="L439" s="398">
        <v>0.125</v>
      </c>
      <c r="M439" s="371">
        <f>'F&amp;B'!F91</f>
        <v>119880</v>
      </c>
      <c r="N439" s="67">
        <f t="shared" si="47"/>
        <v>14985</v>
      </c>
      <c r="O439" s="324"/>
    </row>
    <row r="440" ht="15.75" customHeight="1">
      <c r="A440" s="322"/>
      <c r="B440" s="228" t="s">
        <v>1000</v>
      </c>
      <c r="C440" s="398">
        <v>1.0</v>
      </c>
      <c r="D440" s="371">
        <f>'F&amp;B'!F277</f>
        <v>13500</v>
      </c>
      <c r="E440" s="67">
        <f t="shared" si="46"/>
        <v>13500</v>
      </c>
      <c r="F440" s="324"/>
      <c r="J440" s="322"/>
      <c r="K440" s="228"/>
      <c r="L440" s="398"/>
      <c r="M440" s="371"/>
      <c r="N440" s="67">
        <f t="shared" si="47"/>
        <v>0</v>
      </c>
      <c r="O440" s="324"/>
    </row>
    <row r="441" ht="15.75" customHeight="1">
      <c r="A441" s="322"/>
      <c r="B441" s="348"/>
      <c r="C441" s="346"/>
      <c r="D441" s="373"/>
      <c r="E441" s="67">
        <f t="shared" si="46"/>
        <v>0</v>
      </c>
      <c r="F441" s="324"/>
      <c r="J441" s="322"/>
      <c r="K441" s="348"/>
      <c r="L441" s="346"/>
      <c r="M441" s="373"/>
      <c r="N441" s="67">
        <f t="shared" si="47"/>
        <v>0</v>
      </c>
      <c r="O441" s="324"/>
    </row>
    <row r="442" ht="15.75" customHeight="1">
      <c r="A442" s="322"/>
      <c r="B442" s="348"/>
      <c r="C442" s="346"/>
      <c r="D442" s="373"/>
      <c r="E442" s="67">
        <f t="shared" si="46"/>
        <v>0</v>
      </c>
      <c r="F442" s="324"/>
      <c r="J442" s="322"/>
      <c r="K442" s="348"/>
      <c r="L442" s="346"/>
      <c r="M442" s="373"/>
      <c r="N442" s="67">
        <f t="shared" si="47"/>
        <v>0</v>
      </c>
      <c r="O442" s="324"/>
    </row>
    <row r="443" ht="15.75" customHeight="1">
      <c r="A443" s="322"/>
      <c r="B443" s="348"/>
      <c r="C443" s="346"/>
      <c r="D443" s="373"/>
      <c r="E443" s="67">
        <f t="shared" si="46"/>
        <v>0</v>
      </c>
      <c r="F443" s="324"/>
      <c r="J443" s="322"/>
      <c r="K443" s="348"/>
      <c r="L443" s="346"/>
      <c r="M443" s="373"/>
      <c r="N443" s="67">
        <f t="shared" si="47"/>
        <v>0</v>
      </c>
      <c r="O443" s="324"/>
    </row>
    <row r="444" ht="15.75" customHeight="1">
      <c r="A444" s="322"/>
      <c r="B444" s="354"/>
      <c r="C444" s="355"/>
      <c r="D444" s="356"/>
      <c r="E444" s="67">
        <f t="shared" si="46"/>
        <v>0</v>
      </c>
      <c r="F444" s="324"/>
      <c r="J444" s="322"/>
      <c r="K444" s="354"/>
      <c r="L444" s="355"/>
      <c r="M444" s="356"/>
      <c r="N444" s="67">
        <f t="shared" si="47"/>
        <v>0</v>
      </c>
      <c r="O444" s="324"/>
    </row>
    <row r="445" ht="15.75" customHeight="1">
      <c r="A445" s="322"/>
      <c r="B445" s="362" t="s">
        <v>84</v>
      </c>
      <c r="C445" s="374"/>
      <c r="D445" s="374"/>
      <c r="E445" s="375">
        <f>IF(SUM(E435:E444)=0,"",SUM(E435:E444))</f>
        <v>31655.09536</v>
      </c>
      <c r="F445" s="324"/>
      <c r="J445" s="322"/>
      <c r="K445" s="362" t="s">
        <v>84</v>
      </c>
      <c r="L445" s="374"/>
      <c r="M445" s="374"/>
      <c r="N445" s="375">
        <f>IF(SUM(N435:N444)=0,"",SUM(N435:N444))</f>
        <v>16442.55</v>
      </c>
      <c r="O445" s="324"/>
    </row>
    <row r="446" ht="15.75" customHeight="1">
      <c r="A446" s="322"/>
      <c r="B446" s="360"/>
      <c r="C446" s="360"/>
      <c r="D446" s="360"/>
      <c r="E446" s="361"/>
      <c r="F446" s="324"/>
      <c r="J446" s="322"/>
      <c r="K446" s="360"/>
      <c r="L446" s="360"/>
      <c r="M446" s="360"/>
      <c r="N446" s="361"/>
      <c r="O446" s="324"/>
    </row>
    <row r="447" ht="15.75" customHeight="1">
      <c r="A447" s="322"/>
      <c r="B447" s="34" t="s">
        <v>17</v>
      </c>
      <c r="C447" s="35"/>
      <c r="D447" s="35"/>
      <c r="E447" s="35"/>
      <c r="F447" s="324"/>
      <c r="J447" s="322"/>
      <c r="K447" s="34" t="s">
        <v>17</v>
      </c>
      <c r="L447" s="35"/>
      <c r="M447" s="35"/>
      <c r="N447" s="35"/>
      <c r="O447" s="324"/>
    </row>
    <row r="448" ht="15.75" customHeight="1">
      <c r="A448" s="322"/>
      <c r="B448" s="52" t="s">
        <v>42</v>
      </c>
      <c r="C448" s="54"/>
      <c r="D448" s="54"/>
      <c r="E448" s="56" t="s">
        <v>35</v>
      </c>
      <c r="F448" s="324"/>
      <c r="J448" s="322"/>
      <c r="K448" s="52" t="s">
        <v>42</v>
      </c>
      <c r="L448" s="54"/>
      <c r="M448" s="54"/>
      <c r="N448" s="56" t="s">
        <v>35</v>
      </c>
      <c r="O448" s="324"/>
    </row>
    <row r="449" ht="15.75" customHeight="1">
      <c r="A449" s="322"/>
      <c r="B449" s="60" t="s">
        <v>40</v>
      </c>
      <c r="C449" s="343">
        <f>'UTL COST'!$B$3</f>
        <v>369000</v>
      </c>
      <c r="D449" s="379">
        <f>'UTL COST'!$C$3</f>
        <v>0.0075</v>
      </c>
      <c r="E449" s="67">
        <v>0.0</v>
      </c>
      <c r="F449" s="324"/>
      <c r="J449" s="322"/>
      <c r="K449" s="60" t="s">
        <v>40</v>
      </c>
      <c r="L449" s="343">
        <f>'UTL COST'!$B$3</f>
        <v>369000</v>
      </c>
      <c r="M449" s="379">
        <f>'UTL COST'!$C$3</f>
        <v>0.0075</v>
      </c>
      <c r="N449" s="67">
        <v>0.0</v>
      </c>
      <c r="O449" s="324"/>
    </row>
    <row r="450" ht="15.75" customHeight="1">
      <c r="A450" s="322"/>
      <c r="B450" s="75" t="s">
        <v>51</v>
      </c>
      <c r="C450" s="371" t="str">
        <f>'UTL COST'!$B$4</f>
        <v>#REF!</v>
      </c>
      <c r="D450" s="382">
        <f>'UTL COST'!$C$4</f>
        <v>7000</v>
      </c>
      <c r="E450" s="76" t="str">
        <f>'UTL COST'!$D$4</f>
        <v>#REF!</v>
      </c>
      <c r="F450" s="324"/>
      <c r="J450" s="322"/>
      <c r="K450" s="75" t="s">
        <v>51</v>
      </c>
      <c r="L450" s="371" t="str">
        <f>'UTL COST'!$B$4</f>
        <v>#REF!</v>
      </c>
      <c r="M450" s="382">
        <f>'UTL COST'!$C$4</f>
        <v>7000</v>
      </c>
      <c r="N450" s="76" t="str">
        <f>'UTL COST'!$D$4</f>
        <v>#REF!</v>
      </c>
      <c r="O450" s="324"/>
    </row>
    <row r="451" ht="15.75" customHeight="1">
      <c r="A451" s="322"/>
      <c r="B451" s="75" t="s">
        <v>59</v>
      </c>
      <c r="C451" s="371" t="str">
        <f>'UTL COST'!$B$5</f>
        <v>#REF!</v>
      </c>
      <c r="D451" s="382">
        <f>'UTL COST'!$C$5</f>
        <v>45000</v>
      </c>
      <c r="E451" s="76" t="str">
        <f>'UTL COST'!$D$5</f>
        <v>#REF!</v>
      </c>
      <c r="F451" s="324"/>
      <c r="J451" s="322"/>
      <c r="K451" s="75" t="s">
        <v>59</v>
      </c>
      <c r="L451" s="371" t="str">
        <f>'UTL COST'!$B$5</f>
        <v>#REF!</v>
      </c>
      <c r="M451" s="382">
        <f>'UTL COST'!$C$5</f>
        <v>45000</v>
      </c>
      <c r="N451" s="76" t="str">
        <f>'UTL COST'!$D$5</f>
        <v>#REF!</v>
      </c>
      <c r="O451" s="324"/>
    </row>
    <row r="452" ht="15.75" customHeight="1">
      <c r="A452" s="322"/>
      <c r="B452" s="87" t="s">
        <v>78</v>
      </c>
      <c r="C452" s="371" t="str">
        <f>'UTL COST'!$B$6</f>
        <v>#REF!</v>
      </c>
      <c r="D452" s="383">
        <f>'UTL COST'!$C$6</f>
        <v>525</v>
      </c>
      <c r="E452" s="89">
        <v>0.1</v>
      </c>
      <c r="F452" s="324"/>
      <c r="J452" s="322"/>
      <c r="K452" s="87" t="s">
        <v>78</v>
      </c>
      <c r="L452" s="371" t="str">
        <f>'UTL COST'!$B$6</f>
        <v>#REF!</v>
      </c>
      <c r="M452" s="383">
        <f>'UTL COST'!$C$6</f>
        <v>525</v>
      </c>
      <c r="N452" s="89">
        <v>0.1</v>
      </c>
      <c r="O452" s="324"/>
    </row>
    <row r="453" ht="15.75" customHeight="1">
      <c r="A453" s="322"/>
      <c r="B453" s="34" t="s">
        <v>84</v>
      </c>
      <c r="C453" s="102"/>
      <c r="D453" s="102"/>
      <c r="E453" s="104" t="str">
        <f>IF(SUM(E449:E452)=0,"",SUM(E449:E452))</f>
        <v>#REF!</v>
      </c>
      <c r="F453" s="324"/>
      <c r="J453" s="322"/>
      <c r="K453" s="34" t="s">
        <v>84</v>
      </c>
      <c r="L453" s="102"/>
      <c r="M453" s="102"/>
      <c r="N453" s="104" t="str">
        <f>IF(SUM(N449:N452)=0,"",SUM(N449:N452))</f>
        <v>#REF!</v>
      </c>
      <c r="O453" s="324"/>
    </row>
    <row r="454" ht="15.75" customHeight="1">
      <c r="A454" s="322"/>
      <c r="B454" s="360"/>
      <c r="C454" s="360"/>
      <c r="D454" s="360"/>
      <c r="E454" s="361"/>
      <c r="F454" s="324"/>
      <c r="J454" s="322"/>
      <c r="K454" s="360"/>
      <c r="L454" s="360"/>
      <c r="M454" s="360"/>
      <c r="N454" s="361"/>
      <c r="O454" s="324"/>
    </row>
    <row r="455" ht="15.75" customHeight="1"/>
    <row r="456" ht="15.75" customHeight="1"/>
    <row r="457" ht="15.75" customHeight="1">
      <c r="A457" s="322"/>
      <c r="B457" s="322"/>
      <c r="C457" s="322"/>
      <c r="D457" s="322"/>
      <c r="E457" s="323"/>
      <c r="F457" s="324"/>
      <c r="G457" s="324"/>
      <c r="J457" s="322"/>
      <c r="K457" s="322"/>
      <c r="L457" s="322"/>
      <c r="M457" s="322"/>
      <c r="N457" s="323"/>
      <c r="O457" s="324"/>
    </row>
    <row r="458" ht="15.75" customHeight="1">
      <c r="A458" s="322"/>
      <c r="B458" s="325"/>
      <c r="C458" s="322"/>
      <c r="D458" s="322"/>
      <c r="E458" s="323"/>
      <c r="F458" s="326"/>
      <c r="G458" s="326"/>
      <c r="J458" s="322"/>
      <c r="K458" s="325"/>
      <c r="L458" s="322"/>
      <c r="M458" s="322"/>
      <c r="N458" s="323"/>
      <c r="O458" s="326"/>
    </row>
    <row r="459" ht="15.75" customHeight="1">
      <c r="A459" s="322"/>
      <c r="B459" s="327" t="s">
        <v>931</v>
      </c>
      <c r="C459" s="330" t="s">
        <v>1230</v>
      </c>
      <c r="D459" s="329"/>
      <c r="E459" s="323"/>
      <c r="F459" s="326"/>
      <c r="G459" s="326"/>
      <c r="J459" s="322"/>
      <c r="K459" s="327" t="s">
        <v>931</v>
      </c>
      <c r="L459" s="330" t="s">
        <v>264</v>
      </c>
      <c r="M459" s="329"/>
      <c r="N459" s="323"/>
      <c r="O459" s="326"/>
    </row>
    <row r="460" ht="15.75" customHeight="1">
      <c r="A460" s="322"/>
      <c r="B460" s="325"/>
      <c r="C460" s="322"/>
      <c r="D460" s="322"/>
      <c r="E460" s="323"/>
      <c r="F460" s="326"/>
      <c r="G460" s="326"/>
      <c r="J460" s="322"/>
      <c r="K460" s="325"/>
      <c r="L460" s="322"/>
      <c r="M460" s="322"/>
      <c r="N460" s="323"/>
      <c r="O460" s="326"/>
    </row>
    <row r="461" ht="15.75" customHeight="1">
      <c r="A461" s="322"/>
      <c r="B461" s="327" t="s">
        <v>935</v>
      </c>
      <c r="C461" s="331">
        <v>140000.0</v>
      </c>
      <c r="D461" s="329"/>
      <c r="E461" s="323"/>
      <c r="F461" s="326"/>
      <c r="G461" s="326"/>
      <c r="J461" s="322"/>
      <c r="K461" s="327" t="s">
        <v>935</v>
      </c>
      <c r="L461" s="331">
        <f>N461*90000</f>
        <v>1350000</v>
      </c>
      <c r="M461" s="329"/>
      <c r="N461" s="394">
        <v>15.0</v>
      </c>
      <c r="O461" s="326"/>
    </row>
    <row r="462" ht="15.75" customHeight="1">
      <c r="A462" s="322"/>
      <c r="B462" s="327"/>
      <c r="C462" s="332"/>
      <c r="D462" s="332"/>
      <c r="E462" s="323"/>
      <c r="F462" s="326"/>
      <c r="G462" s="326"/>
      <c r="J462" s="322"/>
      <c r="K462" s="327"/>
      <c r="L462" s="332"/>
      <c r="M462" s="332"/>
      <c r="N462" s="323"/>
      <c r="O462" s="326"/>
    </row>
    <row r="463" ht="15.75" customHeight="1">
      <c r="A463" s="322"/>
      <c r="B463" s="327" t="s">
        <v>939</v>
      </c>
      <c r="C463" s="333" t="str">
        <f>IF(SUM(E475,E490,E498)=0,"",SUM(E475,E490,E498))</f>
        <v>#REF!</v>
      </c>
      <c r="D463" s="321"/>
      <c r="E463" s="323" t="str">
        <f>C463/90000</f>
        <v>#REF!</v>
      </c>
      <c r="F463" s="326"/>
      <c r="G463" s="326"/>
      <c r="J463" s="322"/>
      <c r="K463" s="327" t="s">
        <v>939</v>
      </c>
      <c r="L463" s="333" t="str">
        <f>IF(SUM(N475,N490,N498)=0,"",SUM(N475,N490,N498))</f>
        <v>#REF!</v>
      </c>
      <c r="M463" s="321"/>
      <c r="N463" s="323" t="str">
        <f>L463/90000</f>
        <v>#REF!</v>
      </c>
      <c r="O463" s="326"/>
    </row>
    <row r="464" ht="15.75" customHeight="1">
      <c r="A464" s="322"/>
      <c r="B464" s="327"/>
      <c r="C464" s="334"/>
      <c r="D464" s="334"/>
      <c r="E464" s="323"/>
      <c r="F464" s="326"/>
      <c r="G464" s="326"/>
      <c r="J464" s="322"/>
      <c r="K464" s="327"/>
      <c r="L464" s="334"/>
      <c r="M464" s="334"/>
      <c r="N464" s="323"/>
      <c r="O464" s="326"/>
    </row>
    <row r="465" ht="15.75" customHeight="1">
      <c r="A465" s="322"/>
      <c r="B465" s="327" t="s">
        <v>946</v>
      </c>
      <c r="C465" s="335" t="str">
        <f>IF(C463="","",IF(ISBLANK(C461),"",C463/C461))</f>
        <v>#REF!</v>
      </c>
      <c r="D465" s="321"/>
      <c r="E465" s="323"/>
      <c r="F465" s="326"/>
      <c r="G465" s="326"/>
      <c r="J465" s="322"/>
      <c r="K465" s="327" t="s">
        <v>946</v>
      </c>
      <c r="L465" s="335" t="str">
        <f>IF(L463="","",IF(ISBLANK(L461),"",L463/L461))</f>
        <v>#REF!</v>
      </c>
      <c r="M465" s="321"/>
      <c r="N465" s="323"/>
      <c r="O465" s="326"/>
    </row>
    <row r="466" ht="15.75" customHeight="1">
      <c r="A466" s="322"/>
      <c r="B466" s="327"/>
      <c r="C466" s="334"/>
      <c r="D466" s="334"/>
      <c r="E466" s="323"/>
      <c r="F466" s="326"/>
      <c r="G466" s="326"/>
      <c r="J466" s="322"/>
      <c r="K466" s="327"/>
      <c r="L466" s="334"/>
      <c r="M466" s="334"/>
      <c r="N466" s="323"/>
      <c r="O466" s="326"/>
    </row>
    <row r="467" ht="15.75" customHeight="1">
      <c r="A467" s="322"/>
      <c r="B467" s="327" t="s">
        <v>950</v>
      </c>
      <c r="C467" s="333" t="str">
        <f>C461-C463</f>
        <v>#REF!</v>
      </c>
      <c r="D467" s="321"/>
      <c r="E467" s="323"/>
      <c r="F467" s="326"/>
      <c r="G467" s="326"/>
      <c r="J467" s="322"/>
      <c r="K467" s="327" t="s">
        <v>950</v>
      </c>
      <c r="L467" s="333" t="str">
        <f>L461-L463</f>
        <v>#REF!</v>
      </c>
      <c r="M467" s="321"/>
      <c r="N467" s="323"/>
      <c r="O467" s="326"/>
    </row>
    <row r="468" ht="15.75" customHeight="1">
      <c r="A468" s="322"/>
      <c r="B468" s="322"/>
      <c r="C468" s="322"/>
      <c r="D468" s="322"/>
      <c r="E468" s="323"/>
      <c r="F468" s="324"/>
      <c r="G468" s="324"/>
      <c r="J468" s="322"/>
      <c r="K468" s="322"/>
      <c r="L468" s="322"/>
      <c r="M468" s="322"/>
      <c r="N468" s="323"/>
      <c r="O468" s="324"/>
    </row>
    <row r="469" ht="15.75" customHeight="1">
      <c r="A469" s="322"/>
      <c r="B469" s="322"/>
      <c r="C469" s="322"/>
      <c r="D469" s="322"/>
      <c r="E469" s="337"/>
      <c r="F469" s="324"/>
      <c r="G469" s="324"/>
      <c r="J469" s="322"/>
      <c r="K469" s="322"/>
      <c r="L469" s="322"/>
      <c r="M469" s="322"/>
      <c r="N469" s="337"/>
      <c r="O469" s="324"/>
    </row>
    <row r="470" ht="15.75" customHeight="1">
      <c r="A470" s="322"/>
      <c r="B470" s="338" t="s">
        <v>951</v>
      </c>
      <c r="C470" s="339"/>
      <c r="D470" s="339"/>
      <c r="E470" s="339"/>
      <c r="F470" s="324"/>
      <c r="G470" s="324"/>
      <c r="J470" s="322"/>
      <c r="K470" s="338" t="s">
        <v>951</v>
      </c>
      <c r="L470" s="339"/>
      <c r="M470" s="339"/>
      <c r="N470" s="339"/>
      <c r="O470" s="324"/>
    </row>
    <row r="471" ht="15.75" customHeight="1">
      <c r="A471" s="322"/>
      <c r="B471" s="340" t="s">
        <v>953</v>
      </c>
      <c r="C471" s="341" t="s">
        <v>954</v>
      </c>
      <c r="D471" s="341" t="s">
        <v>955</v>
      </c>
      <c r="E471" s="341" t="s">
        <v>35</v>
      </c>
      <c r="F471" s="324"/>
      <c r="G471" s="324"/>
      <c r="J471" s="322"/>
      <c r="K471" s="340" t="s">
        <v>953</v>
      </c>
      <c r="L471" s="341" t="s">
        <v>954</v>
      </c>
      <c r="M471" s="341" t="s">
        <v>955</v>
      </c>
      <c r="N471" s="341" t="s">
        <v>35</v>
      </c>
      <c r="O471" s="324"/>
    </row>
    <row r="472" ht="15.75" customHeight="1">
      <c r="A472" s="322"/>
      <c r="B472" s="60"/>
      <c r="C472" s="342"/>
      <c r="D472" s="343"/>
      <c r="E472" s="67"/>
      <c r="F472" s="324"/>
      <c r="G472" s="324"/>
      <c r="J472" s="322"/>
      <c r="K472" s="139" t="s">
        <v>1211</v>
      </c>
      <c r="L472" s="344">
        <v>1.0</v>
      </c>
      <c r="M472" s="343">
        <f>'F&amp;B'!F318</f>
        <v>9000</v>
      </c>
      <c r="N472" s="67">
        <f t="shared" ref="N472:N474" si="48">IF(OR(ISBLANK(L472),ISBLANK(M472)),"",M472*L472)</f>
        <v>9000</v>
      </c>
      <c r="O472" s="324"/>
    </row>
    <row r="473" ht="15.75" customHeight="1">
      <c r="A473" s="322"/>
      <c r="B473" s="75" t="s">
        <v>1109</v>
      </c>
      <c r="C473" s="370">
        <v>1.0</v>
      </c>
      <c r="D473" s="371">
        <f>SAUCES!$L$133</f>
        <v>1303.660727</v>
      </c>
      <c r="E473" s="67">
        <f t="shared" ref="E473:E474" si="49">IF(OR(ISBLANK(C473),ISBLANK(D473)),"",D473*C473)</f>
        <v>1303.660727</v>
      </c>
      <c r="F473" s="324"/>
      <c r="G473" s="324"/>
      <c r="J473" s="322"/>
      <c r="K473" s="228" t="s">
        <v>714</v>
      </c>
      <c r="L473" s="405">
        <v>0.03</v>
      </c>
      <c r="M473" s="371">
        <f>'F&amp;B'!F309</f>
        <v>22500</v>
      </c>
      <c r="N473" s="67">
        <f t="shared" si="48"/>
        <v>675</v>
      </c>
      <c r="O473" s="324"/>
    </row>
    <row r="474" ht="15.75" customHeight="1">
      <c r="A474" s="322"/>
      <c r="B474" s="354"/>
      <c r="C474" s="355"/>
      <c r="D474" s="356"/>
      <c r="E474" s="67" t="str">
        <f t="shared" si="49"/>
        <v/>
      </c>
      <c r="F474" s="324"/>
      <c r="G474" s="324"/>
      <c r="J474" s="322"/>
      <c r="K474" s="350" t="s">
        <v>1231</v>
      </c>
      <c r="L474" s="351">
        <v>0.2</v>
      </c>
      <c r="M474" s="371">
        <f>'F&amp;B'!F289</f>
        <v>5400</v>
      </c>
      <c r="N474" s="67">
        <f t="shared" si="48"/>
        <v>1080</v>
      </c>
      <c r="O474" s="324"/>
    </row>
    <row r="475" ht="15.75" customHeight="1">
      <c r="A475" s="322"/>
      <c r="B475" s="338" t="s">
        <v>84</v>
      </c>
      <c r="C475" s="358"/>
      <c r="D475" s="358"/>
      <c r="E475" s="359">
        <f>IF(SUM(E472:E474)=0,"",SUM(E472:E474))</f>
        <v>1303.660727</v>
      </c>
      <c r="F475" s="324"/>
      <c r="G475" s="324"/>
      <c r="J475" s="322"/>
      <c r="K475" s="338" t="s">
        <v>84</v>
      </c>
      <c r="L475" s="358"/>
      <c r="M475" s="358"/>
      <c r="N475" s="359">
        <f>IF(SUM(N472:N474)=0,"",SUM(N472:N474))</f>
        <v>10755</v>
      </c>
      <c r="O475" s="324"/>
    </row>
    <row r="476" ht="15.75" customHeight="1">
      <c r="A476" s="322"/>
      <c r="B476" s="360"/>
      <c r="C476" s="360"/>
      <c r="D476" s="360"/>
      <c r="E476" s="361"/>
      <c r="F476" s="324"/>
      <c r="G476" s="324"/>
      <c r="J476" s="322"/>
      <c r="K476" s="360"/>
      <c r="L476" s="360"/>
      <c r="M476" s="360"/>
      <c r="N476" s="361"/>
      <c r="O476" s="324"/>
    </row>
    <row r="477" ht="15.75" customHeight="1">
      <c r="A477" s="322"/>
      <c r="B477" s="362" t="s">
        <v>972</v>
      </c>
      <c r="C477" s="363"/>
      <c r="D477" s="363"/>
      <c r="E477" s="363"/>
      <c r="F477" s="324"/>
      <c r="G477" s="324"/>
      <c r="J477" s="322"/>
      <c r="K477" s="362" t="s">
        <v>972</v>
      </c>
      <c r="L477" s="363"/>
      <c r="M477" s="363"/>
      <c r="N477" s="363"/>
      <c r="O477" s="324"/>
    </row>
    <row r="478" ht="15.75" customHeight="1">
      <c r="A478" s="322"/>
      <c r="B478" s="365" t="s">
        <v>953</v>
      </c>
      <c r="C478" s="366" t="s">
        <v>3</v>
      </c>
      <c r="D478" s="366" t="s">
        <v>975</v>
      </c>
      <c r="E478" s="367" t="s">
        <v>35</v>
      </c>
      <c r="F478" s="324"/>
      <c r="G478" s="324"/>
      <c r="J478" s="322"/>
      <c r="K478" s="365" t="s">
        <v>953</v>
      </c>
      <c r="L478" s="366" t="s">
        <v>3</v>
      </c>
      <c r="M478" s="366" t="s">
        <v>975</v>
      </c>
      <c r="N478" s="367" t="s">
        <v>35</v>
      </c>
      <c r="O478" s="324"/>
    </row>
    <row r="479" ht="15.75" customHeight="1">
      <c r="A479" s="322"/>
      <c r="B479" s="368"/>
      <c r="C479" s="366"/>
      <c r="D479" s="366"/>
      <c r="E479" s="368"/>
      <c r="F479" s="324"/>
      <c r="G479" s="324"/>
      <c r="J479" s="322"/>
      <c r="K479" s="368"/>
      <c r="L479" s="366"/>
      <c r="M479" s="366"/>
      <c r="N479" s="368"/>
      <c r="O479" s="324"/>
    </row>
    <row r="480" ht="15.75" customHeight="1">
      <c r="A480" s="322"/>
      <c r="B480" s="60" t="s">
        <v>1098</v>
      </c>
      <c r="C480" s="342">
        <v>1.0</v>
      </c>
      <c r="D480" s="343">
        <f>'F&amp;B'!$F$280</f>
        <v>2970</v>
      </c>
      <c r="E480" s="67">
        <f t="shared" ref="E480:E482" si="50">D480*C480</f>
        <v>2970</v>
      </c>
      <c r="F480" s="324"/>
      <c r="G480" s="324"/>
      <c r="J480" s="322"/>
      <c r="K480" s="139" t="s">
        <v>1233</v>
      </c>
      <c r="L480" s="344">
        <v>0.05</v>
      </c>
      <c r="M480" s="343">
        <f>'F&amp;B'!F78</f>
        <v>117000</v>
      </c>
      <c r="N480" s="67">
        <f t="shared" ref="N480:N489" si="51">M480*L480</f>
        <v>5850</v>
      </c>
      <c r="O480" s="324"/>
    </row>
    <row r="481" ht="15.75" customHeight="1">
      <c r="A481" s="322"/>
      <c r="B481" s="75" t="s">
        <v>1033</v>
      </c>
      <c r="C481" s="370">
        <v>0.05</v>
      </c>
      <c r="D481" s="371">
        <f>'F&amp;B'!$F$278</f>
        <v>103500</v>
      </c>
      <c r="E481" s="67">
        <f t="shared" si="50"/>
        <v>5175</v>
      </c>
      <c r="F481" s="324"/>
      <c r="G481" s="324"/>
      <c r="J481" s="322"/>
      <c r="K481" s="228" t="s">
        <v>1113</v>
      </c>
      <c r="L481" s="405">
        <v>0.03</v>
      </c>
      <c r="M481" s="371">
        <f>'F&amp;B'!F146</f>
        <v>65250</v>
      </c>
      <c r="N481" s="67">
        <f t="shared" si="51"/>
        <v>1957.5</v>
      </c>
      <c r="O481" s="324"/>
    </row>
    <row r="482" ht="15.75" customHeight="1">
      <c r="A482" s="322"/>
      <c r="B482" s="75" t="s">
        <v>273</v>
      </c>
      <c r="C482" s="370">
        <v>0.03</v>
      </c>
      <c r="D482" s="371">
        <f>'F&amp;B'!$F$283</f>
        <v>9000</v>
      </c>
      <c r="E482" s="67">
        <f t="shared" si="50"/>
        <v>270</v>
      </c>
      <c r="F482" s="324"/>
      <c r="G482" s="324"/>
      <c r="J482" s="322"/>
      <c r="K482" s="228" t="s">
        <v>1234</v>
      </c>
      <c r="L482" s="405">
        <v>0.03</v>
      </c>
      <c r="M482" s="371">
        <f>'F&amp;B'!F151</f>
        <v>99000</v>
      </c>
      <c r="N482" s="67">
        <f t="shared" si="51"/>
        <v>2970</v>
      </c>
      <c r="O482" s="324"/>
    </row>
    <row r="483" ht="15.75" customHeight="1">
      <c r="A483" s="322"/>
      <c r="B483" s="75" t="s">
        <v>769</v>
      </c>
      <c r="C483" s="346">
        <v>0.06</v>
      </c>
      <c r="D483" s="371">
        <f>SAUCES!$D$36</f>
        <v>21446.56361</v>
      </c>
      <c r="E483" s="67"/>
      <c r="F483" s="324"/>
      <c r="G483" s="324"/>
      <c r="J483" s="322"/>
      <c r="K483" s="228" t="s">
        <v>703</v>
      </c>
      <c r="L483" s="398">
        <v>0.14</v>
      </c>
      <c r="M483" s="371">
        <f>'F&amp;B'!F229</f>
        <v>81000</v>
      </c>
      <c r="N483" s="67">
        <f t="shared" si="51"/>
        <v>11340</v>
      </c>
      <c r="O483" s="324"/>
    </row>
    <row r="484" ht="15.75" customHeight="1">
      <c r="A484" s="322"/>
      <c r="B484" s="228" t="s">
        <v>1174</v>
      </c>
      <c r="C484" s="405">
        <v>0.1</v>
      </c>
      <c r="D484" s="371">
        <f>0.67*90000</f>
        <v>60300</v>
      </c>
      <c r="E484" s="67">
        <f t="shared" ref="E484:E489" si="52">D484*C484</f>
        <v>6030</v>
      </c>
      <c r="F484" s="324"/>
      <c r="G484" s="324"/>
      <c r="J484" s="322"/>
      <c r="K484" s="228" t="s">
        <v>1235</v>
      </c>
      <c r="L484" s="405">
        <v>1.0</v>
      </c>
      <c r="M484" s="371">
        <f>SAUCES!K16</f>
        <v>22000</v>
      </c>
      <c r="N484" s="67">
        <f t="shared" si="51"/>
        <v>22000</v>
      </c>
      <c r="O484" s="324"/>
    </row>
    <row r="485" ht="15.75" customHeight="1">
      <c r="A485" s="322"/>
      <c r="B485" s="75" t="s">
        <v>1114</v>
      </c>
      <c r="C485" s="398">
        <v>0.05</v>
      </c>
      <c r="D485" s="371">
        <f>'F&amp;B'!$F$300</f>
        <v>13500</v>
      </c>
      <c r="E485" s="67">
        <f t="shared" si="52"/>
        <v>675</v>
      </c>
      <c r="F485" s="324"/>
      <c r="G485" s="324"/>
      <c r="J485" s="322"/>
      <c r="K485" s="75"/>
      <c r="L485" s="398"/>
      <c r="M485" s="371"/>
      <c r="N485" s="67">
        <f t="shared" si="51"/>
        <v>0</v>
      </c>
      <c r="O485" s="324"/>
    </row>
    <row r="486" ht="15.75" customHeight="1">
      <c r="A486" s="322"/>
      <c r="B486" s="348"/>
      <c r="C486" s="346"/>
      <c r="D486" s="373"/>
      <c r="E486" s="67">
        <f t="shared" si="52"/>
        <v>0</v>
      </c>
      <c r="F486" s="324"/>
      <c r="G486" s="324"/>
      <c r="J486" s="322"/>
      <c r="K486" s="348"/>
      <c r="L486" s="346"/>
      <c r="M486" s="373"/>
      <c r="N486" s="67">
        <f t="shared" si="51"/>
        <v>0</v>
      </c>
      <c r="O486" s="324"/>
    </row>
    <row r="487" ht="15.75" customHeight="1">
      <c r="A487" s="322"/>
      <c r="B487" s="348"/>
      <c r="C487" s="346"/>
      <c r="D487" s="373"/>
      <c r="E487" s="67">
        <f t="shared" si="52"/>
        <v>0</v>
      </c>
      <c r="F487" s="324"/>
      <c r="G487" s="324"/>
      <c r="J487" s="322"/>
      <c r="K487" s="348"/>
      <c r="L487" s="346"/>
      <c r="M487" s="373"/>
      <c r="N487" s="67">
        <f t="shared" si="51"/>
        <v>0</v>
      </c>
      <c r="O487" s="324"/>
    </row>
    <row r="488" ht="15.75" customHeight="1">
      <c r="A488" s="322"/>
      <c r="B488" s="348"/>
      <c r="C488" s="346"/>
      <c r="D488" s="373"/>
      <c r="E488" s="67">
        <f t="shared" si="52"/>
        <v>0</v>
      </c>
      <c r="F488" s="324"/>
      <c r="G488" s="324"/>
      <c r="J488" s="322"/>
      <c r="K488" s="348"/>
      <c r="L488" s="346"/>
      <c r="M488" s="373"/>
      <c r="N488" s="67">
        <f t="shared" si="51"/>
        <v>0</v>
      </c>
      <c r="O488" s="324"/>
    </row>
    <row r="489" ht="15.75" customHeight="1">
      <c r="A489" s="322"/>
      <c r="B489" s="354"/>
      <c r="C489" s="355"/>
      <c r="D489" s="356"/>
      <c r="E489" s="67">
        <f t="shared" si="52"/>
        <v>0</v>
      </c>
      <c r="F489" s="324"/>
      <c r="G489" s="324"/>
      <c r="J489" s="322"/>
      <c r="K489" s="354"/>
      <c r="L489" s="355"/>
      <c r="M489" s="356"/>
      <c r="N489" s="67">
        <f t="shared" si="51"/>
        <v>0</v>
      </c>
      <c r="O489" s="324"/>
    </row>
    <row r="490" ht="15.75" customHeight="1">
      <c r="A490" s="322"/>
      <c r="B490" s="362" t="s">
        <v>84</v>
      </c>
      <c r="C490" s="374"/>
      <c r="D490" s="374"/>
      <c r="E490" s="375">
        <f>IF(SUM(E480:E489)=0,"",SUM(E480:E489))</f>
        <v>15120</v>
      </c>
      <c r="F490" s="324"/>
      <c r="G490" s="324"/>
      <c r="J490" s="322"/>
      <c r="K490" s="362" t="s">
        <v>84</v>
      </c>
      <c r="L490" s="374"/>
      <c r="M490" s="374"/>
      <c r="N490" s="375">
        <f>IF(SUM(N480:N489)=0,"",SUM(N480:N489))</f>
        <v>44117.5</v>
      </c>
      <c r="O490" s="324"/>
    </row>
    <row r="491" ht="15.75" customHeight="1">
      <c r="A491" s="322"/>
      <c r="B491" s="360"/>
      <c r="C491" s="360"/>
      <c r="D491" s="360"/>
      <c r="E491" s="361"/>
      <c r="F491" s="324"/>
      <c r="G491" s="324"/>
      <c r="J491" s="322"/>
      <c r="K491" s="360"/>
      <c r="L491" s="360"/>
      <c r="M491" s="360"/>
      <c r="N491" s="361"/>
      <c r="O491" s="324"/>
    </row>
    <row r="492" ht="15.75" customHeight="1">
      <c r="A492" s="322"/>
      <c r="B492" s="34" t="s">
        <v>17</v>
      </c>
      <c r="C492" s="35"/>
      <c r="D492" s="35"/>
      <c r="E492" s="35"/>
      <c r="F492" s="324"/>
      <c r="G492" s="324"/>
      <c r="J492" s="322"/>
      <c r="K492" s="34" t="s">
        <v>17</v>
      </c>
      <c r="L492" s="35"/>
      <c r="M492" s="35"/>
      <c r="N492" s="35"/>
      <c r="O492" s="324"/>
    </row>
    <row r="493" ht="15.75" customHeight="1">
      <c r="A493" s="322"/>
      <c r="B493" s="52" t="s">
        <v>42</v>
      </c>
      <c r="C493" s="54"/>
      <c r="D493" s="54"/>
      <c r="E493" s="56" t="s">
        <v>35</v>
      </c>
      <c r="F493" s="324"/>
      <c r="G493" s="324"/>
      <c r="J493" s="322"/>
      <c r="K493" s="52" t="s">
        <v>42</v>
      </c>
      <c r="L493" s="54"/>
      <c r="M493" s="54"/>
      <c r="N493" s="56" t="s">
        <v>35</v>
      </c>
      <c r="O493" s="324"/>
    </row>
    <row r="494" ht="15.75" customHeight="1">
      <c r="A494" s="322"/>
      <c r="B494" s="60" t="s">
        <v>40</v>
      </c>
      <c r="C494" s="343">
        <f>'UTL COST'!$B$3</f>
        <v>369000</v>
      </c>
      <c r="D494" s="379">
        <f>'UTL COST'!$C$3</f>
        <v>0.0075</v>
      </c>
      <c r="E494" s="67">
        <v>0.0</v>
      </c>
      <c r="F494" s="324"/>
      <c r="G494" s="324"/>
      <c r="J494" s="322"/>
      <c r="K494" s="60" t="s">
        <v>40</v>
      </c>
      <c r="L494" s="343">
        <f>'UTL COST'!$B$3</f>
        <v>369000</v>
      </c>
      <c r="M494" s="379">
        <f>'UTL COST'!$C$3</f>
        <v>0.0075</v>
      </c>
      <c r="N494" s="67">
        <v>0.0</v>
      </c>
      <c r="O494" s="324"/>
    </row>
    <row r="495" ht="15.75" customHeight="1">
      <c r="A495" s="322"/>
      <c r="B495" s="75" t="s">
        <v>51</v>
      </c>
      <c r="C495" s="371" t="str">
        <f>'UTL COST'!$B$4</f>
        <v>#REF!</v>
      </c>
      <c r="D495" s="382">
        <f>'UTL COST'!$C$4</f>
        <v>7000</v>
      </c>
      <c r="E495" s="76">
        <v>0.0</v>
      </c>
      <c r="F495" s="324"/>
      <c r="G495" s="324"/>
      <c r="J495" s="322"/>
      <c r="K495" s="75" t="s">
        <v>51</v>
      </c>
      <c r="L495" s="371" t="str">
        <f>'UTL COST'!$B$4</f>
        <v>#REF!</v>
      </c>
      <c r="M495" s="382">
        <f>'UTL COST'!$C$4</f>
        <v>7000</v>
      </c>
      <c r="N495" s="76">
        <v>0.0</v>
      </c>
      <c r="O495" s="324"/>
    </row>
    <row r="496" ht="15.75" customHeight="1">
      <c r="A496" s="322"/>
      <c r="B496" s="75" t="s">
        <v>59</v>
      </c>
      <c r="C496" s="371" t="str">
        <f>'UTL COST'!$B$5</f>
        <v>#REF!</v>
      </c>
      <c r="D496" s="382">
        <f>'UTL COST'!$C$5</f>
        <v>45000</v>
      </c>
      <c r="E496" s="76" t="str">
        <f>'UTL COST'!$D$5</f>
        <v>#REF!</v>
      </c>
      <c r="F496" s="324"/>
      <c r="G496" s="324"/>
      <c r="J496" s="322"/>
      <c r="K496" s="75" t="s">
        <v>59</v>
      </c>
      <c r="L496" s="371" t="str">
        <f>'UTL COST'!$B$5</f>
        <v>#REF!</v>
      </c>
      <c r="M496" s="382">
        <f>'UTL COST'!$C$5</f>
        <v>45000</v>
      </c>
      <c r="N496" s="76" t="str">
        <f>'UTL COST'!$D$5</f>
        <v>#REF!</v>
      </c>
      <c r="O496" s="324"/>
    </row>
    <row r="497" ht="15.75" customHeight="1">
      <c r="A497" s="322"/>
      <c r="B497" s="87" t="s">
        <v>78</v>
      </c>
      <c r="C497" s="371" t="str">
        <f>'UTL COST'!$B$6</f>
        <v>#REF!</v>
      </c>
      <c r="D497" s="383">
        <f>'UTL COST'!$C$6</f>
        <v>525</v>
      </c>
      <c r="E497" s="89">
        <v>0.1</v>
      </c>
      <c r="F497" s="324"/>
      <c r="G497" s="324"/>
      <c r="J497" s="322"/>
      <c r="K497" s="87" t="s">
        <v>78</v>
      </c>
      <c r="L497" s="371" t="str">
        <f>'UTL COST'!$B$6</f>
        <v>#REF!</v>
      </c>
      <c r="M497" s="383">
        <f>'UTL COST'!$C$6</f>
        <v>525</v>
      </c>
      <c r="N497" s="89">
        <v>0.1</v>
      </c>
      <c r="O497" s="324"/>
    </row>
    <row r="498" ht="15.75" customHeight="1">
      <c r="A498" s="322"/>
      <c r="B498" s="34" t="s">
        <v>84</v>
      </c>
      <c r="C498" s="102"/>
      <c r="D498" s="102"/>
      <c r="E498" s="104" t="str">
        <f>IF(SUM(E494:E497)=0,"",SUM(E494:E497))</f>
        <v>#REF!</v>
      </c>
      <c r="F498" s="324"/>
      <c r="G498" s="324"/>
      <c r="J498" s="322"/>
      <c r="K498" s="34" t="s">
        <v>84</v>
      </c>
      <c r="L498" s="102"/>
      <c r="M498" s="102"/>
      <c r="N498" s="104" t="str">
        <f>IF(SUM(N494:N497)=0,"",SUM(N494:N497))</f>
        <v>#REF!</v>
      </c>
      <c r="O498" s="324"/>
    </row>
    <row r="499" ht="15.75" customHeight="1">
      <c r="A499" s="322"/>
      <c r="B499" s="360"/>
      <c r="C499" s="360"/>
      <c r="D499" s="360"/>
      <c r="E499" s="361"/>
      <c r="F499" s="324"/>
      <c r="G499" s="324"/>
      <c r="J499" s="322"/>
      <c r="K499" s="360"/>
      <c r="L499" s="360"/>
      <c r="M499" s="360"/>
      <c r="N499" s="361"/>
      <c r="O499" s="324"/>
    </row>
    <row r="500" ht="15.75" customHeight="1"/>
    <row r="501" ht="15.75" customHeight="1"/>
    <row r="502" ht="15.75" customHeight="1"/>
    <row r="503" ht="15.75" customHeight="1">
      <c r="A503" s="322"/>
      <c r="B503" s="322"/>
      <c r="C503" s="322"/>
      <c r="D503" s="322"/>
      <c r="E503" s="323"/>
      <c r="F503" s="324"/>
      <c r="G503" s="324"/>
      <c r="J503" s="447"/>
      <c r="K503" s="447"/>
      <c r="L503" s="447"/>
      <c r="M503" s="447"/>
      <c r="N503" s="448"/>
      <c r="O503" s="449"/>
    </row>
    <row r="504" ht="15.75" customHeight="1">
      <c r="A504" s="322"/>
      <c r="B504" s="325"/>
      <c r="C504" s="322"/>
      <c r="D504" s="322"/>
      <c r="E504" s="323"/>
      <c r="F504" s="326"/>
      <c r="G504" s="326"/>
      <c r="J504" s="322"/>
      <c r="K504" s="325"/>
      <c r="L504" s="322"/>
      <c r="M504" s="322"/>
      <c r="N504" s="323"/>
      <c r="O504" s="326"/>
    </row>
    <row r="505" ht="15.75" customHeight="1">
      <c r="A505" s="322"/>
      <c r="B505" s="327" t="s">
        <v>931</v>
      </c>
      <c r="C505" s="330" t="s">
        <v>287</v>
      </c>
      <c r="D505" s="329"/>
      <c r="E505" s="323"/>
      <c r="F505" s="326"/>
      <c r="G505" s="326"/>
      <c r="J505" s="322"/>
      <c r="K505" s="327" t="s">
        <v>931</v>
      </c>
      <c r="L505" s="330" t="s">
        <v>1237</v>
      </c>
      <c r="M505" s="329"/>
      <c r="N505" s="323"/>
      <c r="O505" s="326"/>
    </row>
    <row r="506" ht="15.75" customHeight="1">
      <c r="A506" s="322"/>
      <c r="B506" s="325"/>
      <c r="C506" s="322"/>
      <c r="D506" s="322"/>
      <c r="E506" s="323"/>
      <c r="F506" s="326"/>
      <c r="G506" s="326"/>
      <c r="J506" s="322"/>
      <c r="K506" s="325"/>
      <c r="L506" s="322"/>
      <c r="M506" s="322"/>
      <c r="N506" s="323"/>
      <c r="O506" s="326"/>
    </row>
    <row r="507" ht="15.75" customHeight="1">
      <c r="A507" s="322"/>
      <c r="B507" s="327" t="s">
        <v>935</v>
      </c>
      <c r="C507" s="331">
        <f>E507*90000</f>
        <v>1170000</v>
      </c>
      <c r="D507" s="329"/>
      <c r="E507" s="394">
        <v>13.0</v>
      </c>
      <c r="F507" s="326"/>
      <c r="G507" s="326"/>
      <c r="J507" s="322"/>
      <c r="K507" s="327" t="s">
        <v>935</v>
      </c>
      <c r="L507" s="331">
        <f>N507*90000</f>
        <v>1170000</v>
      </c>
      <c r="M507" s="329"/>
      <c r="N507" s="394">
        <v>13.0</v>
      </c>
      <c r="O507" s="326"/>
    </row>
    <row r="508" ht="15.75" customHeight="1">
      <c r="A508" s="322"/>
      <c r="B508" s="327"/>
      <c r="C508" s="332"/>
      <c r="D508" s="332"/>
      <c r="E508" s="323"/>
      <c r="F508" s="326"/>
      <c r="G508" s="326"/>
      <c r="J508" s="322"/>
      <c r="K508" s="327"/>
      <c r="L508" s="332"/>
      <c r="M508" s="332"/>
      <c r="N508" s="323"/>
      <c r="O508" s="326"/>
    </row>
    <row r="509" ht="15.75" customHeight="1">
      <c r="A509" s="322"/>
      <c r="B509" s="327" t="s">
        <v>939</v>
      </c>
      <c r="C509" s="333" t="str">
        <f>IF(SUM(E521,E536,E544)=0,"",SUM(E521,E536,E544))</f>
        <v>#REF!</v>
      </c>
      <c r="D509" s="321"/>
      <c r="E509" s="323" t="str">
        <f>C509/90000</f>
        <v>#REF!</v>
      </c>
      <c r="F509" s="326"/>
      <c r="G509" s="326"/>
      <c r="J509" s="322"/>
      <c r="K509" s="327" t="s">
        <v>939</v>
      </c>
      <c r="L509" s="333" t="str">
        <f>IF(SUM(N521,N536,N544)=0,"",SUM(N521,N536,N544))</f>
        <v>#REF!</v>
      </c>
      <c r="M509" s="321"/>
      <c r="N509" s="323" t="str">
        <f>L509/90000</f>
        <v>#REF!</v>
      </c>
      <c r="O509" s="326"/>
    </row>
    <row r="510" ht="15.75" customHeight="1">
      <c r="A510" s="322"/>
      <c r="B510" s="327"/>
      <c r="C510" s="334"/>
      <c r="D510" s="334"/>
      <c r="E510" s="323"/>
      <c r="F510" s="326"/>
      <c r="G510" s="326"/>
      <c r="J510" s="322"/>
      <c r="K510" s="327"/>
      <c r="L510" s="334"/>
      <c r="M510" s="334"/>
      <c r="N510" s="323"/>
      <c r="O510" s="326"/>
    </row>
    <row r="511" ht="15.75" customHeight="1">
      <c r="A511" s="322"/>
      <c r="B511" s="327" t="s">
        <v>946</v>
      </c>
      <c r="C511" s="335" t="str">
        <f>IF(C509="","",IF(ISBLANK(C507),"",C509/C507))</f>
        <v>#REF!</v>
      </c>
      <c r="D511" s="321"/>
      <c r="E511" s="323"/>
      <c r="F511" s="326"/>
      <c r="G511" s="326"/>
      <c r="J511" s="322"/>
      <c r="K511" s="327" t="s">
        <v>946</v>
      </c>
      <c r="L511" s="335" t="str">
        <f>IF(L509="","",IF(ISBLANK(L507),"",L509/L507))</f>
        <v>#REF!</v>
      </c>
      <c r="M511" s="321"/>
      <c r="N511" s="323"/>
      <c r="O511" s="326"/>
    </row>
    <row r="512" ht="15.75" customHeight="1">
      <c r="A512" s="322"/>
      <c r="B512" s="327"/>
      <c r="C512" s="334"/>
      <c r="D512" s="334"/>
      <c r="E512" s="323"/>
      <c r="F512" s="326"/>
      <c r="G512" s="326"/>
      <c r="J512" s="322"/>
      <c r="K512" s="327"/>
      <c r="L512" s="334"/>
      <c r="M512" s="334"/>
      <c r="N512" s="323"/>
      <c r="O512" s="326"/>
    </row>
    <row r="513" ht="15.75" customHeight="1">
      <c r="A513" s="322"/>
      <c r="B513" s="327" t="s">
        <v>950</v>
      </c>
      <c r="C513" s="333" t="str">
        <f>C507-C509</f>
        <v>#REF!</v>
      </c>
      <c r="D513" s="321"/>
      <c r="E513" s="323"/>
      <c r="F513" s="326"/>
      <c r="G513" s="326"/>
      <c r="J513" s="322"/>
      <c r="K513" s="327" t="s">
        <v>950</v>
      </c>
      <c r="L513" s="333" t="str">
        <f>L507-L509</f>
        <v>#REF!</v>
      </c>
      <c r="M513" s="321"/>
      <c r="N513" s="323"/>
      <c r="O513" s="326"/>
    </row>
    <row r="514" ht="15.75" customHeight="1">
      <c r="A514" s="322"/>
      <c r="B514" s="322"/>
      <c r="C514" s="322"/>
      <c r="D514" s="322"/>
      <c r="E514" s="323"/>
      <c r="F514" s="324"/>
      <c r="G514" s="324"/>
      <c r="J514" s="322"/>
      <c r="K514" s="322"/>
      <c r="L514" s="322"/>
      <c r="M514" s="322"/>
      <c r="N514" s="323"/>
      <c r="O514" s="324"/>
    </row>
    <row r="515" ht="15.75" customHeight="1">
      <c r="A515" s="322"/>
      <c r="B515" s="322"/>
      <c r="C515" s="322"/>
      <c r="D515" s="322"/>
      <c r="E515" s="337"/>
      <c r="F515" s="324"/>
      <c r="G515" s="324"/>
      <c r="J515" s="322"/>
      <c r="K515" s="322"/>
      <c r="L515" s="322"/>
      <c r="M515" s="322"/>
      <c r="N515" s="337"/>
      <c r="O515" s="324"/>
    </row>
    <row r="516" ht="15.75" customHeight="1">
      <c r="A516" s="322"/>
      <c r="B516" s="338" t="s">
        <v>951</v>
      </c>
      <c r="C516" s="339"/>
      <c r="D516" s="339"/>
      <c r="E516" s="339"/>
      <c r="F516" s="324"/>
      <c r="G516" s="324"/>
      <c r="J516" s="322"/>
      <c r="K516" s="338" t="s">
        <v>951</v>
      </c>
      <c r="L516" s="339"/>
      <c r="M516" s="339"/>
      <c r="N516" s="339"/>
      <c r="O516" s="324"/>
    </row>
    <row r="517" ht="15.75" customHeight="1">
      <c r="A517" s="322"/>
      <c r="B517" s="340" t="s">
        <v>953</v>
      </c>
      <c r="C517" s="341" t="s">
        <v>954</v>
      </c>
      <c r="D517" s="341" t="s">
        <v>955</v>
      </c>
      <c r="E517" s="341" t="s">
        <v>35</v>
      </c>
      <c r="F517" s="324"/>
      <c r="G517" s="324"/>
      <c r="J517" s="322"/>
      <c r="K517" s="340" t="s">
        <v>953</v>
      </c>
      <c r="L517" s="341" t="s">
        <v>954</v>
      </c>
      <c r="M517" s="341" t="s">
        <v>955</v>
      </c>
      <c r="N517" s="341" t="s">
        <v>35</v>
      </c>
      <c r="O517" s="324"/>
    </row>
    <row r="518" ht="15.75" customHeight="1">
      <c r="A518" s="322"/>
      <c r="B518" s="139" t="s">
        <v>1211</v>
      </c>
      <c r="C518" s="344">
        <v>1.0</v>
      </c>
      <c r="D518" s="343">
        <f>M472</f>
        <v>9000</v>
      </c>
      <c r="E518" s="67">
        <f t="shared" ref="E518:E520" si="53">IF(OR(ISBLANK(C518),ISBLANK(D518)),"",D518*C518)</f>
        <v>9000</v>
      </c>
      <c r="F518" s="324"/>
      <c r="G518" s="324"/>
      <c r="J518" s="322"/>
      <c r="K518" s="139" t="s">
        <v>1143</v>
      </c>
      <c r="L518" s="344">
        <v>0.5</v>
      </c>
      <c r="M518" s="343">
        <f t="shared" ref="M518:M519" si="54">D563</f>
        <v>2970</v>
      </c>
      <c r="N518" s="67">
        <f t="shared" ref="N518:N520" si="55">IF(OR(ISBLANK(L518),ISBLANK(M518)),"",M518*L518)</f>
        <v>1485</v>
      </c>
      <c r="O518" s="324"/>
    </row>
    <row r="519" ht="15.75" customHeight="1">
      <c r="A519" s="322"/>
      <c r="B519" s="228" t="s">
        <v>241</v>
      </c>
      <c r="C519" s="405">
        <v>0.05</v>
      </c>
      <c r="D519" s="371">
        <f>'F&amp;B'!F295</f>
        <v>4500</v>
      </c>
      <c r="E519" s="67">
        <f t="shared" si="53"/>
        <v>225</v>
      </c>
      <c r="F519" s="324"/>
      <c r="G519" s="324"/>
      <c r="J519" s="322"/>
      <c r="K519" s="228" t="s">
        <v>1238</v>
      </c>
      <c r="L519" s="405">
        <v>0.04</v>
      </c>
      <c r="M519" s="371">
        <f t="shared" si="54"/>
        <v>16650</v>
      </c>
      <c r="N519" s="67">
        <f t="shared" si="55"/>
        <v>666</v>
      </c>
      <c r="O519" s="324"/>
    </row>
    <row r="520" ht="15.75" customHeight="1">
      <c r="A520" s="322"/>
      <c r="B520" s="350" t="s">
        <v>1239</v>
      </c>
      <c r="C520" s="351">
        <v>0.05</v>
      </c>
      <c r="D520" s="423">
        <f>'F&amp;B'!F294</f>
        <v>6750</v>
      </c>
      <c r="E520" s="67">
        <f t="shared" si="53"/>
        <v>337.5</v>
      </c>
      <c r="F520" s="324"/>
      <c r="G520" s="324"/>
      <c r="J520" s="322"/>
      <c r="K520" s="350" t="s">
        <v>1240</v>
      </c>
      <c r="L520" s="351">
        <v>0.03</v>
      </c>
      <c r="M520" s="423">
        <f>'F&amp;B'!F129</f>
        <v>67500</v>
      </c>
      <c r="N520" s="67">
        <f t="shared" si="55"/>
        <v>2025</v>
      </c>
      <c r="O520" s="324"/>
    </row>
    <row r="521" ht="15.75" customHeight="1">
      <c r="A521" s="322"/>
      <c r="B521" s="338" t="s">
        <v>84</v>
      </c>
      <c r="C521" s="358"/>
      <c r="D521" s="358"/>
      <c r="E521" s="359">
        <f>IF(SUM(E518:E520)=0,"",SUM(E518:E520))</f>
        <v>9562.5</v>
      </c>
      <c r="F521" s="324"/>
      <c r="G521" s="324"/>
      <c r="J521" s="322"/>
      <c r="K521" s="338" t="s">
        <v>84</v>
      </c>
      <c r="L521" s="358"/>
      <c r="M521" s="358"/>
      <c r="N521" s="359">
        <f>IF(SUM(N518:N520)=0,"",SUM(N518:N520))</f>
        <v>4176</v>
      </c>
      <c r="O521" s="324"/>
    </row>
    <row r="522" ht="15.75" customHeight="1">
      <c r="A522" s="322"/>
      <c r="B522" s="360"/>
      <c r="C522" s="360"/>
      <c r="D522" s="360"/>
      <c r="E522" s="361"/>
      <c r="F522" s="324"/>
      <c r="G522" s="324"/>
      <c r="J522" s="322"/>
      <c r="K522" s="360"/>
      <c r="L522" s="360"/>
      <c r="M522" s="360"/>
      <c r="N522" s="361"/>
      <c r="O522" s="324"/>
    </row>
    <row r="523" ht="15.75" customHeight="1">
      <c r="A523" s="322"/>
      <c r="B523" s="362" t="s">
        <v>972</v>
      </c>
      <c r="C523" s="363"/>
      <c r="D523" s="363"/>
      <c r="E523" s="363"/>
      <c r="F523" s="324"/>
      <c r="G523" s="324"/>
      <c r="J523" s="322"/>
      <c r="K523" s="362" t="s">
        <v>972</v>
      </c>
      <c r="L523" s="363"/>
      <c r="M523" s="363"/>
      <c r="N523" s="363"/>
      <c r="O523" s="324"/>
    </row>
    <row r="524" ht="15.75" customHeight="1">
      <c r="A524" s="322"/>
      <c r="B524" s="365" t="s">
        <v>953</v>
      </c>
      <c r="C524" s="366" t="s">
        <v>3</v>
      </c>
      <c r="D524" s="366" t="s">
        <v>975</v>
      </c>
      <c r="E524" s="367" t="s">
        <v>35</v>
      </c>
      <c r="F524" s="324"/>
      <c r="G524" s="324"/>
      <c r="J524" s="322"/>
      <c r="K524" s="365" t="s">
        <v>953</v>
      </c>
      <c r="L524" s="366" t="s">
        <v>3</v>
      </c>
      <c r="M524" s="366" t="s">
        <v>975</v>
      </c>
      <c r="N524" s="367" t="s">
        <v>35</v>
      </c>
      <c r="O524" s="324"/>
    </row>
    <row r="525" ht="15.75" customHeight="1">
      <c r="A525" s="322"/>
      <c r="B525" s="368"/>
      <c r="C525" s="366"/>
      <c r="D525" s="366"/>
      <c r="E525" s="368"/>
      <c r="F525" s="324"/>
      <c r="G525" s="324"/>
      <c r="J525" s="322"/>
      <c r="K525" s="368"/>
      <c r="L525" s="366"/>
      <c r="M525" s="366"/>
      <c r="N525" s="368"/>
      <c r="O525" s="324"/>
    </row>
    <row r="526" ht="15.75" customHeight="1">
      <c r="A526" s="322"/>
      <c r="B526" s="139" t="s">
        <v>1241</v>
      </c>
      <c r="C526" s="344">
        <v>0.06</v>
      </c>
      <c r="D526" s="343">
        <f>'F&amp;B'!F284</f>
        <v>7200</v>
      </c>
      <c r="E526" s="67">
        <f t="shared" ref="E526:E535" si="56">D526*C526</f>
        <v>432</v>
      </c>
      <c r="F526" s="324"/>
      <c r="G526" s="324"/>
      <c r="J526" s="322"/>
      <c r="K526" s="139" t="s">
        <v>1242</v>
      </c>
      <c r="L526" s="344">
        <v>0.1</v>
      </c>
      <c r="M526" s="343">
        <f>'F&amp;B'!F269</f>
        <v>414000</v>
      </c>
      <c r="N526" s="67">
        <f t="shared" ref="N526:N535" si="57">M526*L526</f>
        <v>41400</v>
      </c>
      <c r="O526" s="324"/>
    </row>
    <row r="527" ht="15.75" customHeight="1">
      <c r="A527" s="322"/>
      <c r="B527" s="228" t="s">
        <v>817</v>
      </c>
      <c r="C527" s="405">
        <v>0.06</v>
      </c>
      <c r="D527" s="371">
        <f>'F&amp;B'!F293</f>
        <v>6750</v>
      </c>
      <c r="E527" s="67">
        <f t="shared" si="56"/>
        <v>405</v>
      </c>
      <c r="F527" s="324"/>
      <c r="G527" s="324"/>
      <c r="J527" s="322"/>
      <c r="K527" s="228" t="s">
        <v>1231</v>
      </c>
      <c r="L527" s="405">
        <v>0.005</v>
      </c>
      <c r="M527" s="371">
        <f>'F&amp;B'!F289</f>
        <v>5400</v>
      </c>
      <c r="N527" s="67">
        <f t="shared" si="57"/>
        <v>27</v>
      </c>
      <c r="O527" s="324"/>
    </row>
    <row r="528" ht="15.75" customHeight="1">
      <c r="A528" s="322"/>
      <c r="B528" s="228" t="s">
        <v>714</v>
      </c>
      <c r="C528" s="405">
        <v>0.03</v>
      </c>
      <c r="D528" s="371">
        <f>M473</f>
        <v>22500</v>
      </c>
      <c r="E528" s="67">
        <f t="shared" si="56"/>
        <v>675</v>
      </c>
      <c r="F528" s="324"/>
      <c r="G528" s="324"/>
      <c r="J528" s="322"/>
      <c r="K528" s="228" t="s">
        <v>351</v>
      </c>
      <c r="L528" s="405">
        <v>0.03</v>
      </c>
      <c r="M528" s="371">
        <f>'F&amp;B'!F251/3</f>
        <v>151800</v>
      </c>
      <c r="N528" s="67">
        <f t="shared" si="57"/>
        <v>4554</v>
      </c>
      <c r="O528" s="324"/>
    </row>
    <row r="529" ht="15.75" customHeight="1">
      <c r="A529" s="322"/>
      <c r="B529" s="228" t="s">
        <v>703</v>
      </c>
      <c r="C529" s="398">
        <v>0.14</v>
      </c>
      <c r="D529" s="371">
        <f t="shared" ref="D529:D530" si="58">M483</f>
        <v>81000</v>
      </c>
      <c r="E529" s="67">
        <f t="shared" si="56"/>
        <v>11340</v>
      </c>
      <c r="F529" s="324"/>
      <c r="G529" s="324"/>
      <c r="J529" s="322"/>
      <c r="K529" s="228" t="s">
        <v>37</v>
      </c>
      <c r="L529" s="398">
        <v>1.0</v>
      </c>
      <c r="M529" s="371">
        <f>M484</f>
        <v>22000</v>
      </c>
      <c r="N529" s="67">
        <f t="shared" si="57"/>
        <v>22000</v>
      </c>
      <c r="O529" s="324"/>
    </row>
    <row r="530" ht="15.75" customHeight="1">
      <c r="A530" s="322"/>
      <c r="B530" s="469" t="s">
        <v>1243</v>
      </c>
      <c r="C530" s="405">
        <v>1.5</v>
      </c>
      <c r="D530" s="371">
        <f t="shared" si="58"/>
        <v>22000</v>
      </c>
      <c r="E530" s="67">
        <f t="shared" si="56"/>
        <v>33000</v>
      </c>
      <c r="F530" s="324"/>
      <c r="G530" s="324"/>
      <c r="J530" s="322"/>
      <c r="K530" s="228"/>
      <c r="L530" s="405"/>
      <c r="M530" s="371" t="str">
        <f>V484</f>
        <v/>
      </c>
      <c r="N530" s="67">
        <f t="shared" si="57"/>
        <v>0</v>
      </c>
      <c r="O530" s="324"/>
    </row>
    <row r="531" ht="15.75" customHeight="1">
      <c r="A531" s="322"/>
      <c r="B531" s="228" t="s">
        <v>1244</v>
      </c>
      <c r="C531" s="398">
        <v>0.06</v>
      </c>
      <c r="D531" s="371">
        <f>'F&amp;B'!F74*2.5</f>
        <v>67725</v>
      </c>
      <c r="E531" s="67">
        <f t="shared" si="56"/>
        <v>4063.5</v>
      </c>
      <c r="F531" s="324"/>
      <c r="G531" s="324"/>
      <c r="J531" s="322"/>
      <c r="K531" s="228"/>
      <c r="L531" s="398"/>
      <c r="M531" s="371"/>
      <c r="N531" s="67">
        <f t="shared" si="57"/>
        <v>0</v>
      </c>
      <c r="O531" s="324"/>
    </row>
    <row r="532" ht="15.75" customHeight="1">
      <c r="A532" s="322"/>
      <c r="B532" s="345" t="s">
        <v>1245</v>
      </c>
      <c r="C532" s="398">
        <v>0.01</v>
      </c>
      <c r="D532" s="371">
        <f>'F&amp;B'!F156</f>
        <v>37800</v>
      </c>
      <c r="E532" s="67">
        <f t="shared" si="56"/>
        <v>378</v>
      </c>
      <c r="F532" s="324"/>
      <c r="G532" s="324"/>
      <c r="J532" s="322"/>
      <c r="K532" s="345"/>
      <c r="L532" s="398"/>
      <c r="M532" s="371" t="str">
        <f>'F&amp;B'!M156</f>
        <v/>
      </c>
      <c r="N532" s="67">
        <f t="shared" si="57"/>
        <v>0</v>
      </c>
      <c r="O532" s="324"/>
    </row>
    <row r="533" ht="15.75" customHeight="1">
      <c r="A533" s="322"/>
      <c r="B533" s="348"/>
      <c r="C533" s="346"/>
      <c r="D533" s="373"/>
      <c r="E533" s="67">
        <f t="shared" si="56"/>
        <v>0</v>
      </c>
      <c r="F533" s="324"/>
      <c r="G533" s="324"/>
      <c r="J533" s="322"/>
      <c r="K533" s="348"/>
      <c r="L533" s="346"/>
      <c r="M533" s="373"/>
      <c r="N533" s="67">
        <f t="shared" si="57"/>
        <v>0</v>
      </c>
      <c r="O533" s="324"/>
    </row>
    <row r="534" ht="15.75" customHeight="1">
      <c r="A534" s="322"/>
      <c r="B534" s="348"/>
      <c r="C534" s="346"/>
      <c r="D534" s="373"/>
      <c r="E534" s="67">
        <f t="shared" si="56"/>
        <v>0</v>
      </c>
      <c r="F534" s="324"/>
      <c r="G534" s="324"/>
      <c r="J534" s="322"/>
      <c r="K534" s="348"/>
      <c r="L534" s="346"/>
      <c r="M534" s="373"/>
      <c r="N534" s="67">
        <f t="shared" si="57"/>
        <v>0</v>
      </c>
      <c r="O534" s="324"/>
    </row>
    <row r="535" ht="15.75" customHeight="1">
      <c r="A535" s="322"/>
      <c r="B535" s="354"/>
      <c r="C535" s="355"/>
      <c r="D535" s="356"/>
      <c r="E535" s="67">
        <f t="shared" si="56"/>
        <v>0</v>
      </c>
      <c r="F535" s="324"/>
      <c r="G535" s="324"/>
      <c r="J535" s="322"/>
      <c r="K535" s="354"/>
      <c r="L535" s="355"/>
      <c r="M535" s="356"/>
      <c r="N535" s="67">
        <f t="shared" si="57"/>
        <v>0</v>
      </c>
      <c r="O535" s="324"/>
    </row>
    <row r="536" ht="15.75" customHeight="1">
      <c r="A536" s="322"/>
      <c r="B536" s="362" t="s">
        <v>84</v>
      </c>
      <c r="C536" s="374"/>
      <c r="D536" s="374"/>
      <c r="E536" s="375">
        <f>IF(SUM(E526:E535)=0,"",SUM(E526:E535))</f>
        <v>50293.5</v>
      </c>
      <c r="F536" s="324"/>
      <c r="G536" s="324"/>
      <c r="J536" s="322"/>
      <c r="K536" s="362" t="s">
        <v>84</v>
      </c>
      <c r="L536" s="374"/>
      <c r="M536" s="374"/>
      <c r="N536" s="375">
        <f>IF(SUM(N526:N535)=0,"",SUM(N526:N535))</f>
        <v>67981</v>
      </c>
      <c r="O536" s="324"/>
    </row>
    <row r="537" ht="15.75" customHeight="1">
      <c r="A537" s="322"/>
      <c r="B537" s="360"/>
      <c r="C537" s="360"/>
      <c r="D537" s="360"/>
      <c r="E537" s="361"/>
      <c r="F537" s="324"/>
      <c r="G537" s="324"/>
      <c r="J537" s="322"/>
      <c r="K537" s="360"/>
      <c r="L537" s="360"/>
      <c r="M537" s="360"/>
      <c r="N537" s="361"/>
      <c r="O537" s="324"/>
    </row>
    <row r="538" ht="15.75" customHeight="1">
      <c r="A538" s="322"/>
      <c r="B538" s="34" t="s">
        <v>17</v>
      </c>
      <c r="C538" s="35"/>
      <c r="D538" s="35"/>
      <c r="E538" s="35"/>
      <c r="F538" s="324"/>
      <c r="G538" s="324"/>
      <c r="J538" s="322"/>
      <c r="K538" s="34" t="s">
        <v>17</v>
      </c>
      <c r="L538" s="35"/>
      <c r="M538" s="35"/>
      <c r="N538" s="35"/>
      <c r="O538" s="324"/>
    </row>
    <row r="539" ht="15.75" customHeight="1">
      <c r="A539" s="322"/>
      <c r="B539" s="52" t="s">
        <v>42</v>
      </c>
      <c r="C539" s="54"/>
      <c r="D539" s="54"/>
      <c r="E539" s="56" t="s">
        <v>35</v>
      </c>
      <c r="F539" s="324"/>
      <c r="G539" s="324"/>
      <c r="J539" s="322"/>
      <c r="K539" s="52" t="s">
        <v>42</v>
      </c>
      <c r="L539" s="54"/>
      <c r="M539" s="54"/>
      <c r="N539" s="56" t="s">
        <v>35</v>
      </c>
      <c r="O539" s="324"/>
    </row>
    <row r="540" ht="15.75" customHeight="1">
      <c r="A540" s="322"/>
      <c r="B540" s="60" t="s">
        <v>40</v>
      </c>
      <c r="C540" s="343">
        <f>'UTL COST'!$B$3</f>
        <v>369000</v>
      </c>
      <c r="D540" s="379">
        <f>'UTL COST'!$C$3</f>
        <v>0.0075</v>
      </c>
      <c r="E540" s="67">
        <v>0.0</v>
      </c>
      <c r="F540" s="324"/>
      <c r="G540" s="324"/>
      <c r="J540" s="322"/>
      <c r="K540" s="60" t="s">
        <v>40</v>
      </c>
      <c r="L540" s="343">
        <f>'UTL COST'!$B$3</f>
        <v>369000</v>
      </c>
      <c r="M540" s="379">
        <f>'UTL COST'!$C$3</f>
        <v>0.0075</v>
      </c>
      <c r="N540" s="67">
        <v>0.0</v>
      </c>
      <c r="O540" s="324"/>
    </row>
    <row r="541" ht="15.75" customHeight="1">
      <c r="A541" s="322"/>
      <c r="B541" s="75" t="s">
        <v>51</v>
      </c>
      <c r="C541" s="371" t="str">
        <f>'UTL COST'!$B$4</f>
        <v>#REF!</v>
      </c>
      <c r="D541" s="382">
        <f>'UTL COST'!$C$4</f>
        <v>7000</v>
      </c>
      <c r="E541" s="76">
        <v>0.0</v>
      </c>
      <c r="F541" s="324"/>
      <c r="G541" s="324"/>
      <c r="J541" s="322"/>
      <c r="K541" s="75" t="s">
        <v>51</v>
      </c>
      <c r="L541" s="371" t="str">
        <f>'UTL COST'!$B$4</f>
        <v>#REF!</v>
      </c>
      <c r="M541" s="382">
        <f>'UTL COST'!$C$4</f>
        <v>7000</v>
      </c>
      <c r="N541" s="76">
        <v>0.0</v>
      </c>
      <c r="O541" s="324"/>
    </row>
    <row r="542" ht="15.75" customHeight="1">
      <c r="A542" s="322"/>
      <c r="B542" s="75" t="s">
        <v>59</v>
      </c>
      <c r="C542" s="371" t="str">
        <f>'UTL COST'!$B$5</f>
        <v>#REF!</v>
      </c>
      <c r="D542" s="382">
        <f>'UTL COST'!$C$5</f>
        <v>45000</v>
      </c>
      <c r="E542" s="76" t="str">
        <f>'UTL COST'!$D$5</f>
        <v>#REF!</v>
      </c>
      <c r="F542" s="324"/>
      <c r="G542" s="324"/>
      <c r="J542" s="322"/>
      <c r="K542" s="75" t="s">
        <v>59</v>
      </c>
      <c r="L542" s="371" t="str">
        <f>'UTL COST'!$B$5</f>
        <v>#REF!</v>
      </c>
      <c r="M542" s="382">
        <f>'UTL COST'!$C$5</f>
        <v>45000</v>
      </c>
      <c r="N542" s="76" t="str">
        <f>'UTL COST'!$D$5</f>
        <v>#REF!</v>
      </c>
      <c r="O542" s="324"/>
    </row>
    <row r="543" ht="15.75" customHeight="1">
      <c r="A543" s="322"/>
      <c r="B543" s="87" t="s">
        <v>78</v>
      </c>
      <c r="C543" s="371" t="str">
        <f>'UTL COST'!$B$6</f>
        <v>#REF!</v>
      </c>
      <c r="D543" s="383">
        <f>'UTL COST'!$C$6</f>
        <v>525</v>
      </c>
      <c r="E543" s="89">
        <v>0.1</v>
      </c>
      <c r="F543" s="324"/>
      <c r="G543" s="324"/>
      <c r="J543" s="322"/>
      <c r="K543" s="87" t="s">
        <v>78</v>
      </c>
      <c r="L543" s="371" t="str">
        <f>'UTL COST'!$B$6</f>
        <v>#REF!</v>
      </c>
      <c r="M543" s="383">
        <f>'UTL COST'!$C$6</f>
        <v>525</v>
      </c>
      <c r="N543" s="89">
        <v>0.1</v>
      </c>
      <c r="O543" s="324"/>
    </row>
    <row r="544" ht="15.75" customHeight="1">
      <c r="A544" s="322"/>
      <c r="B544" s="34" t="s">
        <v>84</v>
      </c>
      <c r="C544" s="102"/>
      <c r="D544" s="102"/>
      <c r="E544" s="104" t="str">
        <f>IF(SUM(E540:E543)=0,"",SUM(E540:E543))</f>
        <v>#REF!</v>
      </c>
      <c r="F544" s="324"/>
      <c r="G544" s="324"/>
      <c r="J544" s="322"/>
      <c r="K544" s="34" t="s">
        <v>84</v>
      </c>
      <c r="L544" s="102"/>
      <c r="M544" s="102"/>
      <c r="N544" s="104" t="str">
        <f>IF(SUM(N540:N543)=0,"",SUM(N540:N543))</f>
        <v>#REF!</v>
      </c>
      <c r="O544" s="324"/>
    </row>
    <row r="545" ht="15.75" customHeight="1">
      <c r="A545" s="322"/>
      <c r="B545" s="360"/>
      <c r="C545" s="360"/>
      <c r="D545" s="360"/>
      <c r="E545" s="361"/>
      <c r="F545" s="324"/>
      <c r="G545" s="324"/>
      <c r="J545" s="322"/>
      <c r="K545" s="360"/>
      <c r="L545" s="360"/>
      <c r="M545" s="360"/>
      <c r="N545" s="361"/>
      <c r="O545" s="324"/>
    </row>
    <row r="546" ht="15.75" customHeight="1"/>
    <row r="547" ht="15.75" customHeight="1"/>
    <row r="548" ht="15.75" customHeight="1">
      <c r="A548" s="447"/>
      <c r="B548" s="447"/>
      <c r="C548" s="447"/>
      <c r="D548" s="447"/>
      <c r="E548" s="448"/>
      <c r="F548" s="449"/>
    </row>
    <row r="549" ht="15.75" customHeight="1">
      <c r="A549" s="322"/>
      <c r="B549" s="325"/>
      <c r="C549" s="322"/>
      <c r="D549" s="322"/>
      <c r="E549" s="323"/>
      <c r="F549" s="326"/>
    </row>
    <row r="550" ht="15.75" customHeight="1">
      <c r="A550" s="322"/>
      <c r="B550" s="327" t="s">
        <v>931</v>
      </c>
      <c r="C550" s="330" t="s">
        <v>1111</v>
      </c>
      <c r="D550" s="329"/>
      <c r="E550" s="323"/>
      <c r="F550" s="326"/>
    </row>
    <row r="551" ht="15.75" customHeight="1">
      <c r="A551" s="322"/>
      <c r="B551" s="325"/>
      <c r="C551" s="322"/>
      <c r="D551" s="322"/>
      <c r="E551" s="323"/>
      <c r="F551" s="326"/>
    </row>
    <row r="552" ht="15.75" customHeight="1">
      <c r="A552" s="322"/>
      <c r="B552" s="327" t="s">
        <v>935</v>
      </c>
      <c r="C552" s="331">
        <f>E552*90000</f>
        <v>1170000</v>
      </c>
      <c r="D552" s="329"/>
      <c r="E552" s="394">
        <v>13.0</v>
      </c>
      <c r="F552" s="326"/>
    </row>
    <row r="553" ht="15.75" customHeight="1">
      <c r="A553" s="322"/>
      <c r="B553" s="327"/>
      <c r="C553" s="332"/>
      <c r="D553" s="332"/>
      <c r="E553" s="323"/>
      <c r="F553" s="326"/>
    </row>
    <row r="554" ht="15.75" customHeight="1">
      <c r="A554" s="322"/>
      <c r="B554" s="327" t="s">
        <v>939</v>
      </c>
      <c r="C554" s="333" t="str">
        <f>IF(SUM(E566,E581,E589)=0,"",SUM(E566,E581,E589))</f>
        <v>#REF!</v>
      </c>
      <c r="D554" s="321"/>
      <c r="E554" s="323" t="str">
        <f>C554/90000</f>
        <v>#REF!</v>
      </c>
      <c r="F554" s="326"/>
    </row>
    <row r="555" ht="15.75" customHeight="1">
      <c r="A555" s="322"/>
      <c r="B555" s="327"/>
      <c r="C555" s="334"/>
      <c r="D555" s="334"/>
      <c r="E555" s="323"/>
      <c r="F555" s="326"/>
    </row>
    <row r="556" ht="15.75" customHeight="1">
      <c r="A556" s="322"/>
      <c r="B556" s="327" t="s">
        <v>946</v>
      </c>
      <c r="C556" s="335" t="str">
        <f>IF(C554="","",IF(ISBLANK(C552),"",C554/C552))</f>
        <v>#REF!</v>
      </c>
      <c r="D556" s="321"/>
      <c r="E556" s="323"/>
      <c r="F556" s="326"/>
    </row>
    <row r="557" ht="15.75" customHeight="1">
      <c r="A557" s="322"/>
      <c r="B557" s="327"/>
      <c r="C557" s="334"/>
      <c r="D557" s="334"/>
      <c r="E557" s="323"/>
      <c r="F557" s="326"/>
    </row>
    <row r="558" ht="15.75" customHeight="1">
      <c r="A558" s="322"/>
      <c r="B558" s="327" t="s">
        <v>950</v>
      </c>
      <c r="C558" s="333" t="str">
        <f>C552-C554</f>
        <v>#REF!</v>
      </c>
      <c r="D558" s="321"/>
      <c r="E558" s="323"/>
      <c r="F558" s="326"/>
    </row>
    <row r="559" ht="15.75" customHeight="1">
      <c r="A559" s="322"/>
      <c r="B559" s="322"/>
      <c r="C559" s="322"/>
      <c r="D559" s="322"/>
      <c r="E559" s="323"/>
      <c r="F559" s="324"/>
    </row>
    <row r="560" ht="15.75" customHeight="1">
      <c r="A560" s="322"/>
      <c r="B560" s="322"/>
      <c r="C560" s="322"/>
      <c r="D560" s="322"/>
      <c r="E560" s="337"/>
      <c r="F560" s="324"/>
    </row>
    <row r="561" ht="15.75" customHeight="1">
      <c r="A561" s="322"/>
      <c r="B561" s="338" t="s">
        <v>951</v>
      </c>
      <c r="C561" s="339"/>
      <c r="D561" s="339"/>
      <c r="E561" s="339"/>
      <c r="F561" s="324"/>
    </row>
    <row r="562" ht="15.75" customHeight="1">
      <c r="A562" s="322"/>
      <c r="B562" s="340" t="s">
        <v>953</v>
      </c>
      <c r="C562" s="341" t="s">
        <v>954</v>
      </c>
      <c r="D562" s="341" t="s">
        <v>955</v>
      </c>
      <c r="E562" s="341" t="s">
        <v>35</v>
      </c>
      <c r="F562" s="324"/>
    </row>
    <row r="563" ht="15.75" customHeight="1">
      <c r="A563" s="322"/>
      <c r="B563" s="139" t="s">
        <v>1143</v>
      </c>
      <c r="C563" s="344">
        <v>0.03</v>
      </c>
      <c r="D563" s="343">
        <f>'F&amp;B'!F280</f>
        <v>2970</v>
      </c>
      <c r="E563" s="67">
        <f t="shared" ref="E563:E565" si="59">IF(OR(ISBLANK(C563),ISBLANK(D563)),"",D563*C563)</f>
        <v>89.1</v>
      </c>
      <c r="F563" s="324"/>
    </row>
    <row r="564" ht="15.75" customHeight="1">
      <c r="A564" s="322"/>
      <c r="B564" s="228" t="s">
        <v>1238</v>
      </c>
      <c r="C564" s="405">
        <v>0.1</v>
      </c>
      <c r="D564" s="371">
        <f>'F&amp;B'!F297</f>
        <v>16650</v>
      </c>
      <c r="E564" s="67">
        <f t="shared" si="59"/>
        <v>1665</v>
      </c>
      <c r="F564" s="324"/>
    </row>
    <row r="565" ht="15.75" customHeight="1">
      <c r="A565" s="322"/>
      <c r="B565" s="350" t="s">
        <v>1111</v>
      </c>
      <c r="C565" s="351">
        <v>0.07</v>
      </c>
      <c r="D565" s="423">
        <f>'F&amp;B'!F77</f>
        <v>141300</v>
      </c>
      <c r="E565" s="67">
        <f t="shared" si="59"/>
        <v>9891</v>
      </c>
      <c r="F565" s="324"/>
    </row>
    <row r="566" ht="15.75" customHeight="1">
      <c r="A566" s="322"/>
      <c r="B566" s="338" t="s">
        <v>84</v>
      </c>
      <c r="C566" s="358"/>
      <c r="D566" s="358"/>
      <c r="E566" s="359">
        <f>IF(SUM(E563:E565)=0,"",SUM(E563:E565))</f>
        <v>11645.1</v>
      </c>
      <c r="F566" s="324"/>
    </row>
    <row r="567" ht="15.75" customHeight="1">
      <c r="A567" s="322"/>
      <c r="B567" s="360"/>
      <c r="C567" s="360"/>
      <c r="D567" s="360"/>
      <c r="E567" s="361"/>
      <c r="F567" s="324"/>
    </row>
    <row r="568" ht="15.75" customHeight="1">
      <c r="A568" s="322"/>
      <c r="B568" s="362" t="s">
        <v>972</v>
      </c>
      <c r="C568" s="363"/>
      <c r="D568" s="363"/>
      <c r="E568" s="363"/>
      <c r="F568" s="324"/>
    </row>
    <row r="569" ht="15.75" customHeight="1">
      <c r="A569" s="322"/>
      <c r="B569" s="365" t="s">
        <v>953</v>
      </c>
      <c r="C569" s="366" t="s">
        <v>3</v>
      </c>
      <c r="D569" s="366" t="s">
        <v>975</v>
      </c>
      <c r="E569" s="367" t="s">
        <v>35</v>
      </c>
      <c r="F569" s="324"/>
    </row>
    <row r="570" ht="15.75" customHeight="1">
      <c r="A570" s="322"/>
      <c r="B570" s="368"/>
      <c r="C570" s="366"/>
      <c r="D570" s="366"/>
      <c r="E570" s="368"/>
      <c r="F570" s="324"/>
    </row>
    <row r="571" ht="15.75" customHeight="1">
      <c r="A571" s="322"/>
      <c r="B571" s="139" t="s">
        <v>1252</v>
      </c>
      <c r="C571" s="344">
        <v>0.03</v>
      </c>
      <c r="D571" s="343">
        <f>M481</f>
        <v>65250</v>
      </c>
      <c r="E571" s="67">
        <f t="shared" ref="E571:E580" si="60">D571*C571</f>
        <v>1957.5</v>
      </c>
      <c r="F571" s="324"/>
    </row>
    <row r="572" ht="15.75" customHeight="1">
      <c r="A572" s="322"/>
      <c r="B572" s="228" t="s">
        <v>1255</v>
      </c>
      <c r="C572" s="405">
        <v>0.03</v>
      </c>
      <c r="D572" s="371">
        <f>D212</f>
        <v>99000</v>
      </c>
      <c r="E572" s="67">
        <f t="shared" si="60"/>
        <v>2970</v>
      </c>
      <c r="F572" s="324"/>
    </row>
    <row r="573" ht="15.75" customHeight="1">
      <c r="A573" s="322"/>
      <c r="B573" s="228" t="s">
        <v>1256</v>
      </c>
      <c r="C573" s="405">
        <v>0.02</v>
      </c>
      <c r="D573" s="371">
        <f>'F&amp;B'!F187</f>
        <v>117000</v>
      </c>
      <c r="E573" s="67">
        <f t="shared" si="60"/>
        <v>2340</v>
      </c>
      <c r="F573" s="324"/>
    </row>
    <row r="574" ht="15.75" customHeight="1">
      <c r="A574" s="322"/>
      <c r="B574" s="228" t="s">
        <v>1258</v>
      </c>
      <c r="C574" s="398">
        <v>0.08</v>
      </c>
      <c r="D574" s="371">
        <f>'F&amp;B'!F299</f>
        <v>8100</v>
      </c>
      <c r="E574" s="67">
        <f t="shared" si="60"/>
        <v>648</v>
      </c>
      <c r="F574" s="324"/>
    </row>
    <row r="575" ht="15.75" customHeight="1">
      <c r="A575" s="322"/>
      <c r="B575" s="228" t="s">
        <v>1259</v>
      </c>
      <c r="C575" s="405">
        <v>0.06</v>
      </c>
      <c r="D575" s="371">
        <f>D483</f>
        <v>21446.56361</v>
      </c>
      <c r="E575" s="67">
        <f t="shared" si="60"/>
        <v>1286.793816</v>
      </c>
      <c r="F575" s="324"/>
    </row>
    <row r="576" ht="15.75" customHeight="1">
      <c r="A576" s="322"/>
      <c r="B576" s="228" t="s">
        <v>1114</v>
      </c>
      <c r="C576" s="398">
        <v>0.03</v>
      </c>
      <c r="D576" s="371">
        <f>'F&amp;B'!F300</f>
        <v>13500</v>
      </c>
      <c r="E576" s="67">
        <f t="shared" si="60"/>
        <v>405</v>
      </c>
      <c r="F576" s="324"/>
    </row>
    <row r="577" ht="15.75" customHeight="1">
      <c r="A577" s="322"/>
      <c r="B577" s="345" t="s">
        <v>1181</v>
      </c>
      <c r="C577" s="398">
        <v>0.02</v>
      </c>
      <c r="D577" s="371"/>
      <c r="E577" s="67">
        <f t="shared" si="60"/>
        <v>0</v>
      </c>
      <c r="F577" s="324"/>
    </row>
    <row r="578" ht="15.75" customHeight="1">
      <c r="A578" s="322"/>
      <c r="B578" s="345" t="s">
        <v>351</v>
      </c>
      <c r="C578" s="398">
        <v>0.02</v>
      </c>
      <c r="D578" s="373"/>
      <c r="E578" s="67">
        <f t="shared" si="60"/>
        <v>0</v>
      </c>
      <c r="F578" s="324"/>
    </row>
    <row r="579" ht="15.75" customHeight="1">
      <c r="A579" s="322"/>
      <c r="B579" s="345" t="s">
        <v>273</v>
      </c>
      <c r="C579" s="398">
        <v>0.02</v>
      </c>
      <c r="D579" s="373"/>
      <c r="E579" s="67">
        <f t="shared" si="60"/>
        <v>0</v>
      </c>
      <c r="F579" s="324"/>
    </row>
    <row r="580" ht="15.75" customHeight="1">
      <c r="A580" s="322"/>
      <c r="B580" s="350" t="s">
        <v>1288</v>
      </c>
      <c r="C580" s="351">
        <v>0.05</v>
      </c>
      <c r="D580" s="356"/>
      <c r="E580" s="67">
        <f t="shared" si="60"/>
        <v>0</v>
      </c>
      <c r="F580" s="324"/>
    </row>
    <row r="581" ht="15.75" customHeight="1">
      <c r="A581" s="322"/>
      <c r="B581" s="362" t="s">
        <v>84</v>
      </c>
      <c r="C581" s="374"/>
      <c r="D581" s="374"/>
      <c r="E581" s="375">
        <f>IF(SUM(E571:E580)=0,"",SUM(E571:E580))</f>
        <v>9607.293816</v>
      </c>
      <c r="F581" s="324"/>
    </row>
    <row r="582" ht="15.75" customHeight="1">
      <c r="A582" s="322"/>
      <c r="B582" s="360"/>
      <c r="C582" s="360"/>
      <c r="D582" s="360"/>
      <c r="E582" s="361"/>
      <c r="F582" s="324"/>
    </row>
    <row r="583" ht="15.75" customHeight="1">
      <c r="A583" s="322"/>
      <c r="B583" s="34" t="s">
        <v>17</v>
      </c>
      <c r="C583" s="35"/>
      <c r="D583" s="35"/>
      <c r="E583" s="35"/>
      <c r="F583" s="324"/>
    </row>
    <row r="584" ht="15.75" customHeight="1">
      <c r="A584" s="322"/>
      <c r="B584" s="52" t="s">
        <v>42</v>
      </c>
      <c r="C584" s="54"/>
      <c r="D584" s="54"/>
      <c r="E584" s="56" t="s">
        <v>35</v>
      </c>
      <c r="F584" s="324"/>
    </row>
    <row r="585" ht="15.75" customHeight="1">
      <c r="A585" s="322"/>
      <c r="B585" s="60" t="s">
        <v>40</v>
      </c>
      <c r="C585" s="343">
        <f>'UTL COST'!$B$3</f>
        <v>369000</v>
      </c>
      <c r="D585" s="379">
        <f>'UTL COST'!$C$3</f>
        <v>0.0075</v>
      </c>
      <c r="E585" s="67">
        <v>0.0</v>
      </c>
      <c r="F585" s="324"/>
    </row>
    <row r="586" ht="15.75" customHeight="1">
      <c r="A586" s="322"/>
      <c r="B586" s="75" t="s">
        <v>51</v>
      </c>
      <c r="C586" s="371" t="str">
        <f>'UTL COST'!$B$4</f>
        <v>#REF!</v>
      </c>
      <c r="D586" s="382">
        <f>'UTL COST'!$C$4</f>
        <v>7000</v>
      </c>
      <c r="E586" s="76">
        <v>0.0</v>
      </c>
      <c r="F586" s="324"/>
    </row>
    <row r="587" ht="15.75" customHeight="1">
      <c r="A587" s="322"/>
      <c r="B587" s="75" t="s">
        <v>59</v>
      </c>
      <c r="C587" s="371" t="str">
        <f>'UTL COST'!$B$5</f>
        <v>#REF!</v>
      </c>
      <c r="D587" s="382">
        <f>'UTL COST'!$C$5</f>
        <v>45000</v>
      </c>
      <c r="E587" s="76" t="str">
        <f>'UTL COST'!$D$5</f>
        <v>#REF!</v>
      </c>
      <c r="F587" s="324"/>
    </row>
    <row r="588" ht="15.75" customHeight="1">
      <c r="A588" s="322"/>
      <c r="B588" s="87" t="s">
        <v>78</v>
      </c>
      <c r="C588" s="371" t="str">
        <f>'UTL COST'!$B$6</f>
        <v>#REF!</v>
      </c>
      <c r="D588" s="383">
        <f>'UTL COST'!$C$6</f>
        <v>525</v>
      </c>
      <c r="E588" s="89">
        <v>0.1</v>
      </c>
      <c r="F588" s="324"/>
    </row>
    <row r="589" ht="15.75" customHeight="1">
      <c r="A589" s="322"/>
      <c r="B589" s="34" t="s">
        <v>84</v>
      </c>
      <c r="C589" s="102"/>
      <c r="D589" s="102"/>
      <c r="E589" s="104" t="str">
        <f>IF(SUM(E585:E588)=0,"",SUM(E585:E588))</f>
        <v>#REF!</v>
      </c>
      <c r="F589" s="324"/>
    </row>
    <row r="590" ht="15.75" customHeight="1">
      <c r="A590" s="322"/>
      <c r="B590" s="360"/>
      <c r="C590" s="360"/>
      <c r="D590" s="360"/>
      <c r="E590" s="361"/>
      <c r="F590" s="324"/>
    </row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6">
    <mergeCell ref="L52:M52"/>
    <mergeCell ref="L54:M54"/>
    <mergeCell ref="L56:M56"/>
    <mergeCell ref="L58:M58"/>
    <mergeCell ref="K69:K70"/>
    <mergeCell ref="N69:N70"/>
    <mergeCell ref="L95:M95"/>
    <mergeCell ref="L97:M97"/>
    <mergeCell ref="L99:M99"/>
    <mergeCell ref="L101:M101"/>
    <mergeCell ref="L103:M103"/>
    <mergeCell ref="K114:K115"/>
    <mergeCell ref="N114:N115"/>
    <mergeCell ref="L142:M142"/>
    <mergeCell ref="L190:M190"/>
    <mergeCell ref="L192:M192"/>
    <mergeCell ref="L144:M144"/>
    <mergeCell ref="L146:M146"/>
    <mergeCell ref="L148:M148"/>
    <mergeCell ref="L150:M150"/>
    <mergeCell ref="K161:K162"/>
    <mergeCell ref="N161:N162"/>
    <mergeCell ref="L188:M188"/>
    <mergeCell ref="C95:D95"/>
    <mergeCell ref="C97:D97"/>
    <mergeCell ref="C99:D99"/>
    <mergeCell ref="C101:D101"/>
    <mergeCell ref="C103:D103"/>
    <mergeCell ref="B114:B115"/>
    <mergeCell ref="E114:E115"/>
    <mergeCell ref="C142:D142"/>
    <mergeCell ref="C144:D144"/>
    <mergeCell ref="C146:D146"/>
    <mergeCell ref="C148:D148"/>
    <mergeCell ref="C150:D150"/>
    <mergeCell ref="B161:B162"/>
    <mergeCell ref="E161:E162"/>
    <mergeCell ref="C233:D233"/>
    <mergeCell ref="C235:D235"/>
    <mergeCell ref="C237:D237"/>
    <mergeCell ref="C239:D239"/>
    <mergeCell ref="C241:D241"/>
    <mergeCell ref="B252:B253"/>
    <mergeCell ref="E252:E253"/>
    <mergeCell ref="C278:D278"/>
    <mergeCell ref="C280:D280"/>
    <mergeCell ref="C282:D282"/>
    <mergeCell ref="C284:D284"/>
    <mergeCell ref="C286:D286"/>
    <mergeCell ref="B297:B298"/>
    <mergeCell ref="E297:E298"/>
    <mergeCell ref="C324:D324"/>
    <mergeCell ref="C326:D326"/>
    <mergeCell ref="C328:D328"/>
    <mergeCell ref="C330:D330"/>
    <mergeCell ref="C332:D332"/>
    <mergeCell ref="B343:B344"/>
    <mergeCell ref="E343:E344"/>
    <mergeCell ref="C369:D369"/>
    <mergeCell ref="C371:D371"/>
    <mergeCell ref="C373:D373"/>
    <mergeCell ref="C375:D375"/>
    <mergeCell ref="C377:D377"/>
    <mergeCell ref="B388:B389"/>
    <mergeCell ref="E388:E389"/>
    <mergeCell ref="C414:D414"/>
    <mergeCell ref="C416:D416"/>
    <mergeCell ref="C418:D418"/>
    <mergeCell ref="C420:D420"/>
    <mergeCell ref="C422:D422"/>
    <mergeCell ref="B433:B434"/>
    <mergeCell ref="E433:E434"/>
    <mergeCell ref="C459:D459"/>
    <mergeCell ref="C461:D461"/>
    <mergeCell ref="C463:D463"/>
    <mergeCell ref="C465:D465"/>
    <mergeCell ref="C467:D467"/>
    <mergeCell ref="B478:B479"/>
    <mergeCell ref="E478:E479"/>
    <mergeCell ref="C550:D550"/>
    <mergeCell ref="C552:D552"/>
    <mergeCell ref="C554:D554"/>
    <mergeCell ref="C556:D556"/>
    <mergeCell ref="C558:D558"/>
    <mergeCell ref="B569:B570"/>
    <mergeCell ref="E569:E570"/>
    <mergeCell ref="C505:D505"/>
    <mergeCell ref="C507:D507"/>
    <mergeCell ref="C509:D509"/>
    <mergeCell ref="C511:D511"/>
    <mergeCell ref="C513:D513"/>
    <mergeCell ref="B524:B525"/>
    <mergeCell ref="E524:E525"/>
    <mergeCell ref="L239:M239"/>
    <mergeCell ref="L241:M241"/>
    <mergeCell ref="K252:K253"/>
    <mergeCell ref="N252:N253"/>
    <mergeCell ref="L278:M278"/>
    <mergeCell ref="L280:M280"/>
    <mergeCell ref="L282:M282"/>
    <mergeCell ref="L284:M284"/>
    <mergeCell ref="L286:M286"/>
    <mergeCell ref="K297:K298"/>
    <mergeCell ref="N297:N298"/>
    <mergeCell ref="L324:M324"/>
    <mergeCell ref="L326:M326"/>
    <mergeCell ref="L328:M328"/>
    <mergeCell ref="K343:K344"/>
    <mergeCell ref="N343:N344"/>
    <mergeCell ref="L369:M369"/>
    <mergeCell ref="L371:M371"/>
    <mergeCell ref="L373:M373"/>
    <mergeCell ref="L375:M375"/>
    <mergeCell ref="L377:M377"/>
    <mergeCell ref="K388:K389"/>
    <mergeCell ref="N388:N389"/>
    <mergeCell ref="L414:M414"/>
    <mergeCell ref="L416:M416"/>
    <mergeCell ref="L418:M418"/>
    <mergeCell ref="L420:M420"/>
    <mergeCell ref="L422:M422"/>
    <mergeCell ref="K433:K434"/>
    <mergeCell ref="N433:N434"/>
    <mergeCell ref="L459:M459"/>
    <mergeCell ref="L461:M461"/>
    <mergeCell ref="L463:M463"/>
    <mergeCell ref="L465:M465"/>
    <mergeCell ref="L467:M467"/>
    <mergeCell ref="K524:K525"/>
    <mergeCell ref="N524:N525"/>
    <mergeCell ref="K478:K479"/>
    <mergeCell ref="N478:N479"/>
    <mergeCell ref="L505:M505"/>
    <mergeCell ref="L507:M507"/>
    <mergeCell ref="L509:M509"/>
    <mergeCell ref="L511:M511"/>
    <mergeCell ref="L513:M513"/>
    <mergeCell ref="L10:M10"/>
    <mergeCell ref="L12:M12"/>
    <mergeCell ref="A1:F1"/>
    <mergeCell ref="C6:D6"/>
    <mergeCell ref="L6:M6"/>
    <mergeCell ref="C8:D8"/>
    <mergeCell ref="L8:M8"/>
    <mergeCell ref="C10:D10"/>
    <mergeCell ref="C12:D12"/>
    <mergeCell ref="C14:D14"/>
    <mergeCell ref="L14:M14"/>
    <mergeCell ref="B25:B26"/>
    <mergeCell ref="E25:E26"/>
    <mergeCell ref="K25:K26"/>
    <mergeCell ref="N25:N26"/>
    <mergeCell ref="L50:M50"/>
    <mergeCell ref="C50:D50"/>
    <mergeCell ref="C52:D52"/>
    <mergeCell ref="C54:D54"/>
    <mergeCell ref="C56:D56"/>
    <mergeCell ref="C58:D58"/>
    <mergeCell ref="B69:B70"/>
    <mergeCell ref="E69:E70"/>
    <mergeCell ref="C188:D188"/>
    <mergeCell ref="C190:D190"/>
    <mergeCell ref="C192:D192"/>
    <mergeCell ref="C194:D194"/>
    <mergeCell ref="L194:M194"/>
    <mergeCell ref="C196:D196"/>
    <mergeCell ref="L196:M196"/>
    <mergeCell ref="B207:B208"/>
    <mergeCell ref="E207:E208"/>
    <mergeCell ref="K207:K208"/>
    <mergeCell ref="N207:N208"/>
    <mergeCell ref="L233:M233"/>
    <mergeCell ref="L235:M235"/>
    <mergeCell ref="L237:M237"/>
    <mergeCell ref="L330:M330"/>
    <mergeCell ref="L332:M332"/>
  </mergeCells>
  <printOptions/>
  <pageMargins bottom="0.75" footer="0.0" header="0.0" left="0.7" right="0.7" top="0.75"/>
  <pageSetup orientation="portrait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DD4"/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75"/>
    <col customWidth="1" min="4" max="4" width="12.63"/>
    <col customWidth="1" min="5" max="5" width="13.75"/>
    <col customWidth="1" min="6" max="7" width="3.0"/>
    <col customWidth="1" min="8" max="10" width="7.75"/>
    <col customWidth="1" min="11" max="11" width="24.38"/>
    <col customWidth="1" min="12" max="12" width="12.75"/>
    <col customWidth="1" min="13" max="13" width="12.38"/>
    <col customWidth="1" min="14" max="14" width="13.75"/>
    <col customWidth="1" min="15" max="17" width="7.75"/>
    <col customWidth="1" min="18" max="20" width="14.38"/>
    <col customWidth="1" min="21" max="21" width="13.38"/>
    <col customWidth="1" min="22" max="26" width="14.38"/>
  </cols>
  <sheetData>
    <row r="1" ht="46.5" customHeight="1">
      <c r="A1" s="399" t="s">
        <v>1200</v>
      </c>
      <c r="B1" s="321"/>
      <c r="C1" s="321"/>
      <c r="D1" s="321"/>
      <c r="E1" s="321"/>
      <c r="F1" s="321"/>
      <c r="G1" s="402"/>
      <c r="H1" s="387"/>
      <c r="I1" s="387"/>
      <c r="J1" s="387"/>
      <c r="K1" s="387"/>
      <c r="L1" s="387"/>
      <c r="M1" s="387"/>
      <c r="N1" s="387"/>
      <c r="O1" s="387"/>
      <c r="P1" s="387"/>
      <c r="Q1" s="387"/>
    </row>
    <row r="2" ht="18.0" customHeight="1">
      <c r="A2" s="388"/>
      <c r="B2" s="388"/>
      <c r="C2" s="388"/>
      <c r="D2" s="388"/>
      <c r="E2" s="389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</row>
    <row r="3" ht="6.75" customHeight="1">
      <c r="A3" s="388"/>
      <c r="B3" s="388"/>
      <c r="C3" s="388"/>
      <c r="D3" s="388"/>
      <c r="E3" s="389"/>
      <c r="F3" s="387"/>
      <c r="G3" s="387"/>
      <c r="H3" s="387"/>
      <c r="I3" s="387"/>
      <c r="J3" s="387"/>
      <c r="K3" s="387"/>
      <c r="L3" s="387"/>
      <c r="M3" s="387"/>
      <c r="N3" s="387"/>
      <c r="O3" s="387"/>
      <c r="P3" s="387"/>
      <c r="Q3" s="387"/>
    </row>
    <row r="4" ht="15.0" customHeight="1">
      <c r="A4" s="322"/>
      <c r="B4" s="322"/>
      <c r="C4" s="322"/>
      <c r="D4" s="322"/>
      <c r="E4" s="323"/>
      <c r="F4" s="324"/>
      <c r="G4" s="324"/>
      <c r="H4" s="387"/>
      <c r="I4" s="388"/>
      <c r="J4" s="322"/>
      <c r="K4" s="322"/>
      <c r="L4" s="322"/>
      <c r="M4" s="322"/>
      <c r="N4" s="323"/>
      <c r="O4" s="324"/>
      <c r="P4" s="387"/>
      <c r="Q4" s="322"/>
      <c r="R4" s="322"/>
      <c r="S4" s="322"/>
      <c r="T4" s="322"/>
      <c r="U4" s="323"/>
      <c r="V4" s="324"/>
    </row>
    <row r="5" ht="4.5" customHeight="1">
      <c r="A5" s="322"/>
      <c r="B5" s="325"/>
      <c r="C5" s="322"/>
      <c r="D5" s="322"/>
      <c r="E5" s="323"/>
      <c r="F5" s="326"/>
      <c r="G5" s="326"/>
      <c r="H5" s="404"/>
      <c r="I5" s="388"/>
      <c r="J5" s="322"/>
      <c r="K5" s="325"/>
      <c r="L5" s="322"/>
      <c r="M5" s="322"/>
      <c r="N5" s="323"/>
      <c r="O5" s="326"/>
      <c r="P5" s="387"/>
      <c r="Q5" s="322"/>
      <c r="R5" s="325"/>
      <c r="S5" s="322"/>
      <c r="T5" s="322"/>
      <c r="U5" s="323"/>
      <c r="V5" s="326"/>
    </row>
    <row r="6" ht="18.0" customHeight="1">
      <c r="A6" s="322"/>
      <c r="B6" s="327" t="s">
        <v>931</v>
      </c>
      <c r="C6" s="328" t="s">
        <v>870</v>
      </c>
      <c r="D6" s="329"/>
      <c r="E6" s="323"/>
      <c r="F6" s="326"/>
      <c r="G6" s="326"/>
      <c r="H6" s="404"/>
      <c r="I6" s="388"/>
      <c r="J6" s="322"/>
      <c r="K6" s="327" t="s">
        <v>931</v>
      </c>
      <c r="L6" s="328" t="s">
        <v>874</v>
      </c>
      <c r="M6" s="329"/>
      <c r="N6" s="323"/>
      <c r="O6" s="326"/>
      <c r="P6" s="387"/>
      <c r="Q6" s="322"/>
      <c r="R6" s="327" t="s">
        <v>931</v>
      </c>
      <c r="S6" s="330" t="s">
        <v>1203</v>
      </c>
      <c r="T6" s="329"/>
      <c r="U6" s="323"/>
      <c r="V6" s="326"/>
    </row>
    <row r="7" ht="4.5" customHeight="1">
      <c r="A7" s="322"/>
      <c r="B7" s="325"/>
      <c r="C7" s="322"/>
      <c r="D7" s="322"/>
      <c r="E7" s="323"/>
      <c r="F7" s="326"/>
      <c r="G7" s="326"/>
      <c r="H7" s="404"/>
      <c r="I7" s="388"/>
      <c r="J7" s="322"/>
      <c r="K7" s="325"/>
      <c r="L7" s="322"/>
      <c r="M7" s="322"/>
      <c r="N7" s="323"/>
      <c r="O7" s="326"/>
      <c r="P7" s="387"/>
      <c r="Q7" s="322"/>
      <c r="R7" s="325"/>
      <c r="S7" s="322"/>
      <c r="T7" s="322"/>
      <c r="U7" s="323"/>
      <c r="V7" s="326"/>
    </row>
    <row r="8" ht="18.0" customHeight="1">
      <c r="A8" s="322"/>
      <c r="B8" s="327" t="s">
        <v>935</v>
      </c>
      <c r="C8" s="331">
        <v>30000.0</v>
      </c>
      <c r="D8" s="329"/>
      <c r="E8" s="323"/>
      <c r="F8" s="326"/>
      <c r="G8" s="326"/>
      <c r="H8" s="404"/>
      <c r="I8" s="388"/>
      <c r="J8" s="322"/>
      <c r="K8" s="327" t="s">
        <v>935</v>
      </c>
      <c r="L8" s="331">
        <v>50000.0</v>
      </c>
      <c r="M8" s="329"/>
      <c r="N8" s="323"/>
      <c r="O8" s="326"/>
      <c r="P8" s="387"/>
      <c r="Q8" s="322"/>
      <c r="R8" s="327" t="s">
        <v>935</v>
      </c>
      <c r="S8" s="331">
        <v>50000.0</v>
      </c>
      <c r="T8" s="329"/>
      <c r="U8" s="323"/>
      <c r="V8" s="326"/>
    </row>
    <row r="9" ht="4.5" customHeight="1">
      <c r="A9" s="322"/>
      <c r="B9" s="327"/>
      <c r="C9" s="332"/>
      <c r="D9" s="332"/>
      <c r="E9" s="323"/>
      <c r="F9" s="326"/>
      <c r="G9" s="326"/>
      <c r="H9" s="404"/>
      <c r="I9" s="388"/>
      <c r="J9" s="322"/>
      <c r="K9" s="327"/>
      <c r="L9" s="332"/>
      <c r="M9" s="332"/>
      <c r="N9" s="323"/>
      <c r="O9" s="326"/>
      <c r="P9" s="387"/>
      <c r="Q9" s="322"/>
      <c r="R9" s="327"/>
      <c r="S9" s="332"/>
      <c r="T9" s="332"/>
      <c r="U9" s="323"/>
      <c r="V9" s="326"/>
    </row>
    <row r="10" ht="18.0" customHeight="1">
      <c r="A10" s="322"/>
      <c r="B10" s="327" t="s">
        <v>939</v>
      </c>
      <c r="C10" s="462" t="str">
        <f>IF(SUM(E22,E37,E45)=0,"",SUM(E22,E37,E45))</f>
        <v>#REF!</v>
      </c>
      <c r="D10" s="321"/>
      <c r="E10" s="323"/>
      <c r="F10" s="326"/>
      <c r="G10" s="326"/>
      <c r="H10" s="404" t="str">
        <f>C10/90000</f>
        <v>#REF!</v>
      </c>
      <c r="I10" s="388"/>
      <c r="J10" s="322"/>
      <c r="K10" s="327" t="s">
        <v>939</v>
      </c>
      <c r="L10" s="333" t="str">
        <f>IF(SUM(N22,N37,N45)=0,"",SUM(N22,N37,N45))</f>
        <v>#REF!</v>
      </c>
      <c r="M10" s="321"/>
      <c r="N10" s="323"/>
      <c r="O10" s="326"/>
      <c r="P10" s="404" t="str">
        <f>L10/90000</f>
        <v>#REF!</v>
      </c>
      <c r="Q10" s="322"/>
      <c r="R10" s="327" t="s">
        <v>939</v>
      </c>
      <c r="S10" s="333">
        <f>IF(SUM(U22,U37,U45)=0,"",SUM(U22,U37,U45))</f>
        <v>6755.523077</v>
      </c>
      <c r="T10" s="321"/>
      <c r="U10" s="323"/>
      <c r="V10" s="326"/>
    </row>
    <row r="11" ht="4.5" customHeight="1">
      <c r="A11" s="322"/>
      <c r="B11" s="327"/>
      <c r="C11" s="334"/>
      <c r="D11" s="334"/>
      <c r="E11" s="323"/>
      <c r="F11" s="326"/>
      <c r="G11" s="326"/>
      <c r="H11" s="404"/>
      <c r="I11" s="388"/>
      <c r="J11" s="322"/>
      <c r="K11" s="327"/>
      <c r="L11" s="334"/>
      <c r="M11" s="334"/>
      <c r="N11" s="323"/>
      <c r="O11" s="326"/>
      <c r="P11" s="387"/>
      <c r="Q11" s="322"/>
      <c r="R11" s="327"/>
      <c r="S11" s="334"/>
      <c r="T11" s="334"/>
      <c r="U11" s="323"/>
      <c r="V11" s="326"/>
    </row>
    <row r="12" ht="18.0" customHeight="1">
      <c r="A12" s="322"/>
      <c r="B12" s="327" t="s">
        <v>946</v>
      </c>
      <c r="C12" s="335" t="str">
        <f>IF(C10="","",IF(ISBLANK(C8),"",C10/C8))</f>
        <v>#REF!</v>
      </c>
      <c r="D12" s="321"/>
      <c r="E12" s="323"/>
      <c r="F12" s="326"/>
      <c r="G12" s="326"/>
      <c r="H12" s="404"/>
      <c r="I12" s="388"/>
      <c r="J12" s="322"/>
      <c r="K12" s="327" t="s">
        <v>946</v>
      </c>
      <c r="L12" s="335" t="str">
        <f>IF(L10="","",IF(ISBLANK(L8),"",L10/L8))</f>
        <v>#REF!</v>
      </c>
      <c r="M12" s="321"/>
      <c r="N12" s="323"/>
      <c r="O12" s="326"/>
      <c r="P12" s="387"/>
      <c r="Q12" s="322"/>
      <c r="R12" s="327" t="s">
        <v>946</v>
      </c>
      <c r="S12" s="335">
        <f>IF(S10="","",IF(ISBLANK(S8),"",S10/S8))</f>
        <v>0.1351104615</v>
      </c>
      <c r="T12" s="321"/>
      <c r="U12" s="323"/>
      <c r="V12" s="326"/>
    </row>
    <row r="13" ht="4.5" customHeight="1">
      <c r="A13" s="322"/>
      <c r="B13" s="327"/>
      <c r="C13" s="334"/>
      <c r="D13" s="334"/>
      <c r="E13" s="323"/>
      <c r="F13" s="326"/>
      <c r="G13" s="326"/>
      <c r="H13" s="404"/>
      <c r="I13" s="388"/>
      <c r="J13" s="322"/>
      <c r="K13" s="327"/>
      <c r="L13" s="334"/>
      <c r="M13" s="334"/>
      <c r="N13" s="323"/>
      <c r="O13" s="326"/>
      <c r="P13" s="387"/>
      <c r="Q13" s="322"/>
      <c r="R13" s="327"/>
      <c r="S13" s="334"/>
      <c r="T13" s="334"/>
      <c r="U13" s="323"/>
      <c r="V13" s="326"/>
    </row>
    <row r="14" ht="18.0" customHeight="1">
      <c r="A14" s="322"/>
      <c r="B14" s="327" t="s">
        <v>950</v>
      </c>
      <c r="C14" s="333" t="str">
        <f>C8-C10</f>
        <v>#REF!</v>
      </c>
      <c r="D14" s="321"/>
      <c r="E14" s="323"/>
      <c r="F14" s="326"/>
      <c r="G14" s="326"/>
      <c r="H14" s="404"/>
      <c r="I14" s="388"/>
      <c r="J14" s="322"/>
      <c r="K14" s="327" t="s">
        <v>950</v>
      </c>
      <c r="L14" s="333" t="str">
        <f>L8-L10</f>
        <v>#REF!</v>
      </c>
      <c r="M14" s="321"/>
      <c r="N14" s="323"/>
      <c r="O14" s="326"/>
      <c r="P14" s="387"/>
      <c r="Q14" s="322"/>
      <c r="R14" s="327" t="s">
        <v>950</v>
      </c>
      <c r="S14" s="333">
        <f>S8-S10</f>
        <v>43244.47692</v>
      </c>
      <c r="T14" s="321"/>
      <c r="U14" s="323"/>
      <c r="V14" s="326"/>
    </row>
    <row r="15" ht="15.0" customHeight="1">
      <c r="A15" s="322"/>
      <c r="B15" s="322"/>
      <c r="C15" s="322"/>
      <c r="D15" s="322"/>
      <c r="E15" s="323"/>
      <c r="F15" s="324"/>
      <c r="G15" s="324"/>
      <c r="H15" s="404"/>
      <c r="I15" s="388"/>
      <c r="J15" s="322"/>
      <c r="K15" s="322"/>
      <c r="L15" s="322"/>
      <c r="M15" s="322"/>
      <c r="N15" s="323"/>
      <c r="O15" s="324"/>
      <c r="P15" s="387"/>
      <c r="Q15" s="322"/>
      <c r="R15" s="322"/>
      <c r="S15" s="322"/>
      <c r="T15" s="322"/>
      <c r="U15" s="323"/>
      <c r="V15" s="324"/>
    </row>
    <row r="16" ht="12.75" customHeight="1">
      <c r="A16" s="322"/>
      <c r="B16" s="322"/>
      <c r="C16" s="322"/>
      <c r="D16" s="322"/>
      <c r="E16" s="337"/>
      <c r="F16" s="324"/>
      <c r="G16" s="324"/>
      <c r="H16" s="387"/>
      <c r="I16" s="388"/>
      <c r="J16" s="322"/>
      <c r="K16" s="322"/>
      <c r="L16" s="322"/>
      <c r="M16" s="322"/>
      <c r="N16" s="337"/>
      <c r="O16" s="324"/>
      <c r="P16" s="387"/>
      <c r="Q16" s="322"/>
      <c r="R16" s="322"/>
      <c r="S16" s="322"/>
      <c r="T16" s="322"/>
      <c r="U16" s="337"/>
      <c r="V16" s="324"/>
    </row>
    <row r="17" ht="12.75" customHeight="1">
      <c r="A17" s="322"/>
      <c r="B17" s="338" t="s">
        <v>951</v>
      </c>
      <c r="C17" s="339"/>
      <c r="D17" s="339"/>
      <c r="E17" s="339"/>
      <c r="F17" s="324"/>
      <c r="G17" s="324"/>
      <c r="H17" s="410"/>
      <c r="I17" s="388"/>
      <c r="J17" s="322"/>
      <c r="K17" s="338" t="s">
        <v>951</v>
      </c>
      <c r="L17" s="339"/>
      <c r="M17" s="339"/>
      <c r="N17" s="339"/>
      <c r="O17" s="324"/>
      <c r="P17" s="387"/>
      <c r="Q17" s="322"/>
      <c r="R17" s="338" t="s">
        <v>951</v>
      </c>
      <c r="S17" s="339"/>
      <c r="T17" s="339"/>
      <c r="U17" s="339"/>
      <c r="V17" s="324"/>
    </row>
    <row r="18" ht="12.75" customHeight="1">
      <c r="A18" s="322"/>
      <c r="B18" s="340" t="s">
        <v>953</v>
      </c>
      <c r="C18" s="341" t="s">
        <v>954</v>
      </c>
      <c r="D18" s="341" t="s">
        <v>955</v>
      </c>
      <c r="E18" s="341" t="s">
        <v>35</v>
      </c>
      <c r="F18" s="324"/>
      <c r="G18" s="324"/>
      <c r="H18" s="387"/>
      <c r="I18" s="388"/>
      <c r="J18" s="322"/>
      <c r="K18" s="340" t="s">
        <v>953</v>
      </c>
      <c r="L18" s="341" t="s">
        <v>954</v>
      </c>
      <c r="M18" s="341" t="s">
        <v>955</v>
      </c>
      <c r="N18" s="341" t="s">
        <v>35</v>
      </c>
      <c r="O18" s="324"/>
      <c r="P18" s="387"/>
      <c r="Q18" s="322"/>
      <c r="R18" s="340" t="s">
        <v>953</v>
      </c>
      <c r="S18" s="341" t="s">
        <v>954</v>
      </c>
      <c r="T18" s="341" t="s">
        <v>955</v>
      </c>
      <c r="U18" s="341" t="s">
        <v>35</v>
      </c>
      <c r="V18" s="324"/>
    </row>
    <row r="19" ht="12.75" customHeight="1">
      <c r="A19" s="322"/>
      <c r="E19" s="67"/>
      <c r="F19" s="324"/>
      <c r="G19" s="324"/>
      <c r="H19" s="387"/>
      <c r="I19" s="388"/>
      <c r="J19" s="322"/>
      <c r="K19" s="60" t="s">
        <v>850</v>
      </c>
      <c r="L19" s="342">
        <v>0.16</v>
      </c>
      <c r="M19" s="343">
        <f>'F&amp;B'!$F$99/12</f>
        <v>63000</v>
      </c>
      <c r="N19" s="67">
        <f t="shared" ref="N19:N21" si="1">IF(OR(ISBLANK(L19),ISBLANK(M19)),"",M19*L19)</f>
        <v>10080</v>
      </c>
      <c r="O19" s="324"/>
      <c r="P19" s="387"/>
      <c r="Q19" s="322"/>
      <c r="R19" s="60" t="s">
        <v>850</v>
      </c>
      <c r="S19" s="344">
        <v>0.08</v>
      </c>
      <c r="T19" s="343">
        <f>'F&amp;B'!$F$99/12</f>
        <v>63000</v>
      </c>
      <c r="U19" s="67">
        <f t="shared" ref="U19:U21" si="2">IF(OR(ISBLANK(S19),ISBLANK(T19)),"",T19*S19)</f>
        <v>5040</v>
      </c>
      <c r="V19" s="324"/>
    </row>
    <row r="20" ht="12.75" customHeight="1">
      <c r="A20" s="322"/>
      <c r="E20" s="67"/>
      <c r="F20" s="324"/>
      <c r="G20" s="324"/>
      <c r="H20" s="387"/>
      <c r="I20" s="388"/>
      <c r="J20" s="322"/>
      <c r="K20" s="87" t="s">
        <v>200</v>
      </c>
      <c r="L20" s="355">
        <v>1.0</v>
      </c>
      <c r="M20" s="400">
        <f>SAUCES!$D$92</f>
        <v>900.9230769</v>
      </c>
      <c r="N20" s="67">
        <f t="shared" si="1"/>
        <v>900.9230769</v>
      </c>
      <c r="O20" s="324"/>
      <c r="P20" s="387"/>
      <c r="Q20" s="322"/>
      <c r="R20" s="87" t="s">
        <v>200</v>
      </c>
      <c r="S20" s="355">
        <v>1.0</v>
      </c>
      <c r="T20" s="400">
        <f>SAUCES!$D$92</f>
        <v>900.9230769</v>
      </c>
      <c r="U20" s="67">
        <f t="shared" si="2"/>
        <v>900.9230769</v>
      </c>
      <c r="V20" s="324"/>
    </row>
    <row r="21" ht="12.75" customHeight="1">
      <c r="A21" s="322"/>
      <c r="B21" s="87" t="s">
        <v>200</v>
      </c>
      <c r="C21" s="355">
        <v>1.0</v>
      </c>
      <c r="D21" s="400">
        <f>SAUCES!$D$92</f>
        <v>900.9230769</v>
      </c>
      <c r="E21" s="67">
        <f>IF(OR(ISBLANK(C21),ISBLANK(D21)),"",D21*C21)</f>
        <v>900.9230769</v>
      </c>
      <c r="F21" s="324"/>
      <c r="G21" s="324"/>
      <c r="H21" s="387"/>
      <c r="I21" s="388"/>
      <c r="J21" s="322"/>
      <c r="K21" s="354"/>
      <c r="L21" s="355"/>
      <c r="M21" s="356"/>
      <c r="N21" s="357" t="str">
        <f t="shared" si="1"/>
        <v/>
      </c>
      <c r="O21" s="324"/>
      <c r="P21" s="387"/>
      <c r="Q21" s="322"/>
      <c r="R21" s="350"/>
      <c r="S21" s="355"/>
      <c r="T21" s="356"/>
      <c r="U21" s="357" t="str">
        <f t="shared" si="2"/>
        <v/>
      </c>
      <c r="V21" s="324"/>
    </row>
    <row r="22" ht="12.75" customHeight="1">
      <c r="A22" s="322"/>
      <c r="B22" s="338" t="s">
        <v>84</v>
      </c>
      <c r="C22" s="358"/>
      <c r="D22" s="358"/>
      <c r="E22" s="359">
        <f>IF(SUM(E19:E21)=0,"",SUM(E19:E21))</f>
        <v>900.9230769</v>
      </c>
      <c r="F22" s="324"/>
      <c r="G22" s="324"/>
      <c r="H22" s="387"/>
      <c r="I22" s="388"/>
      <c r="J22" s="322"/>
      <c r="K22" s="338" t="s">
        <v>84</v>
      </c>
      <c r="L22" s="358"/>
      <c r="M22" s="358"/>
      <c r="N22" s="359">
        <f>IF(SUM(N19:N21)=0,"",SUM(N19:N21))</f>
        <v>10980.92308</v>
      </c>
      <c r="O22" s="324"/>
      <c r="P22" s="387"/>
      <c r="Q22" s="322"/>
      <c r="R22" s="338" t="s">
        <v>84</v>
      </c>
      <c r="S22" s="358"/>
      <c r="T22" s="358"/>
      <c r="U22" s="359">
        <f>IF(SUM(U19:U21)=0,"",SUM(U19:U21))</f>
        <v>5940.923077</v>
      </c>
      <c r="V22" s="324"/>
    </row>
    <row r="23" ht="12.75" customHeight="1">
      <c r="A23" s="322"/>
      <c r="B23" s="360"/>
      <c r="C23" s="360"/>
      <c r="D23" s="360"/>
      <c r="E23" s="361"/>
      <c r="F23" s="324"/>
      <c r="G23" s="324"/>
      <c r="H23" s="387"/>
      <c r="I23" s="388"/>
      <c r="J23" s="322"/>
      <c r="K23" s="360"/>
      <c r="L23" s="360"/>
      <c r="M23" s="360"/>
      <c r="N23" s="361"/>
      <c r="O23" s="324"/>
      <c r="P23" s="387"/>
      <c r="Q23" s="322"/>
      <c r="R23" s="360"/>
      <c r="S23" s="360"/>
      <c r="T23" s="360"/>
      <c r="U23" s="361"/>
      <c r="V23" s="324"/>
    </row>
    <row r="24" ht="12.75" customHeight="1">
      <c r="A24" s="322"/>
      <c r="B24" s="362" t="s">
        <v>972</v>
      </c>
      <c r="C24" s="363"/>
      <c r="D24" s="363"/>
      <c r="E24" s="363"/>
      <c r="F24" s="324"/>
      <c r="G24" s="324"/>
      <c r="H24" s="387"/>
      <c r="I24" s="388"/>
      <c r="J24" s="322"/>
      <c r="K24" s="362" t="s">
        <v>972</v>
      </c>
      <c r="L24" s="363"/>
      <c r="M24" s="363"/>
      <c r="N24" s="363"/>
      <c r="O24" s="324"/>
      <c r="P24" s="387"/>
      <c r="Q24" s="322"/>
      <c r="R24" s="362" t="s">
        <v>972</v>
      </c>
      <c r="S24" s="363"/>
      <c r="T24" s="363"/>
      <c r="U24" s="363"/>
      <c r="V24" s="324"/>
    </row>
    <row r="25" ht="12.75" customHeight="1">
      <c r="A25" s="322"/>
      <c r="B25" s="365" t="s">
        <v>953</v>
      </c>
      <c r="C25" s="366" t="s">
        <v>3</v>
      </c>
      <c r="D25" s="366" t="s">
        <v>975</v>
      </c>
      <c r="E25" s="367" t="s">
        <v>35</v>
      </c>
      <c r="F25" s="324"/>
      <c r="G25" s="324"/>
      <c r="H25" s="387"/>
      <c r="I25" s="388"/>
      <c r="J25" s="322"/>
      <c r="K25" s="365" t="s">
        <v>953</v>
      </c>
      <c r="L25" s="366" t="s">
        <v>3</v>
      </c>
      <c r="M25" s="366" t="s">
        <v>975</v>
      </c>
      <c r="N25" s="367" t="s">
        <v>35</v>
      </c>
      <c r="O25" s="324"/>
      <c r="P25" s="387"/>
      <c r="Q25" s="322"/>
      <c r="R25" s="365" t="s">
        <v>953</v>
      </c>
      <c r="S25" s="366" t="s">
        <v>3</v>
      </c>
      <c r="T25" s="366" t="s">
        <v>975</v>
      </c>
      <c r="U25" s="367" t="s">
        <v>35</v>
      </c>
      <c r="V25" s="324"/>
    </row>
    <row r="26" ht="12.75" customHeight="1">
      <c r="A26" s="322"/>
      <c r="B26" s="368"/>
      <c r="C26" s="366"/>
      <c r="D26" s="366"/>
      <c r="E26" s="368"/>
      <c r="F26" s="324"/>
      <c r="G26" s="324"/>
      <c r="H26" s="387"/>
      <c r="I26" s="388"/>
      <c r="J26" s="322"/>
      <c r="K26" s="368"/>
      <c r="L26" s="366"/>
      <c r="M26" s="366"/>
      <c r="N26" s="368"/>
      <c r="O26" s="324"/>
      <c r="P26" s="387"/>
      <c r="Q26" s="322"/>
      <c r="R26" s="368"/>
      <c r="S26" s="366"/>
      <c r="T26" s="366"/>
      <c r="U26" s="368"/>
      <c r="V26" s="324"/>
    </row>
    <row r="27" ht="12.75" customHeight="1">
      <c r="A27" s="322"/>
      <c r="B27" s="60" t="s">
        <v>870</v>
      </c>
      <c r="C27" s="344">
        <v>0.01</v>
      </c>
      <c r="D27" s="343">
        <f>'F&amp;B'!$F$175</f>
        <v>51750</v>
      </c>
      <c r="E27" s="67">
        <f t="shared" ref="E27:E36" si="3">D27*C27</f>
        <v>517.5</v>
      </c>
      <c r="F27" s="324"/>
      <c r="G27" s="324"/>
      <c r="H27" s="387"/>
      <c r="I27" s="388"/>
      <c r="J27" s="322"/>
      <c r="K27" s="60"/>
      <c r="L27" s="342"/>
      <c r="M27" s="343"/>
      <c r="N27" s="67">
        <f t="shared" ref="N27:N36" si="4">M27*L27</f>
        <v>0</v>
      </c>
      <c r="O27" s="324"/>
      <c r="P27" s="387"/>
      <c r="Q27" s="322"/>
      <c r="R27" s="60" t="s">
        <v>870</v>
      </c>
      <c r="S27" s="344">
        <v>0.01</v>
      </c>
      <c r="T27" s="343">
        <f>'F&amp;B'!$F$175</f>
        <v>51750</v>
      </c>
      <c r="U27" s="67">
        <f t="shared" ref="U27:U36" si="5">T27*S27</f>
        <v>517.5</v>
      </c>
      <c r="V27" s="324"/>
    </row>
    <row r="28" ht="12.75" customHeight="1">
      <c r="A28" s="322"/>
      <c r="B28" s="75" t="s">
        <v>54</v>
      </c>
      <c r="C28" s="405">
        <v>0.03</v>
      </c>
      <c r="D28" s="371">
        <f>'F&amp;B'!$F$57/15</f>
        <v>9900</v>
      </c>
      <c r="E28" s="67">
        <f t="shared" si="3"/>
        <v>297</v>
      </c>
      <c r="F28" s="324"/>
      <c r="G28" s="324"/>
      <c r="H28" s="387"/>
      <c r="I28" s="388"/>
      <c r="J28" s="322"/>
      <c r="K28" s="75"/>
      <c r="L28" s="370"/>
      <c r="M28" s="371"/>
      <c r="N28" s="67">
        <f t="shared" si="4"/>
        <v>0</v>
      </c>
      <c r="O28" s="324"/>
      <c r="P28" s="387"/>
      <c r="Q28" s="322"/>
      <c r="R28" s="75" t="s">
        <v>54</v>
      </c>
      <c r="S28" s="405">
        <v>0.03</v>
      </c>
      <c r="T28" s="371">
        <f>'F&amp;B'!$F$57/15</f>
        <v>9900</v>
      </c>
      <c r="U28" s="67">
        <f t="shared" si="5"/>
        <v>297</v>
      </c>
      <c r="V28" s="324"/>
    </row>
    <row r="29" ht="12.75" customHeight="1">
      <c r="A29" s="322"/>
      <c r="B29" s="75"/>
      <c r="C29" s="370"/>
      <c r="D29" s="371"/>
      <c r="E29" s="67">
        <f t="shared" si="3"/>
        <v>0</v>
      </c>
      <c r="F29" s="324"/>
      <c r="G29" s="324"/>
      <c r="H29" s="387"/>
      <c r="I29" s="388"/>
      <c r="J29" s="322"/>
      <c r="K29" s="75"/>
      <c r="L29" s="346"/>
      <c r="M29" s="371"/>
      <c r="N29" s="67">
        <f t="shared" si="4"/>
        <v>0</v>
      </c>
      <c r="O29" s="324"/>
      <c r="P29" s="387"/>
      <c r="Q29" s="322"/>
      <c r="R29" s="75"/>
      <c r="S29" s="346"/>
      <c r="T29" s="371"/>
      <c r="U29" s="67">
        <f t="shared" si="5"/>
        <v>0</v>
      </c>
      <c r="V29" s="324"/>
    </row>
    <row r="30" ht="12.75" customHeight="1">
      <c r="A30" s="322"/>
      <c r="B30" s="75"/>
      <c r="C30" s="346"/>
      <c r="D30" s="371"/>
      <c r="E30" s="67">
        <f t="shared" si="3"/>
        <v>0</v>
      </c>
      <c r="F30" s="324"/>
      <c r="G30" s="324"/>
      <c r="H30" s="387"/>
      <c r="I30" s="388"/>
      <c r="J30" s="322"/>
      <c r="K30" s="429"/>
      <c r="L30" s="346"/>
      <c r="M30" s="371"/>
      <c r="N30" s="67">
        <f t="shared" si="4"/>
        <v>0</v>
      </c>
      <c r="O30" s="324"/>
      <c r="P30" s="387"/>
      <c r="Q30" s="322"/>
      <c r="R30" s="429"/>
      <c r="S30" s="346"/>
      <c r="T30" s="371"/>
      <c r="U30" s="67">
        <f t="shared" si="5"/>
        <v>0</v>
      </c>
      <c r="V30" s="324"/>
    </row>
    <row r="31" ht="12.75" customHeight="1">
      <c r="A31" s="322"/>
      <c r="B31" s="75"/>
      <c r="C31" s="346"/>
      <c r="D31" s="371"/>
      <c r="E31" s="67">
        <f t="shared" si="3"/>
        <v>0</v>
      </c>
      <c r="F31" s="324"/>
      <c r="G31" s="324"/>
      <c r="H31" s="387"/>
      <c r="I31" s="388"/>
      <c r="J31" s="322"/>
      <c r="K31" s="75"/>
      <c r="L31" s="346"/>
      <c r="M31" s="371"/>
      <c r="N31" s="67">
        <f t="shared" si="4"/>
        <v>0</v>
      </c>
      <c r="O31" s="324"/>
      <c r="P31" s="387"/>
      <c r="Q31" s="322"/>
      <c r="R31" s="75"/>
      <c r="S31" s="346"/>
      <c r="T31" s="371"/>
      <c r="U31" s="67">
        <f t="shared" si="5"/>
        <v>0</v>
      </c>
      <c r="V31" s="324"/>
    </row>
    <row r="32" ht="12.75" customHeight="1">
      <c r="A32" s="322"/>
      <c r="B32" s="75"/>
      <c r="C32" s="346"/>
      <c r="D32" s="371"/>
      <c r="E32" s="67">
        <f t="shared" si="3"/>
        <v>0</v>
      </c>
      <c r="F32" s="324"/>
      <c r="G32" s="324"/>
      <c r="H32" s="387"/>
      <c r="I32" s="388"/>
      <c r="J32" s="322"/>
      <c r="K32" s="75"/>
      <c r="L32" s="346"/>
      <c r="M32" s="371"/>
      <c r="N32" s="67">
        <f t="shared" si="4"/>
        <v>0</v>
      </c>
      <c r="O32" s="324"/>
      <c r="P32" s="387"/>
      <c r="Q32" s="322"/>
      <c r="R32" s="75"/>
      <c r="S32" s="346"/>
      <c r="T32" s="371"/>
      <c r="U32" s="67">
        <f t="shared" si="5"/>
        <v>0</v>
      </c>
      <c r="V32" s="324"/>
    </row>
    <row r="33" ht="12.75" customHeight="1">
      <c r="A33" s="322"/>
      <c r="B33" s="75"/>
      <c r="C33" s="342"/>
      <c r="D33" s="343"/>
      <c r="E33" s="67">
        <f t="shared" si="3"/>
        <v>0</v>
      </c>
      <c r="F33" s="324"/>
      <c r="G33" s="324"/>
      <c r="H33" s="387"/>
      <c r="I33" s="388"/>
      <c r="J33" s="322"/>
      <c r="K33" s="75"/>
      <c r="L33" s="342"/>
      <c r="M33" s="343"/>
      <c r="N33" s="67">
        <f t="shared" si="4"/>
        <v>0</v>
      </c>
      <c r="O33" s="324"/>
      <c r="P33" s="387"/>
      <c r="Q33" s="322"/>
      <c r="R33" s="75"/>
      <c r="S33" s="342"/>
      <c r="T33" s="343"/>
      <c r="U33" s="67">
        <f t="shared" si="5"/>
        <v>0</v>
      </c>
      <c r="V33" s="324"/>
    </row>
    <row r="34" ht="12.75" customHeight="1">
      <c r="A34" s="322"/>
      <c r="B34" s="348"/>
      <c r="C34" s="346"/>
      <c r="D34" s="373"/>
      <c r="E34" s="67">
        <f t="shared" si="3"/>
        <v>0</v>
      </c>
      <c r="F34" s="324"/>
      <c r="G34" s="324"/>
      <c r="H34" s="387"/>
      <c r="I34" s="388"/>
      <c r="J34" s="322"/>
      <c r="K34" s="348"/>
      <c r="L34" s="346"/>
      <c r="M34" s="373"/>
      <c r="N34" s="67">
        <f t="shared" si="4"/>
        <v>0</v>
      </c>
      <c r="O34" s="324"/>
      <c r="P34" s="387"/>
      <c r="Q34" s="322"/>
      <c r="R34" s="348"/>
      <c r="S34" s="346"/>
      <c r="T34" s="373"/>
      <c r="U34" s="67">
        <f t="shared" si="5"/>
        <v>0</v>
      </c>
      <c r="V34" s="324"/>
    </row>
    <row r="35" ht="12.75" customHeight="1">
      <c r="A35" s="322"/>
      <c r="B35" s="348"/>
      <c r="C35" s="346"/>
      <c r="D35" s="373"/>
      <c r="E35" s="67">
        <f t="shared" si="3"/>
        <v>0</v>
      </c>
      <c r="F35" s="324"/>
      <c r="G35" s="324"/>
      <c r="H35" s="387"/>
      <c r="I35" s="388"/>
      <c r="J35" s="322"/>
      <c r="K35" s="348"/>
      <c r="L35" s="346"/>
      <c r="M35" s="373"/>
      <c r="N35" s="67">
        <f t="shared" si="4"/>
        <v>0</v>
      </c>
      <c r="O35" s="324"/>
      <c r="P35" s="387"/>
      <c r="Q35" s="322"/>
      <c r="R35" s="348"/>
      <c r="S35" s="346"/>
      <c r="T35" s="373"/>
      <c r="U35" s="67">
        <f t="shared" si="5"/>
        <v>0</v>
      </c>
      <c r="V35" s="324"/>
    </row>
    <row r="36" ht="12.75" customHeight="1">
      <c r="A36" s="322"/>
      <c r="B36" s="354"/>
      <c r="C36" s="355"/>
      <c r="D36" s="356"/>
      <c r="E36" s="67">
        <f t="shared" si="3"/>
        <v>0</v>
      </c>
      <c r="F36" s="324"/>
      <c r="G36" s="324"/>
      <c r="H36" s="387"/>
      <c r="I36" s="388"/>
      <c r="J36" s="322"/>
      <c r="K36" s="354"/>
      <c r="L36" s="355"/>
      <c r="M36" s="356"/>
      <c r="N36" s="67">
        <f t="shared" si="4"/>
        <v>0</v>
      </c>
      <c r="O36" s="324"/>
      <c r="P36" s="387"/>
      <c r="Q36" s="322"/>
      <c r="R36" s="354"/>
      <c r="S36" s="355"/>
      <c r="T36" s="356"/>
      <c r="U36" s="67">
        <f t="shared" si="5"/>
        <v>0</v>
      </c>
      <c r="V36" s="324"/>
    </row>
    <row r="37" ht="12.75" customHeight="1">
      <c r="A37" s="322"/>
      <c r="B37" s="362" t="s">
        <v>84</v>
      </c>
      <c r="C37" s="374"/>
      <c r="D37" s="374"/>
      <c r="E37" s="375">
        <f>IF(SUM(E27:E36)=0,"",SUM(E27:E36))</f>
        <v>814.5</v>
      </c>
      <c r="F37" s="324"/>
      <c r="G37" s="324"/>
      <c r="H37" s="387"/>
      <c r="I37" s="388"/>
      <c r="J37" s="322"/>
      <c r="K37" s="362" t="s">
        <v>84</v>
      </c>
      <c r="L37" s="374"/>
      <c r="M37" s="374"/>
      <c r="N37" s="375" t="str">
        <f>IF(SUM(N27:N36)=0,"",SUM(N27:N36))</f>
        <v/>
      </c>
      <c r="O37" s="324"/>
      <c r="P37" s="387"/>
      <c r="Q37" s="322"/>
      <c r="R37" s="362" t="s">
        <v>84</v>
      </c>
      <c r="S37" s="374"/>
      <c r="T37" s="374"/>
      <c r="U37" s="375">
        <f>IF(SUM(U27:U36)=0,"",SUM(U27:U36))</f>
        <v>814.5</v>
      </c>
      <c r="V37" s="324"/>
    </row>
    <row r="38" ht="12.75" customHeight="1">
      <c r="A38" s="322"/>
      <c r="B38" s="360"/>
      <c r="C38" s="360"/>
      <c r="D38" s="360"/>
      <c r="E38" s="361"/>
      <c r="F38" s="324"/>
      <c r="G38" s="324"/>
      <c r="H38" s="387"/>
      <c r="I38" s="388"/>
      <c r="J38" s="322"/>
      <c r="K38" s="360"/>
      <c r="L38" s="360"/>
      <c r="M38" s="360"/>
      <c r="N38" s="361"/>
      <c r="O38" s="324"/>
      <c r="P38" s="387"/>
      <c r="Q38" s="322"/>
      <c r="R38" s="360"/>
      <c r="S38" s="360"/>
      <c r="T38" s="360"/>
      <c r="U38" s="361"/>
      <c r="V38" s="324"/>
    </row>
    <row r="39" ht="12.75" customHeight="1">
      <c r="A39" s="322"/>
      <c r="B39" s="34" t="s">
        <v>17</v>
      </c>
      <c r="C39" s="35"/>
      <c r="D39" s="35"/>
      <c r="E39" s="35"/>
      <c r="F39" s="324"/>
      <c r="G39" s="324"/>
      <c r="H39" s="387"/>
      <c r="I39" s="388"/>
      <c r="J39" s="322"/>
      <c r="K39" s="34" t="s">
        <v>17</v>
      </c>
      <c r="L39" s="35"/>
      <c r="M39" s="35"/>
      <c r="N39" s="35"/>
      <c r="O39" s="324"/>
      <c r="P39" s="387"/>
      <c r="Q39" s="322"/>
      <c r="R39" s="34" t="s">
        <v>17</v>
      </c>
      <c r="S39" s="35"/>
      <c r="T39" s="35"/>
      <c r="U39" s="35"/>
      <c r="V39" s="324"/>
    </row>
    <row r="40" ht="12.75" customHeight="1">
      <c r="A40" s="322"/>
      <c r="B40" s="52" t="s">
        <v>42</v>
      </c>
      <c r="C40" s="54"/>
      <c r="D40" s="54"/>
      <c r="E40" s="56" t="s">
        <v>35</v>
      </c>
      <c r="F40" s="324"/>
      <c r="G40" s="324"/>
      <c r="H40" s="387"/>
      <c r="I40" s="388"/>
      <c r="J40" s="322"/>
      <c r="K40" s="52" t="s">
        <v>42</v>
      </c>
      <c r="L40" s="54"/>
      <c r="M40" s="54"/>
      <c r="N40" s="56" t="s">
        <v>35</v>
      </c>
      <c r="O40" s="324"/>
      <c r="P40" s="387"/>
      <c r="Q40" s="322"/>
      <c r="R40" s="52" t="s">
        <v>42</v>
      </c>
      <c r="S40" s="54"/>
      <c r="T40" s="54"/>
      <c r="U40" s="56" t="s">
        <v>35</v>
      </c>
      <c r="V40" s="324"/>
    </row>
    <row r="41" ht="12.75" customHeight="1">
      <c r="A41" s="322"/>
      <c r="B41" s="60" t="s">
        <v>40</v>
      </c>
      <c r="C41" s="343">
        <f>'UTL COST'!$B$3</f>
        <v>369000</v>
      </c>
      <c r="D41" s="379">
        <f>'UTL COST'!$C$3</f>
        <v>0.0075</v>
      </c>
      <c r="E41" s="67">
        <v>0.0</v>
      </c>
      <c r="F41" s="324"/>
      <c r="G41" s="324"/>
      <c r="H41" s="387"/>
      <c r="I41" s="388"/>
      <c r="J41" s="322"/>
      <c r="K41" s="60" t="s">
        <v>40</v>
      </c>
      <c r="L41" s="343">
        <f>'UTL COST'!$B$3</f>
        <v>369000</v>
      </c>
      <c r="M41" s="379">
        <f>'UTL COST'!$C$3</f>
        <v>0.0075</v>
      </c>
      <c r="N41" s="67">
        <v>0.0</v>
      </c>
      <c r="O41" s="324"/>
      <c r="P41" s="387"/>
      <c r="Q41" s="322"/>
      <c r="R41" s="60" t="s">
        <v>40</v>
      </c>
      <c r="S41" s="343">
        <f>'UTL COST'!$B$3</f>
        <v>369000</v>
      </c>
      <c r="T41" s="379">
        <f>'UTL COST'!$C$3</f>
        <v>0.0075</v>
      </c>
      <c r="U41" s="67">
        <v>0.0</v>
      </c>
      <c r="V41" s="324"/>
    </row>
    <row r="42" ht="12.75" customHeight="1">
      <c r="A42" s="322"/>
      <c r="B42" s="75" t="s">
        <v>51</v>
      </c>
      <c r="C42" s="371" t="str">
        <f>'UTL COST'!$B$4</f>
        <v>#REF!</v>
      </c>
      <c r="D42" s="382">
        <f>'UTL COST'!$C$4</f>
        <v>7000</v>
      </c>
      <c r="E42" s="76" t="str">
        <f>'UTL COST'!$D$4</f>
        <v>#REF!</v>
      </c>
      <c r="F42" s="324"/>
      <c r="G42" s="324"/>
      <c r="H42" s="387"/>
      <c r="I42" s="388"/>
      <c r="J42" s="322"/>
      <c r="K42" s="75" t="s">
        <v>51</v>
      </c>
      <c r="L42" s="371" t="str">
        <f>'UTL COST'!$B$4</f>
        <v>#REF!</v>
      </c>
      <c r="M42" s="382">
        <f>'UTL COST'!$C$4</f>
        <v>7000</v>
      </c>
      <c r="N42" s="76" t="str">
        <f>'UTL COST'!$D$4</f>
        <v>#REF!</v>
      </c>
      <c r="O42" s="324"/>
      <c r="P42" s="387"/>
      <c r="Q42" s="322"/>
      <c r="R42" s="75" t="s">
        <v>51</v>
      </c>
      <c r="S42" s="371" t="str">
        <f>'UTL COST'!$B$4</f>
        <v>#REF!</v>
      </c>
      <c r="T42" s="382">
        <f>'UTL COST'!$C$4</f>
        <v>7000</v>
      </c>
      <c r="U42" s="76"/>
      <c r="V42" s="324"/>
    </row>
    <row r="43" ht="12.75" customHeight="1">
      <c r="A43" s="322"/>
      <c r="B43" s="75" t="s">
        <v>59</v>
      </c>
      <c r="C43" s="371" t="str">
        <f>'UTL COST'!$B$5</f>
        <v>#REF!</v>
      </c>
      <c r="D43" s="382">
        <f>'UTL COST'!$C$5</f>
        <v>45000</v>
      </c>
      <c r="E43" s="76" t="str">
        <f>'UTL COST'!$D$5</f>
        <v>#REF!</v>
      </c>
      <c r="F43" s="324"/>
      <c r="G43" s="324"/>
      <c r="H43" s="387"/>
      <c r="I43" s="388"/>
      <c r="J43" s="322"/>
      <c r="K43" s="75" t="s">
        <v>59</v>
      </c>
      <c r="L43" s="371" t="str">
        <f>'UTL COST'!$B$5</f>
        <v>#REF!</v>
      </c>
      <c r="M43" s="382">
        <f>'UTL COST'!$C$5</f>
        <v>45000</v>
      </c>
      <c r="N43" s="76" t="str">
        <f>'UTL COST'!$D$5</f>
        <v>#REF!</v>
      </c>
      <c r="O43" s="324"/>
      <c r="P43" s="387"/>
      <c r="Q43" s="322"/>
      <c r="R43" s="75" t="s">
        <v>59</v>
      </c>
      <c r="S43" s="371" t="str">
        <f>'UTL COST'!$B$5</f>
        <v>#REF!</v>
      </c>
      <c r="T43" s="382">
        <f>'UTL COST'!$C$5</f>
        <v>45000</v>
      </c>
      <c r="U43" s="76"/>
      <c r="V43" s="324"/>
    </row>
    <row r="44" ht="12.75" customHeight="1">
      <c r="A44" s="322"/>
      <c r="B44" s="87" t="s">
        <v>78</v>
      </c>
      <c r="C44" s="371" t="str">
        <f>'UTL COST'!$B$6</f>
        <v>#REF!</v>
      </c>
      <c r="D44" s="383">
        <f>'UTL COST'!$C$6</f>
        <v>525</v>
      </c>
      <c r="E44" s="89">
        <v>0.1</v>
      </c>
      <c r="F44" s="324"/>
      <c r="G44" s="324"/>
      <c r="H44" s="387"/>
      <c r="I44" s="388"/>
      <c r="J44" s="322"/>
      <c r="K44" s="87" t="s">
        <v>78</v>
      </c>
      <c r="L44" s="371" t="str">
        <f>'UTL COST'!$B$6</f>
        <v>#REF!</v>
      </c>
      <c r="M44" s="383">
        <f>'UTL COST'!$C$6</f>
        <v>525</v>
      </c>
      <c r="N44" s="89">
        <v>0.1</v>
      </c>
      <c r="O44" s="324"/>
      <c r="P44" s="387"/>
      <c r="Q44" s="322"/>
      <c r="R44" s="87" t="s">
        <v>78</v>
      </c>
      <c r="S44" s="371" t="str">
        <f>'UTL COST'!$B$6</f>
        <v>#REF!</v>
      </c>
      <c r="T44" s="383">
        <f>'UTL COST'!$C$6</f>
        <v>525</v>
      </c>
      <c r="U44" s="89">
        <v>0.1</v>
      </c>
      <c r="V44" s="324"/>
    </row>
    <row r="45" ht="12.75" customHeight="1">
      <c r="A45" s="322"/>
      <c r="B45" s="34" t="s">
        <v>84</v>
      </c>
      <c r="C45" s="102"/>
      <c r="D45" s="102"/>
      <c r="E45" s="104" t="str">
        <f>IF(SUM(E41:E44)=0,"",SUM(E41:E44))</f>
        <v>#REF!</v>
      </c>
      <c r="F45" s="324"/>
      <c r="G45" s="324"/>
      <c r="H45" s="387"/>
      <c r="I45" s="388"/>
      <c r="J45" s="322"/>
      <c r="K45" s="34" t="s">
        <v>84</v>
      </c>
      <c r="L45" s="102"/>
      <c r="M45" s="102"/>
      <c r="N45" s="104" t="str">
        <f>IF(SUM(N41:N44)=0,"",SUM(N41:N44))</f>
        <v>#REF!</v>
      </c>
      <c r="O45" s="324"/>
      <c r="P45" s="387"/>
      <c r="Q45" s="322"/>
      <c r="R45" s="34" t="s">
        <v>84</v>
      </c>
      <c r="S45" s="102"/>
      <c r="T45" s="102"/>
      <c r="U45" s="104">
        <f>IF(SUM(U41:U44)=0,"",SUM(U41:U44))</f>
        <v>0.1</v>
      </c>
      <c r="V45" s="324"/>
    </row>
    <row r="46" ht="12.75" customHeight="1">
      <c r="A46" s="322"/>
      <c r="B46" s="360"/>
      <c r="C46" s="360"/>
      <c r="D46" s="360"/>
      <c r="E46" s="361"/>
      <c r="F46" s="324"/>
      <c r="G46" s="324"/>
      <c r="H46" s="387"/>
      <c r="I46" s="388"/>
      <c r="J46" s="322"/>
      <c r="K46" s="360"/>
      <c r="L46" s="360"/>
      <c r="M46" s="360"/>
      <c r="N46" s="361"/>
      <c r="O46" s="324"/>
      <c r="P46" s="387"/>
      <c r="Q46" s="322"/>
      <c r="R46" s="360"/>
      <c r="S46" s="360"/>
      <c r="T46" s="360"/>
      <c r="U46" s="361"/>
      <c r="V46" s="324"/>
    </row>
    <row r="47" ht="12.75" customHeight="1">
      <c r="A47" s="387"/>
      <c r="B47" s="387"/>
      <c r="C47" s="387"/>
      <c r="D47" s="387"/>
      <c r="E47" s="418"/>
      <c r="F47" s="387"/>
      <c r="G47" s="387"/>
      <c r="H47" s="387"/>
      <c r="I47" s="387"/>
      <c r="J47" s="387"/>
      <c r="K47" s="387"/>
      <c r="L47" s="387"/>
      <c r="M47" s="387"/>
      <c r="N47" s="387"/>
      <c r="O47" s="387"/>
      <c r="P47" s="387"/>
      <c r="Q47" s="387"/>
    </row>
    <row r="48" ht="12.75" customHeight="1">
      <c r="A48" s="322"/>
      <c r="B48" s="322"/>
      <c r="C48" s="322"/>
      <c r="D48" s="322"/>
      <c r="E48" s="323"/>
      <c r="F48" s="324"/>
      <c r="G48" s="324"/>
      <c r="H48" s="387"/>
      <c r="I48" s="388"/>
      <c r="J48" s="322"/>
      <c r="K48" s="322"/>
      <c r="L48" s="322"/>
      <c r="M48" s="322"/>
      <c r="N48" s="323"/>
      <c r="O48" s="324"/>
      <c r="P48" s="387"/>
      <c r="Q48" s="387"/>
    </row>
    <row r="49" ht="12.75" customHeight="1">
      <c r="A49" s="322"/>
      <c r="B49" s="325"/>
      <c r="C49" s="322"/>
      <c r="D49" s="322"/>
      <c r="E49" s="323"/>
      <c r="F49" s="326"/>
      <c r="G49" s="326"/>
      <c r="H49" s="404"/>
      <c r="I49" s="388"/>
      <c r="J49" s="322"/>
      <c r="K49" s="325"/>
      <c r="L49" s="322"/>
      <c r="M49" s="322"/>
      <c r="N49" s="323"/>
      <c r="O49" s="326"/>
      <c r="P49" s="387"/>
      <c r="Q49" s="387"/>
    </row>
    <row r="50" ht="12.75" customHeight="1">
      <c r="A50" s="322"/>
      <c r="B50" s="327" t="s">
        <v>931</v>
      </c>
      <c r="C50" s="328" t="s">
        <v>858</v>
      </c>
      <c r="D50" s="329"/>
      <c r="E50" s="323"/>
      <c r="F50" s="326"/>
      <c r="G50" s="326"/>
      <c r="H50" s="404"/>
      <c r="I50" s="388"/>
      <c r="J50" s="322"/>
      <c r="K50" s="327" t="s">
        <v>931</v>
      </c>
      <c r="L50" s="328" t="s">
        <v>854</v>
      </c>
      <c r="M50" s="329"/>
      <c r="N50" s="323"/>
      <c r="O50" s="326"/>
      <c r="P50" s="387"/>
      <c r="Q50" s="387"/>
    </row>
    <row r="51" ht="12.75" customHeight="1">
      <c r="A51" s="322"/>
      <c r="B51" s="325"/>
      <c r="C51" s="322"/>
      <c r="D51" s="322"/>
      <c r="E51" s="323"/>
      <c r="F51" s="326"/>
      <c r="G51" s="326"/>
      <c r="H51" s="404"/>
      <c r="I51" s="388"/>
      <c r="J51" s="322"/>
      <c r="K51" s="325"/>
      <c r="L51" s="322"/>
      <c r="M51" s="322"/>
      <c r="N51" s="323"/>
      <c r="O51" s="326"/>
      <c r="P51" s="387"/>
      <c r="Q51" s="387"/>
    </row>
    <row r="52" ht="12.75" customHeight="1">
      <c r="A52" s="322"/>
      <c r="B52" s="327" t="s">
        <v>935</v>
      </c>
      <c r="C52" s="331">
        <v>105000.0</v>
      </c>
      <c r="D52" s="329"/>
      <c r="E52" s="323"/>
      <c r="F52" s="326"/>
      <c r="G52" s="326"/>
      <c r="H52" s="404"/>
      <c r="I52" s="388"/>
      <c r="J52" s="322"/>
      <c r="K52" s="327" t="s">
        <v>935</v>
      </c>
      <c r="L52" s="331">
        <v>115000.0</v>
      </c>
      <c r="M52" s="329"/>
      <c r="N52" s="323"/>
      <c r="O52" s="326"/>
      <c r="P52" s="387"/>
      <c r="Q52" s="387"/>
    </row>
    <row r="53" ht="12.75" customHeight="1">
      <c r="A53" s="322"/>
      <c r="B53" s="327"/>
      <c r="C53" s="332"/>
      <c r="D53" s="332"/>
      <c r="E53" s="323"/>
      <c r="F53" s="326"/>
      <c r="G53" s="326"/>
      <c r="H53" s="404"/>
      <c r="I53" s="388"/>
      <c r="J53" s="322"/>
      <c r="K53" s="327"/>
      <c r="L53" s="332"/>
      <c r="M53" s="332"/>
      <c r="N53" s="323"/>
      <c r="O53" s="326"/>
      <c r="P53" s="387"/>
      <c r="Q53" s="387"/>
    </row>
    <row r="54" ht="12.75" customHeight="1">
      <c r="A54" s="322"/>
      <c r="B54" s="327" t="s">
        <v>939</v>
      </c>
      <c r="C54" s="333" t="str">
        <f>IF(SUM(E67,E82,E90)=0,"",SUM(E67,E82,E90))</f>
        <v>#REF!</v>
      </c>
      <c r="D54" s="321"/>
      <c r="E54" s="323"/>
      <c r="F54" s="326"/>
      <c r="G54" s="326"/>
      <c r="H54" s="404"/>
      <c r="I54" s="388"/>
      <c r="J54" s="322"/>
      <c r="K54" s="327" t="s">
        <v>939</v>
      </c>
      <c r="L54" s="333" t="str">
        <f>IF(SUM(N67,N82,N90)=0,"",SUM(N67,N82,N90))</f>
        <v>#REF!</v>
      </c>
      <c r="M54" s="321"/>
      <c r="N54" s="323"/>
      <c r="O54" s="326"/>
      <c r="P54" s="387"/>
      <c r="Q54" s="387"/>
    </row>
    <row r="55" ht="12.75" customHeight="1">
      <c r="A55" s="322"/>
      <c r="B55" s="327"/>
      <c r="C55" s="334"/>
      <c r="D55" s="334"/>
      <c r="E55" s="323"/>
      <c r="F55" s="326"/>
      <c r="G55" s="326"/>
      <c r="H55" s="404"/>
      <c r="I55" s="388"/>
      <c r="J55" s="322"/>
      <c r="K55" s="327"/>
      <c r="L55" s="334"/>
      <c r="M55" s="334"/>
      <c r="N55" s="323"/>
      <c r="O55" s="326"/>
      <c r="P55" s="387"/>
      <c r="Q55" s="387"/>
    </row>
    <row r="56" ht="12.75" customHeight="1">
      <c r="A56" s="322"/>
      <c r="B56" s="327" t="s">
        <v>946</v>
      </c>
      <c r="C56" s="335" t="str">
        <f>IF(C54="","",IF(ISBLANK(C52),"",C54/C52))</f>
        <v>#REF!</v>
      </c>
      <c r="D56" s="321"/>
      <c r="E56" s="323"/>
      <c r="F56" s="326"/>
      <c r="G56" s="326"/>
      <c r="H56" s="404"/>
      <c r="I56" s="388"/>
      <c r="J56" s="322"/>
      <c r="K56" s="327" t="s">
        <v>946</v>
      </c>
      <c r="L56" s="335" t="str">
        <f>IF(L54="","",IF(ISBLANK(L52),"",L54/L52))</f>
        <v>#REF!</v>
      </c>
      <c r="M56" s="321"/>
      <c r="N56" s="323"/>
      <c r="O56" s="326"/>
      <c r="P56" s="387"/>
      <c r="Q56" s="387"/>
    </row>
    <row r="57" ht="12.75" customHeight="1">
      <c r="A57" s="322"/>
      <c r="B57" s="327"/>
      <c r="C57" s="334"/>
      <c r="D57" s="334"/>
      <c r="E57" s="323"/>
      <c r="F57" s="326"/>
      <c r="G57" s="326"/>
      <c r="H57" s="404"/>
      <c r="I57" s="388"/>
      <c r="J57" s="322"/>
      <c r="K57" s="327"/>
      <c r="L57" s="334"/>
      <c r="M57" s="334"/>
      <c r="N57" s="323"/>
      <c r="O57" s="326"/>
      <c r="P57" s="387"/>
      <c r="Q57" s="387"/>
    </row>
    <row r="58" ht="12.75" customHeight="1">
      <c r="A58" s="322"/>
      <c r="B58" s="327" t="s">
        <v>950</v>
      </c>
      <c r="C58" s="333" t="str">
        <f>C52-C54</f>
        <v>#REF!</v>
      </c>
      <c r="D58" s="321"/>
      <c r="E58" s="323"/>
      <c r="F58" s="326"/>
      <c r="G58" s="326"/>
      <c r="H58" s="404"/>
      <c r="I58" s="388"/>
      <c r="J58" s="322"/>
      <c r="K58" s="327" t="s">
        <v>950</v>
      </c>
      <c r="L58" s="333" t="str">
        <f>L52-L54</f>
        <v>#REF!</v>
      </c>
      <c r="M58" s="321"/>
      <c r="N58" s="323"/>
      <c r="O58" s="326"/>
      <c r="P58" s="387"/>
      <c r="Q58" s="387"/>
    </row>
    <row r="59" ht="12.75" customHeight="1">
      <c r="A59" s="322"/>
      <c r="B59" s="327"/>
      <c r="C59" s="333"/>
      <c r="D59" s="333"/>
      <c r="E59" s="323"/>
      <c r="F59" s="326"/>
      <c r="G59" s="326"/>
      <c r="H59" s="404"/>
      <c r="I59" s="388"/>
      <c r="J59" s="322"/>
      <c r="K59" s="327"/>
      <c r="L59" s="333"/>
      <c r="M59" s="333"/>
      <c r="N59" s="323"/>
      <c r="O59" s="326"/>
      <c r="P59" s="387"/>
      <c r="Q59" s="387"/>
    </row>
    <row r="60" ht="12.75" customHeight="1">
      <c r="A60" s="322"/>
      <c r="B60" s="322"/>
      <c r="C60" s="322"/>
      <c r="D60" s="322"/>
      <c r="E60" s="323"/>
      <c r="F60" s="324"/>
      <c r="G60" s="324"/>
      <c r="H60" s="404"/>
      <c r="I60" s="388"/>
      <c r="J60" s="322"/>
      <c r="K60" s="322"/>
      <c r="L60" s="322"/>
      <c r="M60" s="322"/>
      <c r="N60" s="323"/>
      <c r="O60" s="324"/>
      <c r="P60" s="387"/>
      <c r="Q60" s="387"/>
    </row>
    <row r="61" ht="12.75" customHeight="1">
      <c r="A61" s="322"/>
      <c r="B61" s="322"/>
      <c r="C61" s="322"/>
      <c r="D61" s="322"/>
      <c r="E61" s="337"/>
      <c r="F61" s="324"/>
      <c r="G61" s="324"/>
      <c r="H61" s="387"/>
      <c r="I61" s="388"/>
      <c r="J61" s="322"/>
      <c r="K61" s="322"/>
      <c r="L61" s="322"/>
      <c r="M61" s="322"/>
      <c r="N61" s="337"/>
      <c r="O61" s="324"/>
      <c r="P61" s="387"/>
      <c r="Q61" s="387"/>
    </row>
    <row r="62" ht="12.75" customHeight="1">
      <c r="A62" s="322"/>
      <c r="B62" s="338" t="s">
        <v>951</v>
      </c>
      <c r="C62" s="339"/>
      <c r="D62" s="339"/>
      <c r="E62" s="339"/>
      <c r="F62" s="324"/>
      <c r="G62" s="324"/>
      <c r="H62" s="410"/>
      <c r="I62" s="388"/>
      <c r="J62" s="322"/>
      <c r="K62" s="338" t="s">
        <v>951</v>
      </c>
      <c r="L62" s="339"/>
      <c r="M62" s="339"/>
      <c r="N62" s="339"/>
      <c r="O62" s="324"/>
      <c r="P62" s="387"/>
      <c r="Q62" s="387"/>
    </row>
    <row r="63" ht="12.75" customHeight="1">
      <c r="A63" s="322"/>
      <c r="B63" s="340" t="s">
        <v>953</v>
      </c>
      <c r="C63" s="341" t="s">
        <v>954</v>
      </c>
      <c r="D63" s="341" t="s">
        <v>955</v>
      </c>
      <c r="E63" s="341" t="s">
        <v>35</v>
      </c>
      <c r="F63" s="324"/>
      <c r="G63" s="324"/>
      <c r="H63" s="387"/>
      <c r="I63" s="388"/>
      <c r="J63" s="322"/>
      <c r="K63" s="340" t="s">
        <v>953</v>
      </c>
      <c r="L63" s="341" t="s">
        <v>954</v>
      </c>
      <c r="M63" s="341" t="s">
        <v>955</v>
      </c>
      <c r="N63" s="341" t="s">
        <v>35</v>
      </c>
      <c r="O63" s="324"/>
      <c r="P63" s="387"/>
      <c r="Q63" s="387"/>
    </row>
    <row r="64" ht="12.75" customHeight="1">
      <c r="A64" s="322"/>
      <c r="B64" s="60" t="s">
        <v>850</v>
      </c>
      <c r="C64" s="342">
        <v>0.16</v>
      </c>
      <c r="D64" s="343">
        <f>M19</f>
        <v>63000</v>
      </c>
      <c r="E64" s="67">
        <f t="shared" ref="E64:E66" si="6">IF(OR(ISBLANK(C64),ISBLANK(D64)),"",D64*C64)</f>
        <v>10080</v>
      </c>
      <c r="F64" s="324"/>
      <c r="G64" s="324"/>
      <c r="H64" s="387"/>
      <c r="I64" s="388"/>
      <c r="J64" s="322"/>
      <c r="K64" s="60" t="s">
        <v>1219</v>
      </c>
      <c r="L64" s="342">
        <v>0.15</v>
      </c>
      <c r="M64" s="343">
        <f>'F&amp;B'!$F$209</f>
        <v>99000</v>
      </c>
      <c r="N64" s="67">
        <f t="shared" ref="N64:N66" si="7">IF(OR(ISBLANK(L64),ISBLANK(M64)),"",M64*L64)</f>
        <v>14850</v>
      </c>
      <c r="O64" s="324"/>
      <c r="P64" s="387"/>
      <c r="Q64" s="387"/>
    </row>
    <row r="65" ht="12.75" customHeight="1">
      <c r="A65" s="322"/>
      <c r="B65" s="75" t="s">
        <v>1222</v>
      </c>
      <c r="C65" s="370">
        <v>0.07</v>
      </c>
      <c r="D65" s="371">
        <f>'F&amp;B'!$F$223</f>
        <v>142920</v>
      </c>
      <c r="E65" s="67">
        <f t="shared" si="6"/>
        <v>10004.4</v>
      </c>
      <c r="F65" s="324"/>
      <c r="G65" s="324"/>
      <c r="H65" s="387"/>
      <c r="I65" s="388"/>
      <c r="J65" s="322"/>
      <c r="K65" s="87" t="s">
        <v>850</v>
      </c>
      <c r="L65" s="412">
        <v>0.08</v>
      </c>
      <c r="M65" s="408">
        <f>M19</f>
        <v>63000</v>
      </c>
      <c r="N65" s="89">
        <f t="shared" si="7"/>
        <v>5040</v>
      </c>
      <c r="O65" s="324"/>
      <c r="P65" s="387"/>
      <c r="Q65" s="387"/>
    </row>
    <row r="66" ht="12.75" customHeight="1">
      <c r="A66" s="322"/>
      <c r="B66" s="87" t="s">
        <v>200</v>
      </c>
      <c r="C66" s="355">
        <v>1.0</v>
      </c>
      <c r="D66" s="400">
        <f>SAUCES!$D$92</f>
        <v>900.9230769</v>
      </c>
      <c r="E66" s="67">
        <f t="shared" si="6"/>
        <v>900.9230769</v>
      </c>
      <c r="F66" s="324"/>
      <c r="G66" s="324"/>
      <c r="H66" s="387"/>
      <c r="I66" s="388"/>
      <c r="J66" s="322"/>
      <c r="K66" s="87" t="s">
        <v>200</v>
      </c>
      <c r="L66" s="355">
        <v>1.0</v>
      </c>
      <c r="M66" s="400">
        <f>SAUCES!$D$92</f>
        <v>900.9230769</v>
      </c>
      <c r="N66" s="67">
        <f t="shared" si="7"/>
        <v>900.9230769</v>
      </c>
      <c r="O66" s="324"/>
      <c r="P66" s="387"/>
      <c r="Q66" s="387"/>
    </row>
    <row r="67" ht="12.75" customHeight="1">
      <c r="A67" s="322"/>
      <c r="B67" s="338" t="s">
        <v>84</v>
      </c>
      <c r="C67" s="358"/>
      <c r="D67" s="358"/>
      <c r="E67" s="359">
        <f>IF(SUM(E64:E66)=0,"",SUM(E64:E66))</f>
        <v>20985.32308</v>
      </c>
      <c r="F67" s="324"/>
      <c r="G67" s="324"/>
      <c r="H67" s="387"/>
      <c r="I67" s="388"/>
      <c r="J67" s="322"/>
      <c r="K67" s="338" t="s">
        <v>84</v>
      </c>
      <c r="L67" s="358"/>
      <c r="M67" s="358"/>
      <c r="N67" s="359">
        <f>IF(SUM(N64:N66)=0,"",SUM(N64:N66))</f>
        <v>20790.92308</v>
      </c>
      <c r="O67" s="324"/>
      <c r="P67" s="387"/>
      <c r="Q67" s="387"/>
    </row>
    <row r="68" ht="12.75" customHeight="1">
      <c r="A68" s="322"/>
      <c r="B68" s="360"/>
      <c r="C68" s="360"/>
      <c r="D68" s="360"/>
      <c r="E68" s="361"/>
      <c r="F68" s="324"/>
      <c r="G68" s="324"/>
      <c r="H68" s="387"/>
      <c r="I68" s="388"/>
      <c r="J68" s="322"/>
      <c r="K68" s="360"/>
      <c r="L68" s="360"/>
      <c r="M68" s="360"/>
      <c r="N68" s="361"/>
      <c r="O68" s="324"/>
      <c r="P68" s="387"/>
      <c r="Q68" s="387"/>
    </row>
    <row r="69" ht="12.75" customHeight="1">
      <c r="A69" s="322"/>
      <c r="B69" s="362" t="s">
        <v>972</v>
      </c>
      <c r="C69" s="363"/>
      <c r="D69" s="363"/>
      <c r="E69" s="363"/>
      <c r="F69" s="324"/>
      <c r="G69" s="324"/>
      <c r="H69" s="387"/>
      <c r="I69" s="388"/>
      <c r="J69" s="322"/>
      <c r="K69" s="362" t="s">
        <v>972</v>
      </c>
      <c r="L69" s="363"/>
      <c r="M69" s="363"/>
      <c r="N69" s="363"/>
      <c r="O69" s="324"/>
      <c r="P69" s="387"/>
      <c r="Q69" s="387"/>
    </row>
    <row r="70" ht="12.75" customHeight="1">
      <c r="A70" s="322"/>
      <c r="B70" s="365" t="s">
        <v>953</v>
      </c>
      <c r="C70" s="366" t="s">
        <v>3</v>
      </c>
      <c r="D70" s="366" t="s">
        <v>975</v>
      </c>
      <c r="E70" s="367" t="s">
        <v>35</v>
      </c>
      <c r="F70" s="324"/>
      <c r="G70" s="324"/>
      <c r="H70" s="387"/>
      <c r="I70" s="388"/>
      <c r="J70" s="322"/>
      <c r="K70" s="365" t="s">
        <v>953</v>
      </c>
      <c r="L70" s="366" t="s">
        <v>3</v>
      </c>
      <c r="M70" s="366" t="s">
        <v>975</v>
      </c>
      <c r="N70" s="367" t="s">
        <v>35</v>
      </c>
      <c r="O70" s="324"/>
      <c r="P70" s="387"/>
      <c r="Q70" s="387"/>
    </row>
    <row r="71" ht="12.75" customHeight="1">
      <c r="A71" s="322"/>
      <c r="B71" s="368"/>
      <c r="C71" s="366"/>
      <c r="D71" s="366"/>
      <c r="E71" s="368"/>
      <c r="F71" s="324"/>
      <c r="G71" s="324"/>
      <c r="H71" s="387"/>
      <c r="I71" s="388"/>
      <c r="J71" s="322"/>
      <c r="K71" s="368"/>
      <c r="L71" s="366"/>
      <c r="M71" s="366"/>
      <c r="N71" s="368"/>
      <c r="O71" s="324"/>
      <c r="P71" s="387"/>
      <c r="Q71" s="387"/>
    </row>
    <row r="72" ht="12.75" customHeight="1">
      <c r="A72" s="322"/>
      <c r="B72" s="60"/>
      <c r="C72" s="342"/>
      <c r="D72" s="343"/>
      <c r="E72" s="67">
        <f t="shared" ref="E72:E81" si="8">D72*C72</f>
        <v>0</v>
      </c>
      <c r="F72" s="324"/>
      <c r="G72" s="324"/>
      <c r="H72" s="387"/>
      <c r="I72" s="388"/>
      <c r="J72" s="322"/>
      <c r="K72" s="60" t="s">
        <v>562</v>
      </c>
      <c r="L72" s="342">
        <v>0.04</v>
      </c>
      <c r="M72" s="343">
        <f>'F&amp;B'!$F$250/3.78</f>
        <v>28809.52381</v>
      </c>
      <c r="N72" s="67">
        <f t="shared" ref="N72:N81" si="9">M72*L72</f>
        <v>1152.380952</v>
      </c>
      <c r="O72" s="324"/>
      <c r="P72" s="387"/>
      <c r="Q72" s="387"/>
    </row>
    <row r="73" ht="12.75" customHeight="1">
      <c r="A73" s="322"/>
      <c r="B73" s="75"/>
      <c r="C73" s="370"/>
      <c r="D73" s="371"/>
      <c r="E73" s="67">
        <f t="shared" si="8"/>
        <v>0</v>
      </c>
      <c r="F73" s="324"/>
      <c r="G73" s="324"/>
      <c r="H73" s="387"/>
      <c r="I73" s="388"/>
      <c r="J73" s="322"/>
      <c r="K73" s="75" t="s">
        <v>1229</v>
      </c>
      <c r="L73" s="370">
        <v>0.06</v>
      </c>
      <c r="M73" s="371">
        <f>'F&amp;B'!$F$279</f>
        <v>7200</v>
      </c>
      <c r="N73" s="67">
        <f t="shared" si="9"/>
        <v>432</v>
      </c>
      <c r="O73" s="324"/>
      <c r="P73" s="387"/>
      <c r="Q73" s="387"/>
    </row>
    <row r="74" ht="12.75" customHeight="1">
      <c r="A74" s="322"/>
      <c r="B74" s="75"/>
      <c r="C74" s="370"/>
      <c r="D74" s="463"/>
      <c r="E74" s="67">
        <f t="shared" si="8"/>
        <v>0</v>
      </c>
      <c r="F74" s="324"/>
      <c r="G74" s="324"/>
      <c r="H74" s="387"/>
      <c r="I74" s="388"/>
      <c r="J74" s="322"/>
      <c r="K74" s="75" t="s">
        <v>161</v>
      </c>
      <c r="L74" s="370">
        <v>0.01</v>
      </c>
      <c r="M74" s="371">
        <f>'F&amp;B'!$F$49/10</f>
        <v>13500</v>
      </c>
      <c r="N74" s="67">
        <f t="shared" si="9"/>
        <v>135</v>
      </c>
      <c r="O74" s="324"/>
      <c r="P74" s="387"/>
      <c r="Q74" s="387"/>
    </row>
    <row r="75" ht="12.75" customHeight="1">
      <c r="A75" s="322"/>
      <c r="B75" s="75"/>
      <c r="C75" s="346"/>
      <c r="D75" s="371"/>
      <c r="E75" s="67">
        <f t="shared" si="8"/>
        <v>0</v>
      </c>
      <c r="F75" s="324"/>
      <c r="G75" s="324"/>
      <c r="H75" s="387"/>
      <c r="I75" s="388"/>
      <c r="J75" s="322"/>
      <c r="K75" s="75"/>
      <c r="L75" s="346"/>
      <c r="M75" s="371"/>
      <c r="N75" s="67">
        <f t="shared" si="9"/>
        <v>0</v>
      </c>
      <c r="O75" s="324"/>
      <c r="P75" s="387"/>
      <c r="Q75" s="387"/>
    </row>
    <row r="76" ht="12.75" customHeight="1">
      <c r="A76" s="322"/>
      <c r="B76" s="75"/>
      <c r="C76" s="346"/>
      <c r="D76" s="371"/>
      <c r="E76" s="67">
        <f t="shared" si="8"/>
        <v>0</v>
      </c>
      <c r="F76" s="324"/>
      <c r="G76" s="324"/>
      <c r="H76" s="387"/>
      <c r="I76" s="388"/>
      <c r="J76" s="322"/>
      <c r="K76" s="75"/>
      <c r="L76" s="346"/>
      <c r="M76" s="371"/>
      <c r="N76" s="67">
        <f t="shared" si="9"/>
        <v>0</v>
      </c>
      <c r="O76" s="324"/>
      <c r="P76" s="387"/>
      <c r="Q76" s="387"/>
    </row>
    <row r="77" ht="12.75" customHeight="1">
      <c r="A77" s="322"/>
      <c r="B77" s="75"/>
      <c r="C77" s="346"/>
      <c r="D77" s="371"/>
      <c r="E77" s="67">
        <f t="shared" si="8"/>
        <v>0</v>
      </c>
      <c r="F77" s="324"/>
      <c r="G77" s="324"/>
      <c r="H77" s="387"/>
      <c r="I77" s="388"/>
      <c r="J77" s="322"/>
      <c r="K77" s="75"/>
      <c r="L77" s="370"/>
      <c r="M77" s="371"/>
      <c r="N77" s="67">
        <f t="shared" si="9"/>
        <v>0</v>
      </c>
      <c r="O77" s="324"/>
      <c r="P77" s="387"/>
      <c r="Q77" s="387"/>
    </row>
    <row r="78" ht="12.75" customHeight="1">
      <c r="A78" s="322"/>
      <c r="B78" s="75"/>
      <c r="C78" s="342"/>
      <c r="D78" s="343"/>
      <c r="E78" s="67">
        <f t="shared" si="8"/>
        <v>0</v>
      </c>
      <c r="F78" s="324"/>
      <c r="G78" s="324"/>
      <c r="H78" s="387"/>
      <c r="I78" s="388"/>
      <c r="J78" s="322"/>
      <c r="K78" s="75"/>
      <c r="L78" s="346"/>
      <c r="M78" s="371"/>
      <c r="N78" s="67">
        <f t="shared" si="9"/>
        <v>0</v>
      </c>
      <c r="O78" s="324"/>
      <c r="P78" s="387"/>
      <c r="Q78" s="387"/>
    </row>
    <row r="79" ht="12.75" customHeight="1">
      <c r="A79" s="322"/>
      <c r="B79" s="348"/>
      <c r="C79" s="346"/>
      <c r="D79" s="373"/>
      <c r="E79" s="67">
        <f t="shared" si="8"/>
        <v>0</v>
      </c>
      <c r="F79" s="324"/>
      <c r="G79" s="324"/>
      <c r="H79" s="387"/>
      <c r="I79" s="388"/>
      <c r="J79" s="322"/>
      <c r="K79" s="75"/>
      <c r="L79" s="342"/>
      <c r="M79" s="343"/>
      <c r="N79" s="67">
        <f t="shared" si="9"/>
        <v>0</v>
      </c>
      <c r="O79" s="324"/>
      <c r="P79" s="387"/>
      <c r="Q79" s="387"/>
    </row>
    <row r="80" ht="12.75" customHeight="1">
      <c r="A80" s="322"/>
      <c r="B80" s="348"/>
      <c r="C80" s="346"/>
      <c r="D80" s="373"/>
      <c r="E80" s="67">
        <f t="shared" si="8"/>
        <v>0</v>
      </c>
      <c r="F80" s="324"/>
      <c r="G80" s="324"/>
      <c r="H80" s="387"/>
      <c r="I80" s="388"/>
      <c r="J80" s="322"/>
      <c r="K80" s="348"/>
      <c r="L80" s="346"/>
      <c r="M80" s="373"/>
      <c r="N80" s="67">
        <f t="shared" si="9"/>
        <v>0</v>
      </c>
      <c r="O80" s="324"/>
      <c r="P80" s="387"/>
      <c r="Q80" s="387"/>
    </row>
    <row r="81" ht="12.75" customHeight="1">
      <c r="A81" s="322"/>
      <c r="B81" s="354"/>
      <c r="C81" s="355"/>
      <c r="D81" s="356"/>
      <c r="E81" s="67">
        <f t="shared" si="8"/>
        <v>0</v>
      </c>
      <c r="F81" s="324"/>
      <c r="G81" s="324"/>
      <c r="H81" s="387"/>
      <c r="I81" s="388"/>
      <c r="J81" s="322"/>
      <c r="K81" s="354"/>
      <c r="L81" s="355"/>
      <c r="M81" s="356"/>
      <c r="N81" s="67">
        <f t="shared" si="9"/>
        <v>0</v>
      </c>
      <c r="O81" s="324"/>
      <c r="P81" s="387"/>
      <c r="Q81" s="387"/>
    </row>
    <row r="82" ht="12.75" customHeight="1">
      <c r="A82" s="322"/>
      <c r="B82" s="362" t="s">
        <v>84</v>
      </c>
      <c r="C82" s="374"/>
      <c r="D82" s="374"/>
      <c r="E82" s="375" t="str">
        <f>IF(SUM(E72:E81)=0,"",SUM(E72:E81))</f>
        <v/>
      </c>
      <c r="F82" s="324"/>
      <c r="G82" s="324"/>
      <c r="H82" s="387"/>
      <c r="I82" s="388"/>
      <c r="J82" s="322"/>
      <c r="K82" s="362" t="s">
        <v>84</v>
      </c>
      <c r="L82" s="374"/>
      <c r="M82" s="374"/>
      <c r="N82" s="375">
        <f>IF(SUM(N72:N81)=0,"",SUM(N72:N81))</f>
        <v>1719.380952</v>
      </c>
      <c r="O82" s="324"/>
      <c r="P82" s="387"/>
      <c r="Q82" s="387"/>
    </row>
    <row r="83" ht="12.75" customHeight="1">
      <c r="A83" s="322"/>
      <c r="B83" s="360"/>
      <c r="C83" s="360"/>
      <c r="D83" s="360"/>
      <c r="E83" s="361"/>
      <c r="F83" s="324"/>
      <c r="G83" s="324"/>
      <c r="H83" s="387"/>
      <c r="I83" s="388"/>
      <c r="J83" s="322"/>
      <c r="K83" s="360"/>
      <c r="L83" s="360"/>
      <c r="M83" s="360"/>
      <c r="N83" s="361"/>
      <c r="O83" s="324"/>
      <c r="P83" s="387"/>
      <c r="Q83" s="387"/>
    </row>
    <row r="84" ht="12.75" customHeight="1">
      <c r="A84" s="322"/>
      <c r="B84" s="34" t="s">
        <v>17</v>
      </c>
      <c r="C84" s="35"/>
      <c r="D84" s="35"/>
      <c r="E84" s="35"/>
      <c r="F84" s="324"/>
      <c r="G84" s="324"/>
      <c r="H84" s="387"/>
      <c r="I84" s="388"/>
      <c r="J84" s="322"/>
      <c r="K84" s="34" t="s">
        <v>17</v>
      </c>
      <c r="L84" s="35"/>
      <c r="M84" s="35"/>
      <c r="N84" s="35"/>
      <c r="O84" s="324"/>
      <c r="P84" s="387"/>
      <c r="Q84" s="387"/>
    </row>
    <row r="85" ht="12.75" customHeight="1">
      <c r="A85" s="322"/>
      <c r="B85" s="52" t="s">
        <v>42</v>
      </c>
      <c r="C85" s="54"/>
      <c r="D85" s="54"/>
      <c r="E85" s="56" t="s">
        <v>35</v>
      </c>
      <c r="F85" s="324"/>
      <c r="G85" s="324"/>
      <c r="H85" s="387"/>
      <c r="I85" s="388"/>
      <c r="J85" s="322"/>
      <c r="K85" s="52" t="s">
        <v>42</v>
      </c>
      <c r="L85" s="54"/>
      <c r="M85" s="54"/>
      <c r="N85" s="56" t="s">
        <v>35</v>
      </c>
      <c r="O85" s="324"/>
      <c r="P85" s="387"/>
      <c r="Q85" s="387"/>
    </row>
    <row r="86" ht="12.75" customHeight="1">
      <c r="A86" s="322"/>
      <c r="B86" s="60" t="s">
        <v>40</v>
      </c>
      <c r="C86" s="343">
        <f>'UTL COST'!$B$3</f>
        <v>369000</v>
      </c>
      <c r="D86" s="379">
        <f>'UTL COST'!$C$3</f>
        <v>0.0075</v>
      </c>
      <c r="E86" s="67">
        <v>0.0</v>
      </c>
      <c r="F86" s="324"/>
      <c r="G86" s="324"/>
      <c r="H86" s="387"/>
      <c r="I86" s="388"/>
      <c r="J86" s="322"/>
      <c r="K86" s="60" t="s">
        <v>40</v>
      </c>
      <c r="L86" s="343">
        <f>'UTL COST'!$B$3</f>
        <v>369000</v>
      </c>
      <c r="M86" s="379">
        <f>'UTL COST'!$C$3</f>
        <v>0.0075</v>
      </c>
      <c r="N86" s="67">
        <v>0.0</v>
      </c>
      <c r="O86" s="324"/>
      <c r="P86" s="387"/>
      <c r="Q86" s="387"/>
    </row>
    <row r="87" ht="12.75" customHeight="1">
      <c r="A87" s="322"/>
      <c r="B87" s="75" t="s">
        <v>51</v>
      </c>
      <c r="C87" s="371" t="str">
        <f>'UTL COST'!$B$4</f>
        <v>#REF!</v>
      </c>
      <c r="D87" s="382">
        <f>'UTL COST'!$C$4</f>
        <v>7000</v>
      </c>
      <c r="E87" s="76" t="str">
        <f>'UTL COST'!$D$4</f>
        <v>#REF!</v>
      </c>
      <c r="F87" s="324"/>
      <c r="G87" s="324"/>
      <c r="H87" s="387"/>
      <c r="I87" s="388"/>
      <c r="J87" s="322"/>
      <c r="K87" s="75" t="s">
        <v>51</v>
      </c>
      <c r="L87" s="371" t="str">
        <f>'UTL COST'!$B$4</f>
        <v>#REF!</v>
      </c>
      <c r="M87" s="382">
        <f>'UTL COST'!$C$4</f>
        <v>7000</v>
      </c>
      <c r="N87" s="76" t="str">
        <f>'UTL COST'!$D$4</f>
        <v>#REF!</v>
      </c>
      <c r="O87" s="324"/>
      <c r="P87" s="387"/>
      <c r="Q87" s="387"/>
    </row>
    <row r="88" ht="12.75" customHeight="1">
      <c r="A88" s="322"/>
      <c r="B88" s="75" t="s">
        <v>59</v>
      </c>
      <c r="C88" s="371" t="str">
        <f>'UTL COST'!$B$5</f>
        <v>#REF!</v>
      </c>
      <c r="D88" s="382">
        <f>'UTL COST'!$C$5</f>
        <v>45000</v>
      </c>
      <c r="E88" s="76" t="str">
        <f>'UTL COST'!$D$5</f>
        <v>#REF!</v>
      </c>
      <c r="F88" s="324"/>
      <c r="G88" s="324"/>
      <c r="H88" s="387"/>
      <c r="I88" s="388"/>
      <c r="J88" s="322"/>
      <c r="K88" s="75" t="s">
        <v>59</v>
      </c>
      <c r="L88" s="371" t="str">
        <f>'UTL COST'!$B$5</f>
        <v>#REF!</v>
      </c>
      <c r="M88" s="382">
        <f>'UTL COST'!$C$5</f>
        <v>45000</v>
      </c>
      <c r="N88" s="76" t="str">
        <f>'UTL COST'!$D$5</f>
        <v>#REF!</v>
      </c>
      <c r="O88" s="324"/>
      <c r="P88" s="387"/>
      <c r="Q88" s="387"/>
    </row>
    <row r="89" ht="12.75" customHeight="1">
      <c r="A89" s="322"/>
      <c r="B89" s="87" t="s">
        <v>78</v>
      </c>
      <c r="C89" s="371" t="str">
        <f>'UTL COST'!$B$6</f>
        <v>#REF!</v>
      </c>
      <c r="D89" s="383">
        <f>'UTL COST'!$C$6</f>
        <v>525</v>
      </c>
      <c r="E89" s="89">
        <v>0.1</v>
      </c>
      <c r="F89" s="324"/>
      <c r="G89" s="324"/>
      <c r="H89" s="387"/>
      <c r="I89" s="388"/>
      <c r="J89" s="322"/>
      <c r="K89" s="87" t="s">
        <v>78</v>
      </c>
      <c r="L89" s="371" t="str">
        <f>'UTL COST'!$B$6</f>
        <v>#REF!</v>
      </c>
      <c r="M89" s="383">
        <f>'UTL COST'!$C$6</f>
        <v>525</v>
      </c>
      <c r="N89" s="89">
        <v>0.1</v>
      </c>
      <c r="O89" s="324"/>
      <c r="P89" s="387"/>
      <c r="Q89" s="387"/>
    </row>
    <row r="90" ht="12.75" customHeight="1">
      <c r="A90" s="322"/>
      <c r="B90" s="34" t="s">
        <v>84</v>
      </c>
      <c r="C90" s="102"/>
      <c r="D90" s="102"/>
      <c r="E90" s="104" t="str">
        <f>IF(SUM(E86:E89)=0,"",SUM(E86:E89))</f>
        <v>#REF!</v>
      </c>
      <c r="F90" s="324"/>
      <c r="G90" s="324"/>
      <c r="H90" s="387"/>
      <c r="I90" s="388"/>
      <c r="J90" s="322"/>
      <c r="K90" s="34" t="s">
        <v>84</v>
      </c>
      <c r="L90" s="102"/>
      <c r="M90" s="102"/>
      <c r="N90" s="104" t="str">
        <f>IF(SUM(N86:N89)=0,"",SUM(N86:N89))</f>
        <v>#REF!</v>
      </c>
      <c r="O90" s="324"/>
      <c r="P90" s="387"/>
      <c r="Q90" s="387"/>
    </row>
    <row r="91" ht="12.75" customHeight="1">
      <c r="A91" s="322"/>
      <c r="B91" s="360"/>
      <c r="C91" s="360"/>
      <c r="D91" s="360"/>
      <c r="E91" s="361"/>
      <c r="F91" s="324"/>
      <c r="G91" s="324"/>
      <c r="H91" s="387"/>
      <c r="I91" s="388"/>
      <c r="J91" s="322"/>
      <c r="K91" s="360"/>
      <c r="L91" s="360"/>
      <c r="M91" s="360"/>
      <c r="N91" s="361"/>
      <c r="O91" s="324"/>
      <c r="P91" s="387"/>
      <c r="Q91" s="387"/>
    </row>
    <row r="92" ht="12.75" customHeight="1">
      <c r="A92" s="388"/>
      <c r="B92" s="432"/>
      <c r="C92" s="432"/>
      <c r="D92" s="432"/>
      <c r="E92" s="433"/>
      <c r="F92" s="387"/>
      <c r="G92" s="387"/>
      <c r="H92" s="387"/>
      <c r="I92" s="388"/>
      <c r="J92" s="388"/>
      <c r="K92" s="432"/>
      <c r="L92" s="432"/>
      <c r="M92" s="432"/>
      <c r="N92" s="433"/>
      <c r="O92" s="387"/>
      <c r="P92" s="387"/>
      <c r="Q92" s="387"/>
    </row>
    <row r="93" ht="12.75" customHeight="1">
      <c r="A93" s="387"/>
      <c r="B93" s="387"/>
      <c r="C93" s="387"/>
      <c r="D93" s="387"/>
      <c r="E93" s="418"/>
      <c r="F93" s="387"/>
      <c r="G93" s="387"/>
      <c r="H93" s="387"/>
      <c r="I93" s="387"/>
      <c r="J93" s="387"/>
      <c r="K93" s="387"/>
      <c r="L93" s="387"/>
      <c r="M93" s="387"/>
      <c r="N93" s="387"/>
      <c r="O93" s="387"/>
      <c r="P93" s="387"/>
      <c r="Q93" s="387"/>
    </row>
    <row r="94" ht="12.75" customHeight="1">
      <c r="A94" s="322"/>
      <c r="B94" s="322"/>
      <c r="C94" s="322"/>
      <c r="D94" s="322"/>
      <c r="E94" s="323"/>
      <c r="F94" s="324"/>
      <c r="G94" s="324"/>
      <c r="H94" s="387"/>
      <c r="I94" s="388"/>
      <c r="J94" s="322"/>
      <c r="K94" s="322"/>
      <c r="L94" s="322"/>
      <c r="M94" s="322"/>
      <c r="N94" s="323"/>
      <c r="O94" s="324"/>
      <c r="P94" s="387"/>
      <c r="Q94" s="387"/>
    </row>
    <row r="95" ht="12.75" customHeight="1">
      <c r="A95" s="322"/>
      <c r="B95" s="325"/>
      <c r="C95" s="322"/>
      <c r="D95" s="322"/>
      <c r="E95" s="323"/>
      <c r="F95" s="326"/>
      <c r="G95" s="326"/>
      <c r="H95" s="404"/>
      <c r="I95" s="388"/>
      <c r="J95" s="322"/>
      <c r="K95" s="325"/>
      <c r="L95" s="322"/>
      <c r="M95" s="322"/>
      <c r="N95" s="323"/>
      <c r="O95" s="326"/>
      <c r="P95" s="387"/>
      <c r="Q95" s="387"/>
    </row>
    <row r="96" ht="12.75" customHeight="1">
      <c r="A96" s="322"/>
      <c r="B96" s="327" t="s">
        <v>931</v>
      </c>
      <c r="C96" s="328" t="s">
        <v>1236</v>
      </c>
      <c r="D96" s="329"/>
      <c r="E96" s="323"/>
      <c r="F96" s="326"/>
      <c r="G96" s="326"/>
      <c r="H96" s="404"/>
      <c r="I96" s="388"/>
      <c r="J96" s="322"/>
      <c r="K96" s="327" t="s">
        <v>931</v>
      </c>
      <c r="L96" s="328"/>
      <c r="M96" s="329"/>
      <c r="N96" s="323"/>
      <c r="O96" s="326"/>
      <c r="P96" s="387"/>
      <c r="Q96" s="387"/>
    </row>
    <row r="97" ht="12.75" customHeight="1">
      <c r="A97" s="322"/>
      <c r="B97" s="325"/>
      <c r="C97" s="322"/>
      <c r="D97" s="322"/>
      <c r="E97" s="323"/>
      <c r="F97" s="326"/>
      <c r="G97" s="326"/>
      <c r="H97" s="404"/>
      <c r="I97" s="388"/>
      <c r="J97" s="322"/>
      <c r="K97" s="325"/>
      <c r="L97" s="322"/>
      <c r="M97" s="322"/>
      <c r="N97" s="323"/>
      <c r="O97" s="326"/>
      <c r="P97" s="387"/>
      <c r="Q97" s="387"/>
    </row>
    <row r="98" ht="12.75" customHeight="1">
      <c r="A98" s="322"/>
      <c r="B98" s="327" t="s">
        <v>935</v>
      </c>
      <c r="C98" s="331">
        <v>115000.0</v>
      </c>
      <c r="D98" s="329"/>
      <c r="E98" s="323"/>
      <c r="F98" s="326"/>
      <c r="G98" s="326"/>
      <c r="H98" s="404"/>
      <c r="I98" s="388"/>
      <c r="J98" s="322"/>
      <c r="K98" s="327" t="s">
        <v>935</v>
      </c>
      <c r="L98" s="331">
        <v>75000.0</v>
      </c>
      <c r="M98" s="329"/>
      <c r="N98" s="323"/>
      <c r="O98" s="326"/>
      <c r="P98" s="387"/>
      <c r="Q98" s="387"/>
    </row>
    <row r="99" ht="12.75" customHeight="1">
      <c r="A99" s="322"/>
      <c r="B99" s="327"/>
      <c r="C99" s="332"/>
      <c r="D99" s="332"/>
      <c r="E99" s="323"/>
      <c r="F99" s="326"/>
      <c r="G99" s="326"/>
      <c r="H99" s="404"/>
      <c r="I99" s="388"/>
      <c r="J99" s="322"/>
      <c r="K99" s="327"/>
      <c r="L99" s="332"/>
      <c r="M99" s="332"/>
      <c r="N99" s="323"/>
      <c r="O99" s="326"/>
      <c r="P99" s="387"/>
      <c r="Q99" s="387"/>
    </row>
    <row r="100" ht="12.75" customHeight="1">
      <c r="A100" s="322"/>
      <c r="B100" s="327" t="s">
        <v>939</v>
      </c>
      <c r="C100" s="333" t="str">
        <f>IF(SUM(E112,E127,E135)=0,"",SUM(E112,E127,E135))</f>
        <v>#REF!</v>
      </c>
      <c r="D100" s="321"/>
      <c r="E100" s="323"/>
      <c r="F100" s="326"/>
      <c r="G100" s="326"/>
      <c r="H100" s="404"/>
      <c r="I100" s="388"/>
      <c r="J100" s="322"/>
      <c r="K100" s="327" t="s">
        <v>939</v>
      </c>
      <c r="L100" s="333" t="str">
        <f>IF(SUM(N112,N127,N135)=0,"",SUM(N112,N127,N135))</f>
        <v>#REF!</v>
      </c>
      <c r="M100" s="321"/>
      <c r="N100" s="323"/>
      <c r="O100" s="326"/>
      <c r="P100" s="387"/>
      <c r="Q100" s="387"/>
    </row>
    <row r="101" ht="12.75" customHeight="1">
      <c r="A101" s="322"/>
      <c r="B101" s="327"/>
      <c r="C101" s="334"/>
      <c r="D101" s="334"/>
      <c r="E101" s="323"/>
      <c r="F101" s="326"/>
      <c r="G101" s="326"/>
      <c r="H101" s="404"/>
      <c r="I101" s="388"/>
      <c r="J101" s="322"/>
      <c r="K101" s="327"/>
      <c r="L101" s="334"/>
      <c r="M101" s="334"/>
      <c r="N101" s="323"/>
      <c r="O101" s="326"/>
      <c r="P101" s="387"/>
      <c r="Q101" s="387"/>
    </row>
    <row r="102" ht="12.75" customHeight="1">
      <c r="A102" s="322"/>
      <c r="B102" s="327" t="s">
        <v>946</v>
      </c>
      <c r="C102" s="335" t="str">
        <f>IF(C100="","",IF(ISBLANK(C98),"",C100/C98))</f>
        <v>#REF!</v>
      </c>
      <c r="D102" s="321"/>
      <c r="E102" s="323"/>
      <c r="F102" s="326"/>
      <c r="G102" s="326"/>
      <c r="H102" s="404"/>
      <c r="I102" s="388"/>
      <c r="J102" s="322"/>
      <c r="K102" s="327" t="s">
        <v>946</v>
      </c>
      <c r="L102" s="335" t="str">
        <f>IF(L100="","",IF(ISBLANK(L98),"",L100/L98))</f>
        <v>#REF!</v>
      </c>
      <c r="M102" s="321"/>
      <c r="N102" s="323"/>
      <c r="O102" s="326"/>
      <c r="P102" s="387"/>
      <c r="Q102" s="387"/>
    </row>
    <row r="103" ht="12.75" customHeight="1">
      <c r="A103" s="322"/>
      <c r="B103" s="327"/>
      <c r="C103" s="334"/>
      <c r="D103" s="334"/>
      <c r="E103" s="323"/>
      <c r="F103" s="326"/>
      <c r="G103" s="326"/>
      <c r="H103" s="404"/>
      <c r="I103" s="388"/>
      <c r="J103" s="322"/>
      <c r="K103" s="327"/>
      <c r="L103" s="334"/>
      <c r="M103" s="334"/>
      <c r="N103" s="323"/>
      <c r="O103" s="326"/>
      <c r="P103" s="387"/>
      <c r="Q103" s="387"/>
    </row>
    <row r="104" ht="12.75" customHeight="1">
      <c r="A104" s="322"/>
      <c r="B104" s="327" t="s">
        <v>950</v>
      </c>
      <c r="C104" s="333" t="str">
        <f>C98-C100</f>
        <v>#REF!</v>
      </c>
      <c r="D104" s="321"/>
      <c r="E104" s="323"/>
      <c r="F104" s="326"/>
      <c r="G104" s="326"/>
      <c r="H104" s="404"/>
      <c r="I104" s="388"/>
      <c r="J104" s="322"/>
      <c r="K104" s="327" t="s">
        <v>950</v>
      </c>
      <c r="L104" s="333" t="str">
        <f>L98-L100</f>
        <v>#REF!</v>
      </c>
      <c r="M104" s="321"/>
      <c r="N104" s="323"/>
      <c r="O104" s="326"/>
      <c r="P104" s="387"/>
      <c r="Q104" s="387"/>
    </row>
    <row r="105" ht="12.75" customHeight="1">
      <c r="A105" s="322"/>
      <c r="B105" s="322"/>
      <c r="C105" s="322"/>
      <c r="D105" s="322"/>
      <c r="E105" s="323"/>
      <c r="F105" s="324"/>
      <c r="G105" s="324"/>
      <c r="H105" s="404"/>
      <c r="I105" s="388"/>
      <c r="J105" s="322"/>
      <c r="K105" s="322"/>
      <c r="L105" s="322"/>
      <c r="M105" s="322"/>
      <c r="N105" s="323"/>
      <c r="O105" s="324"/>
      <c r="P105" s="387"/>
      <c r="Q105" s="387"/>
    </row>
    <row r="106" ht="12.75" customHeight="1">
      <c r="A106" s="322"/>
      <c r="B106" s="322"/>
      <c r="C106" s="322"/>
      <c r="D106" s="322"/>
      <c r="E106" s="337"/>
      <c r="F106" s="324"/>
      <c r="G106" s="324"/>
      <c r="H106" s="387"/>
      <c r="I106" s="388"/>
      <c r="J106" s="322"/>
      <c r="K106" s="322"/>
      <c r="L106" s="322"/>
      <c r="M106" s="322"/>
      <c r="N106" s="337"/>
      <c r="O106" s="324"/>
      <c r="P106" s="387"/>
      <c r="Q106" s="387"/>
    </row>
    <row r="107" ht="12.75" customHeight="1">
      <c r="A107" s="322"/>
      <c r="B107" s="338" t="s">
        <v>951</v>
      </c>
      <c r="C107" s="339"/>
      <c r="D107" s="339"/>
      <c r="E107" s="339"/>
      <c r="F107" s="324"/>
      <c r="G107" s="324"/>
      <c r="H107" s="410"/>
      <c r="I107" s="388"/>
      <c r="J107" s="322"/>
      <c r="K107" s="338" t="s">
        <v>951</v>
      </c>
      <c r="L107" s="339"/>
      <c r="M107" s="339"/>
      <c r="N107" s="339"/>
      <c r="O107" s="324"/>
      <c r="P107" s="387"/>
      <c r="Q107" s="387"/>
    </row>
    <row r="108" ht="12.75" customHeight="1">
      <c r="A108" s="322"/>
      <c r="B108" s="340" t="s">
        <v>953</v>
      </c>
      <c r="C108" s="341" t="s">
        <v>954</v>
      </c>
      <c r="D108" s="341" t="s">
        <v>955</v>
      </c>
      <c r="E108" s="341" t="s">
        <v>35</v>
      </c>
      <c r="F108" s="324"/>
      <c r="G108" s="324"/>
      <c r="H108" s="387"/>
      <c r="I108" s="388"/>
      <c r="J108" s="322"/>
      <c r="K108" s="340" t="s">
        <v>953</v>
      </c>
      <c r="L108" s="341" t="s">
        <v>954</v>
      </c>
      <c r="M108" s="341" t="s">
        <v>955</v>
      </c>
      <c r="N108" s="341" t="s">
        <v>35</v>
      </c>
      <c r="O108" s="324"/>
      <c r="P108" s="387"/>
      <c r="Q108" s="387"/>
    </row>
    <row r="109" ht="12.75" customHeight="1">
      <c r="A109" s="322"/>
      <c r="B109" s="60" t="s">
        <v>747</v>
      </c>
      <c r="C109" s="342">
        <v>0.075</v>
      </c>
      <c r="D109" s="343">
        <v>220000.0</v>
      </c>
      <c r="E109" s="67">
        <f t="shared" ref="E109:E111" si="10">IF(OR(ISBLANK(C109),ISBLANK(D109)),"",D109*C109)</f>
        <v>16500</v>
      </c>
      <c r="F109" s="324"/>
      <c r="G109" s="324"/>
      <c r="H109" s="387"/>
      <c r="I109" s="388"/>
      <c r="J109" s="322"/>
      <c r="K109" s="60" t="s">
        <v>1108</v>
      </c>
      <c r="L109" s="342">
        <v>0.15</v>
      </c>
      <c r="M109" s="343">
        <f>'F&amp;B'!$F$86</f>
        <v>44550</v>
      </c>
      <c r="N109" s="67">
        <f t="shared" ref="N109:N111" si="11">IF(OR(ISBLANK(L109),ISBLANK(M109)),"",M109*L109)</f>
        <v>6682.5</v>
      </c>
      <c r="O109" s="324"/>
      <c r="P109" s="387"/>
      <c r="Q109" s="387"/>
    </row>
    <row r="110" ht="12.75" customHeight="1">
      <c r="A110" s="322"/>
      <c r="B110" s="75" t="s">
        <v>850</v>
      </c>
      <c r="C110" s="370">
        <v>0.08</v>
      </c>
      <c r="D110" s="371">
        <f>M19</f>
        <v>63000</v>
      </c>
      <c r="E110" s="67">
        <f t="shared" si="10"/>
        <v>5040</v>
      </c>
      <c r="F110" s="324"/>
      <c r="G110" s="324"/>
      <c r="H110" s="387"/>
      <c r="I110" s="388"/>
      <c r="J110" s="322"/>
      <c r="K110" s="75" t="s">
        <v>850</v>
      </c>
      <c r="L110" s="370">
        <v>0.05</v>
      </c>
      <c r="M110" s="371">
        <f>M65</f>
        <v>63000</v>
      </c>
      <c r="N110" s="67">
        <f t="shared" si="11"/>
        <v>3150</v>
      </c>
      <c r="O110" s="324"/>
      <c r="P110" s="387"/>
      <c r="Q110" s="387"/>
    </row>
    <row r="111" ht="12.75" customHeight="1">
      <c r="A111" s="322"/>
      <c r="B111" s="87" t="s">
        <v>200</v>
      </c>
      <c r="C111" s="355">
        <v>1.0</v>
      </c>
      <c r="D111" s="400">
        <f>SAUCES!$D$92</f>
        <v>900.9230769</v>
      </c>
      <c r="E111" s="67">
        <f t="shared" si="10"/>
        <v>900.9230769</v>
      </c>
      <c r="F111" s="324"/>
      <c r="G111" s="324"/>
      <c r="H111" s="387"/>
      <c r="I111" s="388"/>
      <c r="J111" s="322"/>
      <c r="K111" s="87" t="s">
        <v>200</v>
      </c>
      <c r="L111" s="355">
        <v>1.0</v>
      </c>
      <c r="M111" s="400">
        <f>SAUCES!$D$92</f>
        <v>900.9230769</v>
      </c>
      <c r="N111" s="67">
        <f t="shared" si="11"/>
        <v>900.9230769</v>
      </c>
      <c r="O111" s="324"/>
      <c r="P111" s="387"/>
      <c r="Q111" s="387"/>
    </row>
    <row r="112" ht="12.75" customHeight="1">
      <c r="A112" s="322"/>
      <c r="B112" s="338" t="s">
        <v>84</v>
      </c>
      <c r="C112" s="358"/>
      <c r="D112" s="358"/>
      <c r="E112" s="359">
        <f>IF(SUM(E109:E111)=0,"",SUM(E109:E111))</f>
        <v>22440.92308</v>
      </c>
      <c r="F112" s="324"/>
      <c r="G112" s="324"/>
      <c r="H112" s="387"/>
      <c r="I112" s="388"/>
      <c r="J112" s="322"/>
      <c r="K112" s="338" t="s">
        <v>84</v>
      </c>
      <c r="L112" s="358"/>
      <c r="M112" s="358"/>
      <c r="N112" s="359">
        <f>IF(SUM(N109:N111)=0,"",SUM(N109:N111))</f>
        <v>10733.42308</v>
      </c>
      <c r="O112" s="324"/>
      <c r="P112" s="387"/>
      <c r="Q112" s="387"/>
    </row>
    <row r="113" ht="12.75" customHeight="1">
      <c r="A113" s="322"/>
      <c r="B113" s="360"/>
      <c r="C113" s="360"/>
      <c r="D113" s="360"/>
      <c r="E113" s="361"/>
      <c r="F113" s="324"/>
      <c r="G113" s="324"/>
      <c r="H113" s="387"/>
      <c r="I113" s="388"/>
      <c r="J113" s="322"/>
      <c r="K113" s="360"/>
      <c r="L113" s="360"/>
      <c r="M113" s="360"/>
      <c r="N113" s="361"/>
      <c r="O113" s="324"/>
      <c r="P113" s="387"/>
      <c r="Q113" s="387"/>
    </row>
    <row r="114" ht="12.75" customHeight="1">
      <c r="A114" s="322"/>
      <c r="B114" s="362" t="s">
        <v>972</v>
      </c>
      <c r="C114" s="363"/>
      <c r="D114" s="363"/>
      <c r="E114" s="363"/>
      <c r="F114" s="324"/>
      <c r="G114" s="324"/>
      <c r="H114" s="387"/>
      <c r="I114" s="388"/>
      <c r="J114" s="322"/>
      <c r="K114" s="362" t="s">
        <v>972</v>
      </c>
      <c r="L114" s="363"/>
      <c r="M114" s="363"/>
      <c r="N114" s="363"/>
      <c r="O114" s="324"/>
      <c r="P114" s="387"/>
      <c r="Q114" s="387"/>
    </row>
    <row r="115" ht="12.75" customHeight="1">
      <c r="A115" s="322"/>
      <c r="B115" s="365" t="s">
        <v>953</v>
      </c>
      <c r="C115" s="366" t="s">
        <v>3</v>
      </c>
      <c r="D115" s="366" t="s">
        <v>975</v>
      </c>
      <c r="E115" s="367" t="s">
        <v>35</v>
      </c>
      <c r="F115" s="324"/>
      <c r="G115" s="324"/>
      <c r="H115" s="387"/>
      <c r="I115" s="388"/>
      <c r="J115" s="322"/>
      <c r="K115" s="365" t="s">
        <v>953</v>
      </c>
      <c r="L115" s="366" t="s">
        <v>3</v>
      </c>
      <c r="M115" s="366" t="s">
        <v>975</v>
      </c>
      <c r="N115" s="367" t="s">
        <v>35</v>
      </c>
      <c r="O115" s="324"/>
      <c r="P115" s="387"/>
      <c r="Q115" s="387"/>
    </row>
    <row r="116" ht="12.75" customHeight="1">
      <c r="A116" s="322"/>
      <c r="B116" s="368"/>
      <c r="C116" s="366"/>
      <c r="D116" s="366"/>
      <c r="E116" s="368"/>
      <c r="F116" s="324"/>
      <c r="G116" s="324"/>
      <c r="H116" s="387"/>
      <c r="I116" s="388"/>
      <c r="J116" s="322"/>
      <c r="K116" s="368"/>
      <c r="L116" s="366"/>
      <c r="M116" s="366"/>
      <c r="N116" s="368"/>
      <c r="O116" s="324"/>
      <c r="P116" s="387"/>
      <c r="Q116" s="387"/>
    </row>
    <row r="117" ht="12.75" customHeight="1">
      <c r="A117" s="322"/>
      <c r="B117" s="60" t="s">
        <v>562</v>
      </c>
      <c r="C117" s="342">
        <v>0.04</v>
      </c>
      <c r="D117" s="343">
        <f t="shared" ref="D117:D119" si="12">M72</f>
        <v>28809.52381</v>
      </c>
      <c r="E117" s="67">
        <f t="shared" ref="E117:E126" si="13">D117*C117</f>
        <v>1152.380952</v>
      </c>
      <c r="F117" s="324"/>
      <c r="G117" s="324"/>
      <c r="H117" s="387"/>
      <c r="I117" s="388"/>
      <c r="J117" s="322"/>
      <c r="K117" s="60" t="s">
        <v>214</v>
      </c>
      <c r="L117" s="342">
        <v>0.03</v>
      </c>
      <c r="M117" s="343">
        <f>'F&amp;B'!$F$290</f>
        <v>6300</v>
      </c>
      <c r="N117" s="67">
        <f t="shared" ref="N117:N126" si="14">M117*L117</f>
        <v>189</v>
      </c>
      <c r="O117" s="324"/>
      <c r="P117" s="387"/>
      <c r="Q117" s="387"/>
    </row>
    <row r="118" ht="12.75" customHeight="1">
      <c r="A118" s="322"/>
      <c r="B118" s="75" t="s">
        <v>173</v>
      </c>
      <c r="C118" s="370">
        <v>0.06</v>
      </c>
      <c r="D118" s="371">
        <f t="shared" si="12"/>
        <v>7200</v>
      </c>
      <c r="E118" s="67">
        <f t="shared" si="13"/>
        <v>432</v>
      </c>
      <c r="F118" s="324"/>
      <c r="G118" s="324"/>
      <c r="H118" s="387"/>
      <c r="I118" s="388"/>
      <c r="J118" s="322"/>
      <c r="K118" s="75" t="s">
        <v>173</v>
      </c>
      <c r="L118" s="370">
        <v>0.06</v>
      </c>
      <c r="M118" s="371">
        <f>M73</f>
        <v>7200</v>
      </c>
      <c r="N118" s="67">
        <f t="shared" si="14"/>
        <v>432</v>
      </c>
      <c r="O118" s="324"/>
      <c r="P118" s="387"/>
      <c r="Q118" s="387"/>
    </row>
    <row r="119" ht="12.75" customHeight="1">
      <c r="A119" s="322"/>
      <c r="B119" s="75" t="s">
        <v>161</v>
      </c>
      <c r="C119" s="370">
        <v>0.01</v>
      </c>
      <c r="D119" s="371">
        <f t="shared" si="12"/>
        <v>13500</v>
      </c>
      <c r="E119" s="67">
        <f t="shared" si="13"/>
        <v>135</v>
      </c>
      <c r="F119" s="324"/>
      <c r="G119" s="324"/>
      <c r="H119" s="387"/>
      <c r="I119" s="388"/>
      <c r="J119" s="322"/>
      <c r="K119" s="429"/>
      <c r="L119" s="370"/>
      <c r="M119" s="371"/>
      <c r="N119" s="67">
        <f t="shared" si="14"/>
        <v>0</v>
      </c>
      <c r="O119" s="324"/>
      <c r="P119" s="387"/>
      <c r="Q119" s="387"/>
    </row>
    <row r="120" ht="12.75" customHeight="1">
      <c r="A120" s="322"/>
      <c r="B120" s="75"/>
      <c r="C120" s="346"/>
      <c r="D120" s="371"/>
      <c r="E120" s="67">
        <f t="shared" si="13"/>
        <v>0</v>
      </c>
      <c r="F120" s="324"/>
      <c r="G120" s="324"/>
      <c r="H120" s="387"/>
      <c r="I120" s="388"/>
      <c r="J120" s="322"/>
      <c r="K120" s="75"/>
      <c r="L120" s="346"/>
      <c r="M120" s="371"/>
      <c r="N120" s="67">
        <f t="shared" si="14"/>
        <v>0</v>
      </c>
      <c r="O120" s="324"/>
      <c r="P120" s="387"/>
      <c r="Q120" s="387"/>
    </row>
    <row r="121" ht="12.75" customHeight="1">
      <c r="A121" s="322"/>
      <c r="B121" s="75"/>
      <c r="C121" s="370"/>
      <c r="D121" s="371"/>
      <c r="E121" s="67">
        <f t="shared" si="13"/>
        <v>0</v>
      </c>
      <c r="F121" s="324"/>
      <c r="G121" s="324"/>
      <c r="H121" s="387"/>
      <c r="I121" s="388"/>
      <c r="J121" s="322"/>
      <c r="K121" s="75"/>
      <c r="L121" s="370"/>
      <c r="M121" s="371"/>
      <c r="N121" s="67">
        <f t="shared" si="14"/>
        <v>0</v>
      </c>
      <c r="O121" s="324"/>
      <c r="P121" s="387"/>
      <c r="Q121" s="387"/>
    </row>
    <row r="122" ht="12.75" customHeight="1">
      <c r="A122" s="322"/>
      <c r="B122" s="75"/>
      <c r="C122" s="342"/>
      <c r="D122" s="343"/>
      <c r="E122" s="67">
        <f t="shared" si="13"/>
        <v>0</v>
      </c>
      <c r="F122" s="324"/>
      <c r="G122" s="324"/>
      <c r="H122" s="387"/>
      <c r="I122" s="388"/>
      <c r="J122" s="322"/>
      <c r="K122" s="75"/>
      <c r="L122" s="346"/>
      <c r="M122" s="371"/>
      <c r="N122" s="67">
        <f t="shared" si="14"/>
        <v>0</v>
      </c>
      <c r="O122" s="324"/>
      <c r="P122" s="387"/>
      <c r="Q122" s="387"/>
    </row>
    <row r="123" ht="12.75" customHeight="1">
      <c r="A123" s="322"/>
      <c r="B123" s="348"/>
      <c r="C123" s="346"/>
      <c r="D123" s="373"/>
      <c r="E123" s="67">
        <f t="shared" si="13"/>
        <v>0</v>
      </c>
      <c r="F123" s="324"/>
      <c r="G123" s="324"/>
      <c r="H123" s="387"/>
      <c r="I123" s="388"/>
      <c r="J123" s="322"/>
      <c r="K123" s="75"/>
      <c r="L123" s="342"/>
      <c r="M123" s="343"/>
      <c r="N123" s="67">
        <f t="shared" si="14"/>
        <v>0</v>
      </c>
      <c r="O123" s="324"/>
      <c r="P123" s="387"/>
      <c r="Q123" s="387"/>
    </row>
    <row r="124" ht="12.75" customHeight="1">
      <c r="A124" s="322"/>
      <c r="B124" s="348"/>
      <c r="C124" s="346"/>
      <c r="D124" s="373"/>
      <c r="E124" s="67">
        <f t="shared" si="13"/>
        <v>0</v>
      </c>
      <c r="F124" s="324"/>
      <c r="G124" s="324"/>
      <c r="H124" s="387"/>
      <c r="I124" s="388"/>
      <c r="J124" s="322"/>
      <c r="K124" s="348"/>
      <c r="L124" s="346"/>
      <c r="M124" s="373"/>
      <c r="N124" s="67">
        <f t="shared" si="14"/>
        <v>0</v>
      </c>
      <c r="O124" s="324"/>
      <c r="P124" s="387"/>
      <c r="Q124" s="387"/>
    </row>
    <row r="125" ht="12.75" customHeight="1">
      <c r="A125" s="322"/>
      <c r="B125" s="348"/>
      <c r="C125" s="346"/>
      <c r="D125" s="373"/>
      <c r="E125" s="67">
        <f t="shared" si="13"/>
        <v>0</v>
      </c>
      <c r="F125" s="324"/>
      <c r="G125" s="324"/>
      <c r="H125" s="387"/>
      <c r="I125" s="388"/>
      <c r="J125" s="322"/>
      <c r="K125" s="348"/>
      <c r="L125" s="346"/>
      <c r="M125" s="373"/>
      <c r="N125" s="67">
        <f t="shared" si="14"/>
        <v>0</v>
      </c>
      <c r="O125" s="324"/>
      <c r="P125" s="387"/>
      <c r="Q125" s="387"/>
    </row>
    <row r="126" ht="12.75" customHeight="1">
      <c r="A126" s="322"/>
      <c r="B126" s="354"/>
      <c r="C126" s="355"/>
      <c r="D126" s="356"/>
      <c r="E126" s="67">
        <f t="shared" si="13"/>
        <v>0</v>
      </c>
      <c r="F126" s="324"/>
      <c r="G126" s="324"/>
      <c r="H126" s="387"/>
      <c r="I126" s="388"/>
      <c r="J126" s="322"/>
      <c r="K126" s="354"/>
      <c r="L126" s="355"/>
      <c r="M126" s="356"/>
      <c r="N126" s="67">
        <f t="shared" si="14"/>
        <v>0</v>
      </c>
      <c r="O126" s="324"/>
      <c r="P126" s="387"/>
      <c r="Q126" s="387"/>
    </row>
    <row r="127" ht="12.75" customHeight="1">
      <c r="A127" s="322"/>
      <c r="B127" s="362" t="s">
        <v>84</v>
      </c>
      <c r="C127" s="374"/>
      <c r="D127" s="374"/>
      <c r="E127" s="375">
        <f>IF(SUM(E117:E126)=0,"",SUM(E117:E126))</f>
        <v>1719.380952</v>
      </c>
      <c r="F127" s="324"/>
      <c r="G127" s="324"/>
      <c r="H127" s="387"/>
      <c r="I127" s="388"/>
      <c r="J127" s="322"/>
      <c r="K127" s="362" t="s">
        <v>84</v>
      </c>
      <c r="L127" s="374"/>
      <c r="M127" s="374"/>
      <c r="N127" s="375">
        <f>IF(SUM(N117:N126)=0,"",SUM(N117:N126))</f>
        <v>621</v>
      </c>
      <c r="O127" s="324"/>
      <c r="P127" s="387"/>
      <c r="Q127" s="387"/>
    </row>
    <row r="128" ht="12.75" customHeight="1">
      <c r="A128" s="322"/>
      <c r="B128" s="360"/>
      <c r="C128" s="360"/>
      <c r="D128" s="360"/>
      <c r="E128" s="361"/>
      <c r="F128" s="324"/>
      <c r="G128" s="324"/>
      <c r="H128" s="387"/>
      <c r="I128" s="388"/>
      <c r="J128" s="322"/>
      <c r="K128" s="360"/>
      <c r="L128" s="360"/>
      <c r="M128" s="360"/>
      <c r="N128" s="361"/>
      <c r="O128" s="324"/>
      <c r="P128" s="387"/>
      <c r="Q128" s="387"/>
    </row>
    <row r="129" ht="12.75" customHeight="1">
      <c r="A129" s="322"/>
      <c r="B129" s="34" t="s">
        <v>17</v>
      </c>
      <c r="C129" s="35"/>
      <c r="D129" s="35"/>
      <c r="E129" s="35"/>
      <c r="F129" s="324"/>
      <c r="G129" s="324"/>
      <c r="H129" s="387"/>
      <c r="I129" s="388"/>
      <c r="J129" s="322"/>
      <c r="K129" s="34" t="s">
        <v>17</v>
      </c>
      <c r="L129" s="35"/>
      <c r="M129" s="35"/>
      <c r="N129" s="35"/>
      <c r="O129" s="324"/>
      <c r="P129" s="387"/>
      <c r="Q129" s="387"/>
    </row>
    <row r="130" ht="12.75" customHeight="1">
      <c r="A130" s="322"/>
      <c r="B130" s="52" t="s">
        <v>42</v>
      </c>
      <c r="C130" s="54"/>
      <c r="D130" s="54"/>
      <c r="E130" s="56" t="s">
        <v>35</v>
      </c>
      <c r="F130" s="324"/>
      <c r="G130" s="324"/>
      <c r="H130" s="387"/>
      <c r="I130" s="388"/>
      <c r="J130" s="322"/>
      <c r="K130" s="52" t="s">
        <v>42</v>
      </c>
      <c r="L130" s="54"/>
      <c r="M130" s="54"/>
      <c r="N130" s="56" t="s">
        <v>35</v>
      </c>
      <c r="O130" s="324"/>
      <c r="P130" s="387"/>
      <c r="Q130" s="387"/>
    </row>
    <row r="131" ht="12.75" customHeight="1">
      <c r="A131" s="322"/>
      <c r="B131" s="60" t="s">
        <v>40</v>
      </c>
      <c r="C131" s="343">
        <f>'UTL COST'!$B$3</f>
        <v>369000</v>
      </c>
      <c r="D131" s="379">
        <f>'UTL COST'!$C$3</f>
        <v>0.0075</v>
      </c>
      <c r="E131" s="67">
        <v>0.0</v>
      </c>
      <c r="F131" s="324"/>
      <c r="G131" s="324"/>
      <c r="H131" s="387"/>
      <c r="I131" s="388"/>
      <c r="J131" s="322"/>
      <c r="K131" s="60" t="s">
        <v>40</v>
      </c>
      <c r="L131" s="343">
        <f>'UTL COST'!$B$3</f>
        <v>369000</v>
      </c>
      <c r="M131" s="379">
        <f>'UTL COST'!$C$3</f>
        <v>0.0075</v>
      </c>
      <c r="N131" s="67">
        <v>0.0</v>
      </c>
      <c r="O131" s="324"/>
      <c r="P131" s="387"/>
      <c r="Q131" s="387"/>
    </row>
    <row r="132" ht="12.75" customHeight="1">
      <c r="A132" s="322"/>
      <c r="B132" s="75" t="s">
        <v>51</v>
      </c>
      <c r="C132" s="371" t="str">
        <f>'UTL COST'!$B$4</f>
        <v>#REF!</v>
      </c>
      <c r="D132" s="382">
        <f>'UTL COST'!$C$4</f>
        <v>7000</v>
      </c>
      <c r="E132" s="76" t="str">
        <f>'UTL COST'!$D$4</f>
        <v>#REF!</v>
      </c>
      <c r="F132" s="324"/>
      <c r="G132" s="324"/>
      <c r="H132" s="387"/>
      <c r="I132" s="388"/>
      <c r="J132" s="322"/>
      <c r="K132" s="75" t="s">
        <v>51</v>
      </c>
      <c r="L132" s="371" t="str">
        <f>'UTL COST'!$B$4</f>
        <v>#REF!</v>
      </c>
      <c r="M132" s="382">
        <f>'UTL COST'!$C$4</f>
        <v>7000</v>
      </c>
      <c r="N132" s="76" t="str">
        <f>'UTL COST'!$D$4</f>
        <v>#REF!</v>
      </c>
      <c r="O132" s="324"/>
      <c r="P132" s="387"/>
      <c r="Q132" s="387"/>
    </row>
    <row r="133" ht="12.75" customHeight="1">
      <c r="A133" s="322"/>
      <c r="B133" s="75" t="s">
        <v>59</v>
      </c>
      <c r="C133" s="371" t="str">
        <f>'UTL COST'!$B$5</f>
        <v>#REF!</v>
      </c>
      <c r="D133" s="382">
        <f>'UTL COST'!$C$5</f>
        <v>45000</v>
      </c>
      <c r="E133" s="76" t="str">
        <f>'UTL COST'!$D$5</f>
        <v>#REF!</v>
      </c>
      <c r="F133" s="324"/>
      <c r="G133" s="324"/>
      <c r="H133" s="387"/>
      <c r="I133" s="388"/>
      <c r="J133" s="322"/>
      <c r="K133" s="75" t="s">
        <v>59</v>
      </c>
      <c r="L133" s="371" t="str">
        <f>'UTL COST'!$B$5</f>
        <v>#REF!</v>
      </c>
      <c r="M133" s="382">
        <f>'UTL COST'!$C$5</f>
        <v>45000</v>
      </c>
      <c r="N133" s="76" t="str">
        <f>'UTL COST'!$D$5</f>
        <v>#REF!</v>
      </c>
      <c r="O133" s="324"/>
      <c r="P133" s="387"/>
      <c r="Q133" s="387"/>
    </row>
    <row r="134" ht="12.75" customHeight="1">
      <c r="A134" s="322"/>
      <c r="B134" s="87" t="s">
        <v>78</v>
      </c>
      <c r="C134" s="371" t="str">
        <f>'UTL COST'!$B$6</f>
        <v>#REF!</v>
      </c>
      <c r="D134" s="383">
        <f>'UTL COST'!$C$6</f>
        <v>525</v>
      </c>
      <c r="E134" s="89">
        <v>0.1</v>
      </c>
      <c r="F134" s="324"/>
      <c r="G134" s="324"/>
      <c r="H134" s="387"/>
      <c r="I134" s="388"/>
      <c r="J134" s="322"/>
      <c r="K134" s="87" t="s">
        <v>78</v>
      </c>
      <c r="L134" s="371" t="str">
        <f>'UTL COST'!$B$6</f>
        <v>#REF!</v>
      </c>
      <c r="M134" s="383">
        <f>'UTL COST'!$C$6</f>
        <v>525</v>
      </c>
      <c r="N134" s="89">
        <v>0.1</v>
      </c>
      <c r="O134" s="324"/>
      <c r="P134" s="387"/>
      <c r="Q134" s="387"/>
    </row>
    <row r="135" ht="12.75" customHeight="1">
      <c r="A135" s="322"/>
      <c r="B135" s="34" t="s">
        <v>84</v>
      </c>
      <c r="C135" s="102"/>
      <c r="D135" s="102"/>
      <c r="E135" s="104" t="str">
        <f>IF(SUM(E131:E134)=0,"",SUM(E131:E134))</f>
        <v>#REF!</v>
      </c>
      <c r="F135" s="324"/>
      <c r="G135" s="324"/>
      <c r="H135" s="387"/>
      <c r="I135" s="388"/>
      <c r="J135" s="322"/>
      <c r="K135" s="34" t="s">
        <v>84</v>
      </c>
      <c r="L135" s="102"/>
      <c r="M135" s="102"/>
      <c r="N135" s="104" t="str">
        <f>IF(SUM(N131:N134)=0,"",SUM(N131:N134))</f>
        <v>#REF!</v>
      </c>
      <c r="O135" s="324"/>
      <c r="P135" s="387"/>
      <c r="Q135" s="387"/>
    </row>
    <row r="136" ht="12.75" customHeight="1">
      <c r="A136" s="322"/>
      <c r="B136" s="360"/>
      <c r="C136" s="360"/>
      <c r="D136" s="360"/>
      <c r="E136" s="361"/>
      <c r="F136" s="324"/>
      <c r="G136" s="324"/>
      <c r="H136" s="387"/>
      <c r="I136" s="388"/>
      <c r="J136" s="322"/>
      <c r="K136" s="360"/>
      <c r="L136" s="360"/>
      <c r="M136" s="360"/>
      <c r="N136" s="361"/>
      <c r="O136" s="324"/>
      <c r="P136" s="387"/>
      <c r="Q136" s="387"/>
    </row>
    <row r="137" ht="12.75" customHeight="1">
      <c r="A137" s="387"/>
      <c r="B137" s="387"/>
      <c r="C137" s="387"/>
      <c r="D137" s="387"/>
      <c r="E137" s="418"/>
      <c r="F137" s="387"/>
      <c r="G137" s="387"/>
      <c r="H137" s="387"/>
      <c r="I137" s="387"/>
      <c r="J137" s="387"/>
      <c r="K137" s="387"/>
      <c r="L137" s="387"/>
      <c r="M137" s="387"/>
      <c r="N137" s="387"/>
      <c r="O137" s="387"/>
      <c r="P137" s="387"/>
      <c r="Q137" s="387"/>
    </row>
    <row r="138" ht="12.75" customHeight="1">
      <c r="A138" s="388"/>
      <c r="B138" s="388"/>
      <c r="C138" s="388"/>
      <c r="D138" s="388"/>
      <c r="E138" s="389"/>
      <c r="F138" s="387"/>
      <c r="G138" s="387"/>
      <c r="H138" s="387"/>
      <c r="I138" s="388"/>
      <c r="J138" s="388"/>
      <c r="K138" s="388"/>
      <c r="L138" s="388"/>
      <c r="M138" s="388"/>
      <c r="N138" s="389"/>
      <c r="O138" s="387"/>
      <c r="P138" s="387"/>
      <c r="Q138" s="387"/>
    </row>
    <row r="139" ht="12.75" customHeight="1">
      <c r="A139" s="322"/>
      <c r="B139" s="322"/>
      <c r="C139" s="322"/>
      <c r="D139" s="322"/>
      <c r="E139" s="323"/>
      <c r="F139" s="324"/>
      <c r="G139" s="324"/>
      <c r="H139" s="387"/>
      <c r="I139" s="388"/>
      <c r="J139" s="322"/>
      <c r="K139" s="322"/>
      <c r="L139" s="322"/>
      <c r="M139" s="322"/>
      <c r="N139" s="323"/>
      <c r="O139" s="324"/>
      <c r="P139" s="387"/>
      <c r="Q139" s="387"/>
    </row>
    <row r="140" ht="12.75" customHeight="1">
      <c r="A140" s="322"/>
      <c r="B140" s="325"/>
      <c r="C140" s="322"/>
      <c r="D140" s="322"/>
      <c r="E140" s="323"/>
      <c r="F140" s="326"/>
      <c r="G140" s="326"/>
      <c r="H140" s="387"/>
      <c r="I140" s="387"/>
      <c r="J140" s="322"/>
      <c r="K140" s="325"/>
      <c r="L140" s="322"/>
      <c r="M140" s="322"/>
      <c r="N140" s="323"/>
      <c r="O140" s="326"/>
      <c r="P140" s="387"/>
      <c r="Q140" s="387"/>
    </row>
    <row r="141" ht="12.75" customHeight="1">
      <c r="A141" s="322"/>
      <c r="B141" s="327" t="s">
        <v>931</v>
      </c>
      <c r="C141" s="328" t="s">
        <v>341</v>
      </c>
      <c r="D141" s="329"/>
      <c r="E141" s="323"/>
      <c r="F141" s="326"/>
      <c r="G141" s="326"/>
      <c r="H141" s="387"/>
      <c r="I141" s="387"/>
      <c r="J141" s="322"/>
      <c r="K141" s="327" t="s">
        <v>931</v>
      </c>
      <c r="L141" s="328" t="s">
        <v>1248</v>
      </c>
      <c r="M141" s="329"/>
      <c r="N141" s="323"/>
      <c r="O141" s="326"/>
      <c r="P141" s="387"/>
      <c r="Q141" s="387"/>
    </row>
    <row r="142" ht="12.75" customHeight="1">
      <c r="A142" s="322"/>
      <c r="B142" s="325"/>
      <c r="C142" s="322"/>
      <c r="D142" s="322"/>
      <c r="E142" s="323"/>
      <c r="F142" s="326"/>
      <c r="G142" s="326"/>
      <c r="H142" s="387"/>
      <c r="I142" s="387"/>
      <c r="J142" s="322"/>
      <c r="K142" s="325"/>
      <c r="L142" s="322"/>
      <c r="M142" s="322"/>
      <c r="N142" s="323"/>
      <c r="O142" s="326"/>
      <c r="P142" s="387"/>
      <c r="Q142" s="387"/>
    </row>
    <row r="143" ht="12.75" customHeight="1">
      <c r="A143" s="322"/>
      <c r="B143" s="327" t="s">
        <v>935</v>
      </c>
      <c r="C143" s="331">
        <v>115000.0</v>
      </c>
      <c r="D143" s="329"/>
      <c r="E143" s="323"/>
      <c r="F143" s="326"/>
      <c r="G143" s="326"/>
      <c r="H143" s="387"/>
      <c r="I143" s="387"/>
      <c r="J143" s="322"/>
      <c r="K143" s="327" t="s">
        <v>935</v>
      </c>
      <c r="L143" s="331">
        <v>115000.0</v>
      </c>
      <c r="M143" s="329"/>
      <c r="N143" s="323"/>
      <c r="O143" s="326"/>
      <c r="P143" s="387"/>
      <c r="Q143" s="387"/>
    </row>
    <row r="144" ht="12.75" customHeight="1">
      <c r="A144" s="322"/>
      <c r="B144" s="327"/>
      <c r="C144" s="332"/>
      <c r="D144" s="332"/>
      <c r="E144" s="323"/>
      <c r="F144" s="326"/>
      <c r="G144" s="326"/>
      <c r="H144" s="387"/>
      <c r="I144" s="387"/>
      <c r="J144" s="322"/>
      <c r="K144" s="327"/>
      <c r="L144" s="332"/>
      <c r="M144" s="332"/>
      <c r="N144" s="323"/>
      <c r="O144" s="326"/>
      <c r="P144" s="387"/>
      <c r="Q144" s="387"/>
    </row>
    <row r="145" ht="12.75" customHeight="1">
      <c r="A145" s="322"/>
      <c r="B145" s="327" t="s">
        <v>939</v>
      </c>
      <c r="C145" s="333" t="str">
        <f>IF(SUM(E157,E172,E180)=0,"",SUM(E157,E172,E180))</f>
        <v>#REF!</v>
      </c>
      <c r="D145" s="321"/>
      <c r="E145" s="323"/>
      <c r="F145" s="326"/>
      <c r="G145" s="326"/>
      <c r="H145" s="387"/>
      <c r="I145" s="387"/>
      <c r="J145" s="322"/>
      <c r="K145" s="327" t="s">
        <v>939</v>
      </c>
      <c r="L145" s="333" t="str">
        <f>IF(SUM(N157,N172,N180)=0,"",SUM(N157,N172,N180))</f>
        <v>#REF!</v>
      </c>
      <c r="M145" s="321"/>
      <c r="N145" s="323"/>
      <c r="O145" s="326"/>
      <c r="P145" s="387"/>
      <c r="Q145" s="387"/>
    </row>
    <row r="146" ht="12.75" customHeight="1">
      <c r="A146" s="322"/>
      <c r="B146" s="327"/>
      <c r="C146" s="334"/>
      <c r="D146" s="334"/>
      <c r="E146" s="323"/>
      <c r="F146" s="326"/>
      <c r="G146" s="326"/>
      <c r="H146" s="387"/>
      <c r="I146" s="387"/>
      <c r="J146" s="322"/>
      <c r="K146" s="327"/>
      <c r="L146" s="334"/>
      <c r="M146" s="334"/>
      <c r="N146" s="323"/>
      <c r="O146" s="326"/>
      <c r="P146" s="387"/>
      <c r="Q146" s="387"/>
    </row>
    <row r="147" ht="12.75" customHeight="1">
      <c r="A147" s="322"/>
      <c r="B147" s="327" t="s">
        <v>946</v>
      </c>
      <c r="C147" s="335" t="str">
        <f>IF(C145="","",IF(ISBLANK(C143),"",C145/C143))</f>
        <v>#REF!</v>
      </c>
      <c r="D147" s="321"/>
      <c r="E147" s="323"/>
      <c r="F147" s="326"/>
      <c r="G147" s="326"/>
      <c r="H147" s="387"/>
      <c r="I147" s="387"/>
      <c r="J147" s="322"/>
      <c r="K147" s="327" t="s">
        <v>946</v>
      </c>
      <c r="L147" s="335" t="str">
        <f>IF(L145="","",IF(ISBLANK(L143),"",L145/L143))</f>
        <v>#REF!</v>
      </c>
      <c r="M147" s="321"/>
      <c r="N147" s="323"/>
      <c r="O147" s="326"/>
      <c r="P147" s="387"/>
      <c r="Q147" s="387"/>
    </row>
    <row r="148" ht="12.75" customHeight="1">
      <c r="A148" s="322"/>
      <c r="B148" s="327"/>
      <c r="C148" s="334"/>
      <c r="D148" s="334"/>
      <c r="E148" s="323"/>
      <c r="F148" s="326"/>
      <c r="G148" s="326"/>
      <c r="H148" s="387"/>
      <c r="I148" s="387"/>
      <c r="J148" s="322"/>
      <c r="K148" s="327"/>
      <c r="L148" s="334"/>
      <c r="M148" s="334"/>
      <c r="N148" s="323"/>
      <c r="O148" s="326"/>
      <c r="P148" s="387"/>
      <c r="Q148" s="387"/>
    </row>
    <row r="149" ht="12.75" customHeight="1">
      <c r="A149" s="322"/>
      <c r="B149" s="327" t="s">
        <v>950</v>
      </c>
      <c r="C149" s="333" t="str">
        <f>C143-C145</f>
        <v>#REF!</v>
      </c>
      <c r="D149" s="321"/>
      <c r="E149" s="323"/>
      <c r="F149" s="326"/>
      <c r="G149" s="326"/>
      <c r="H149" s="387"/>
      <c r="I149" s="387"/>
      <c r="J149" s="322"/>
      <c r="K149" s="327" t="s">
        <v>950</v>
      </c>
      <c r="L149" s="333" t="str">
        <f>L143-L145</f>
        <v>#REF!</v>
      </c>
      <c r="M149" s="321"/>
      <c r="N149" s="323"/>
      <c r="O149" s="326"/>
      <c r="P149" s="387"/>
      <c r="Q149" s="387"/>
    </row>
    <row r="150" ht="12.75" customHeight="1">
      <c r="A150" s="322"/>
      <c r="B150" s="322"/>
      <c r="C150" s="322"/>
      <c r="D150" s="322"/>
      <c r="E150" s="323"/>
      <c r="F150" s="324"/>
      <c r="G150" s="324"/>
      <c r="H150" s="387"/>
      <c r="I150" s="387"/>
      <c r="J150" s="322"/>
      <c r="K150" s="322"/>
      <c r="L150" s="322"/>
      <c r="M150" s="322"/>
      <c r="N150" s="323"/>
      <c r="O150" s="324"/>
      <c r="P150" s="387"/>
      <c r="Q150" s="387"/>
    </row>
    <row r="151" ht="12.75" customHeight="1">
      <c r="A151" s="322"/>
      <c r="B151" s="322"/>
      <c r="C151" s="322"/>
      <c r="D151" s="322"/>
      <c r="E151" s="337"/>
      <c r="F151" s="324"/>
      <c r="G151" s="324"/>
      <c r="H151" s="387"/>
      <c r="I151" s="387"/>
      <c r="J151" s="322"/>
      <c r="K151" s="322"/>
      <c r="L151" s="322"/>
      <c r="M151" s="322"/>
      <c r="N151" s="337"/>
      <c r="O151" s="324"/>
      <c r="P151" s="387"/>
      <c r="Q151" s="387"/>
    </row>
    <row r="152" ht="12.75" customHeight="1">
      <c r="A152" s="322"/>
      <c r="B152" s="338" t="s">
        <v>951</v>
      </c>
      <c r="C152" s="339"/>
      <c r="D152" s="339"/>
      <c r="E152" s="339"/>
      <c r="F152" s="324"/>
      <c r="G152" s="324"/>
      <c r="H152" s="387"/>
      <c r="I152" s="387"/>
      <c r="J152" s="322"/>
      <c r="K152" s="338" t="s">
        <v>951</v>
      </c>
      <c r="L152" s="339"/>
      <c r="M152" s="339"/>
      <c r="N152" s="339"/>
      <c r="O152" s="324"/>
      <c r="P152" s="387"/>
      <c r="Q152" s="387"/>
    </row>
    <row r="153" ht="12.75" customHeight="1">
      <c r="A153" s="322"/>
      <c r="B153" s="340" t="s">
        <v>953</v>
      </c>
      <c r="C153" s="341" t="s">
        <v>954</v>
      </c>
      <c r="D153" s="341" t="s">
        <v>955</v>
      </c>
      <c r="E153" s="341" t="s">
        <v>35</v>
      </c>
      <c r="F153" s="324"/>
      <c r="G153" s="324"/>
      <c r="H153" s="387"/>
      <c r="I153" s="387"/>
      <c r="J153" s="322"/>
      <c r="K153" s="340" t="s">
        <v>953</v>
      </c>
      <c r="L153" s="341" t="s">
        <v>954</v>
      </c>
      <c r="M153" s="341" t="s">
        <v>955</v>
      </c>
      <c r="N153" s="341" t="s">
        <v>35</v>
      </c>
      <c r="O153" s="324"/>
      <c r="P153" s="387"/>
      <c r="Q153" s="387"/>
    </row>
    <row r="154" ht="12.75" customHeight="1">
      <c r="A154" s="322"/>
      <c r="B154" s="60" t="s">
        <v>1260</v>
      </c>
      <c r="C154" s="342">
        <v>0.3</v>
      </c>
      <c r="D154" s="343">
        <f>Prep!$J$32</f>
        <v>30194.11765</v>
      </c>
      <c r="E154" s="67">
        <f>IF(OR(ISBLANK(C154),ISBLANK(D154)),"",D154*C154)</f>
        <v>9058.235294</v>
      </c>
      <c r="F154" s="324"/>
      <c r="G154" s="324"/>
      <c r="H154" s="387"/>
      <c r="I154" s="387"/>
      <c r="J154" s="322"/>
      <c r="K154" s="60" t="s">
        <v>1147</v>
      </c>
      <c r="L154" s="342">
        <v>0.2</v>
      </c>
      <c r="M154" s="343">
        <f>'F&amp;B'!$F$90</f>
        <v>108000</v>
      </c>
      <c r="N154" s="67">
        <f t="shared" ref="N154:N156" si="15">IF(OR(ISBLANK(L154),ISBLANK(M154)),"",M154*L154)</f>
        <v>21600</v>
      </c>
      <c r="O154" s="324"/>
      <c r="P154" s="387"/>
      <c r="Q154" s="387"/>
    </row>
    <row r="155" ht="12.75" customHeight="1">
      <c r="A155" s="322"/>
      <c r="B155" s="75"/>
      <c r="C155" s="370"/>
      <c r="D155" s="371"/>
      <c r="E155" s="67"/>
      <c r="F155" s="324"/>
      <c r="G155" s="324"/>
      <c r="H155" s="387"/>
      <c r="I155" s="387"/>
      <c r="J155" s="322"/>
      <c r="K155" s="87" t="s">
        <v>1262</v>
      </c>
      <c r="L155" s="412">
        <v>1.0</v>
      </c>
      <c r="M155" s="408">
        <f>'F&amp;B'!$F$16/40</f>
        <v>11925</v>
      </c>
      <c r="N155" s="89">
        <f t="shared" si="15"/>
        <v>11925</v>
      </c>
      <c r="O155" s="324"/>
      <c r="P155" s="387"/>
      <c r="Q155" s="387"/>
    </row>
    <row r="156" ht="12.75" customHeight="1">
      <c r="A156" s="322"/>
      <c r="B156" s="87" t="s">
        <v>200</v>
      </c>
      <c r="C156" s="355">
        <v>1.0</v>
      </c>
      <c r="D156" s="400">
        <f>SAUCES!$D$92</f>
        <v>900.9230769</v>
      </c>
      <c r="E156" s="67">
        <f>IF(OR(ISBLANK(C156),ISBLANK(D156)),"",D156*C156)</f>
        <v>900.9230769</v>
      </c>
      <c r="F156" s="324"/>
      <c r="G156" s="324"/>
      <c r="H156" s="387"/>
      <c r="I156" s="387"/>
      <c r="J156" s="322"/>
      <c r="K156" s="87"/>
      <c r="L156" s="355"/>
      <c r="M156" s="400"/>
      <c r="N156" s="67" t="str">
        <f t="shared" si="15"/>
        <v/>
      </c>
      <c r="O156" s="324"/>
      <c r="P156" s="387"/>
      <c r="Q156" s="387"/>
    </row>
    <row r="157" ht="12.75" customHeight="1">
      <c r="A157" s="322"/>
      <c r="B157" s="338" t="s">
        <v>84</v>
      </c>
      <c r="C157" s="358"/>
      <c r="D157" s="358"/>
      <c r="E157" s="359">
        <f>IF(SUM(E154:E156)=0,"",SUM(E154:E156))</f>
        <v>9959.158371</v>
      </c>
      <c r="F157" s="324"/>
      <c r="G157" s="324"/>
      <c r="H157" s="387"/>
      <c r="I157" s="387"/>
      <c r="J157" s="322"/>
      <c r="K157" s="338" t="s">
        <v>84</v>
      </c>
      <c r="L157" s="358"/>
      <c r="M157" s="358"/>
      <c r="N157" s="359">
        <f>IF(SUM(N154:N156)=0,"",SUM(N154:N156))</f>
        <v>33525</v>
      </c>
      <c r="O157" s="324"/>
      <c r="P157" s="387"/>
      <c r="Q157" s="387"/>
    </row>
    <row r="158" ht="12.75" customHeight="1">
      <c r="A158" s="322"/>
      <c r="B158" s="360"/>
      <c r="C158" s="360"/>
      <c r="D158" s="360"/>
      <c r="E158" s="361"/>
      <c r="F158" s="324"/>
      <c r="G158" s="324"/>
      <c r="H158" s="387"/>
      <c r="I158" s="387"/>
      <c r="J158" s="322"/>
      <c r="K158" s="360"/>
      <c r="L158" s="360"/>
      <c r="M158" s="360"/>
      <c r="N158" s="361"/>
      <c r="O158" s="324"/>
      <c r="P158" s="387"/>
      <c r="Q158" s="387"/>
    </row>
    <row r="159" ht="12.75" customHeight="1">
      <c r="A159" s="322"/>
      <c r="B159" s="362" t="s">
        <v>972</v>
      </c>
      <c r="C159" s="363"/>
      <c r="D159" s="363"/>
      <c r="E159" s="363"/>
      <c r="F159" s="324"/>
      <c r="G159" s="324"/>
      <c r="H159" s="387"/>
      <c r="I159" s="387"/>
      <c r="J159" s="322"/>
      <c r="K159" s="362" t="s">
        <v>972</v>
      </c>
      <c r="L159" s="363"/>
      <c r="M159" s="363"/>
      <c r="N159" s="363"/>
      <c r="O159" s="324"/>
      <c r="P159" s="387"/>
      <c r="Q159" s="387"/>
    </row>
    <row r="160" ht="12.75" customHeight="1">
      <c r="A160" s="322"/>
      <c r="B160" s="365" t="s">
        <v>953</v>
      </c>
      <c r="C160" s="366" t="s">
        <v>3</v>
      </c>
      <c r="D160" s="366" t="s">
        <v>975</v>
      </c>
      <c r="E160" s="367" t="s">
        <v>35</v>
      </c>
      <c r="F160" s="324"/>
      <c r="G160" s="324"/>
      <c r="H160" s="387"/>
      <c r="I160" s="387"/>
      <c r="J160" s="322"/>
      <c r="K160" s="365" t="s">
        <v>953</v>
      </c>
      <c r="L160" s="366" t="s">
        <v>3</v>
      </c>
      <c r="M160" s="366" t="s">
        <v>975</v>
      </c>
      <c r="N160" s="367" t="s">
        <v>35</v>
      </c>
      <c r="O160" s="324"/>
      <c r="P160" s="387"/>
      <c r="Q160" s="387"/>
    </row>
    <row r="161" ht="12.75" customHeight="1">
      <c r="A161" s="322"/>
      <c r="B161" s="368"/>
      <c r="C161" s="366"/>
      <c r="D161" s="366"/>
      <c r="E161" s="368"/>
      <c r="F161" s="324"/>
      <c r="G161" s="324"/>
      <c r="H161" s="387"/>
      <c r="I161" s="387"/>
      <c r="J161" s="322"/>
      <c r="K161" s="368"/>
      <c r="L161" s="366"/>
      <c r="M161" s="366"/>
      <c r="N161" s="368"/>
      <c r="O161" s="324"/>
      <c r="P161" s="387"/>
      <c r="Q161" s="387"/>
    </row>
    <row r="162" ht="12.75" customHeight="1">
      <c r="A162" s="322"/>
      <c r="B162" s="60"/>
      <c r="C162" s="342"/>
      <c r="D162" s="343"/>
      <c r="E162" s="67">
        <f t="shared" ref="E162:E171" si="16">D162*C162</f>
        <v>0</v>
      </c>
      <c r="F162" s="324"/>
      <c r="G162" s="324"/>
      <c r="H162" s="387"/>
      <c r="I162" s="387"/>
      <c r="J162" s="322"/>
      <c r="K162" s="60" t="s">
        <v>1061</v>
      </c>
      <c r="L162" s="342">
        <v>0.06</v>
      </c>
      <c r="M162" s="343">
        <f>'F&amp;B'!F284</f>
        <v>7200</v>
      </c>
      <c r="N162" s="67">
        <f t="shared" ref="N162:N171" si="17">M162*L162</f>
        <v>432</v>
      </c>
      <c r="O162" s="324"/>
      <c r="P162" s="387"/>
      <c r="Q162" s="387"/>
    </row>
    <row r="163" ht="12.75" customHeight="1">
      <c r="A163" s="322"/>
      <c r="B163" s="75"/>
      <c r="C163" s="370"/>
      <c r="D163" s="371"/>
      <c r="E163" s="67">
        <f t="shared" si="16"/>
        <v>0</v>
      </c>
      <c r="F163" s="324"/>
      <c r="G163" s="324"/>
      <c r="H163" s="387"/>
      <c r="I163" s="387"/>
      <c r="J163" s="322"/>
      <c r="K163" s="75" t="s">
        <v>1229</v>
      </c>
      <c r="L163" s="370">
        <v>0.06</v>
      </c>
      <c r="M163" s="371">
        <f>'F&amp;B'!$F$279</f>
        <v>7200</v>
      </c>
      <c r="N163" s="67">
        <f t="shared" si="17"/>
        <v>432</v>
      </c>
      <c r="O163" s="324"/>
      <c r="P163" s="387"/>
      <c r="Q163" s="387"/>
    </row>
    <row r="164" ht="12.75" customHeight="1">
      <c r="A164" s="322"/>
      <c r="B164" s="75"/>
      <c r="C164" s="370"/>
      <c r="D164" s="371"/>
      <c r="E164" s="67">
        <f t="shared" si="16"/>
        <v>0</v>
      </c>
      <c r="F164" s="324"/>
      <c r="G164" s="324"/>
      <c r="H164" s="387"/>
      <c r="I164" s="387"/>
      <c r="J164" s="322"/>
      <c r="K164" s="75"/>
      <c r="L164" s="370"/>
      <c r="M164" s="371"/>
      <c r="N164" s="67">
        <f t="shared" si="17"/>
        <v>0</v>
      </c>
      <c r="O164" s="324"/>
      <c r="P164" s="387"/>
      <c r="Q164" s="387"/>
    </row>
    <row r="165" ht="12.75" customHeight="1">
      <c r="A165" s="322"/>
      <c r="B165" s="75"/>
      <c r="C165" s="346"/>
      <c r="D165" s="371"/>
      <c r="E165" s="67">
        <f t="shared" si="16"/>
        <v>0</v>
      </c>
      <c r="F165" s="324"/>
      <c r="G165" s="324"/>
      <c r="H165" s="387"/>
      <c r="I165" s="387"/>
      <c r="J165" s="322"/>
      <c r="K165" s="75"/>
      <c r="L165" s="346"/>
      <c r="M165" s="371"/>
      <c r="N165" s="67">
        <f t="shared" si="17"/>
        <v>0</v>
      </c>
      <c r="O165" s="324"/>
      <c r="P165" s="387"/>
      <c r="Q165" s="387"/>
    </row>
    <row r="166" ht="12.75" customHeight="1">
      <c r="A166" s="322"/>
      <c r="B166" s="75"/>
      <c r="C166" s="370"/>
      <c r="D166" s="371"/>
      <c r="E166" s="67">
        <f t="shared" si="16"/>
        <v>0</v>
      </c>
      <c r="F166" s="324"/>
      <c r="G166" s="324"/>
      <c r="H166" s="387"/>
      <c r="I166" s="387"/>
      <c r="J166" s="322"/>
      <c r="K166" s="75"/>
      <c r="L166" s="346"/>
      <c r="M166" s="371"/>
      <c r="N166" s="67">
        <f t="shared" si="17"/>
        <v>0</v>
      </c>
      <c r="O166" s="324"/>
      <c r="P166" s="387"/>
      <c r="Q166" s="387"/>
    </row>
    <row r="167" ht="12.75" customHeight="1">
      <c r="A167" s="322"/>
      <c r="B167" s="75"/>
      <c r="C167" s="342"/>
      <c r="D167" s="343"/>
      <c r="E167" s="67">
        <f t="shared" si="16"/>
        <v>0</v>
      </c>
      <c r="F167" s="324"/>
      <c r="G167" s="324"/>
      <c r="H167" s="387"/>
      <c r="I167" s="387"/>
      <c r="J167" s="322"/>
      <c r="K167" s="75"/>
      <c r="L167" s="370"/>
      <c r="M167" s="371"/>
      <c r="N167" s="67">
        <f t="shared" si="17"/>
        <v>0</v>
      </c>
      <c r="O167" s="324"/>
      <c r="P167" s="387"/>
      <c r="Q167" s="387"/>
    </row>
    <row r="168" ht="12.75" customHeight="1">
      <c r="A168" s="322"/>
      <c r="B168" s="348"/>
      <c r="C168" s="346"/>
      <c r="D168" s="373"/>
      <c r="E168" s="67">
        <f t="shared" si="16"/>
        <v>0</v>
      </c>
      <c r="F168" s="324"/>
      <c r="G168" s="324"/>
      <c r="H168" s="387"/>
      <c r="I168" s="387"/>
      <c r="J168" s="322"/>
      <c r="K168" s="75"/>
      <c r="L168" s="346"/>
      <c r="M168" s="371"/>
      <c r="N168" s="67">
        <f t="shared" si="17"/>
        <v>0</v>
      </c>
      <c r="O168" s="324"/>
      <c r="P168" s="387"/>
      <c r="Q168" s="387"/>
    </row>
    <row r="169" ht="12.75" customHeight="1">
      <c r="A169" s="322"/>
      <c r="B169" s="348"/>
      <c r="C169" s="346"/>
      <c r="D169" s="373"/>
      <c r="E169" s="67">
        <f t="shared" si="16"/>
        <v>0</v>
      </c>
      <c r="F169" s="324"/>
      <c r="G169" s="324"/>
      <c r="H169" s="387"/>
      <c r="I169" s="387"/>
      <c r="J169" s="322"/>
      <c r="K169" s="75"/>
      <c r="L169" s="342"/>
      <c r="M169" s="343"/>
      <c r="N169" s="67">
        <f t="shared" si="17"/>
        <v>0</v>
      </c>
      <c r="O169" s="324"/>
      <c r="P169" s="387"/>
      <c r="Q169" s="387"/>
    </row>
    <row r="170" ht="12.75" customHeight="1">
      <c r="A170" s="322"/>
      <c r="B170" s="348"/>
      <c r="C170" s="346"/>
      <c r="D170" s="373"/>
      <c r="E170" s="67">
        <f t="shared" si="16"/>
        <v>0</v>
      </c>
      <c r="F170" s="324"/>
      <c r="G170" s="324"/>
      <c r="H170" s="387"/>
      <c r="I170" s="387"/>
      <c r="J170" s="322"/>
      <c r="K170" s="348"/>
      <c r="L170" s="346"/>
      <c r="M170" s="373"/>
      <c r="N170" s="67">
        <f t="shared" si="17"/>
        <v>0</v>
      </c>
      <c r="O170" s="324"/>
      <c r="P170" s="387"/>
      <c r="Q170" s="387"/>
    </row>
    <row r="171" ht="12.75" customHeight="1">
      <c r="A171" s="322"/>
      <c r="B171" s="354"/>
      <c r="C171" s="355"/>
      <c r="D171" s="356"/>
      <c r="E171" s="67">
        <f t="shared" si="16"/>
        <v>0</v>
      </c>
      <c r="F171" s="324"/>
      <c r="G171" s="324"/>
      <c r="H171" s="387"/>
      <c r="I171" s="387"/>
      <c r="J171" s="322"/>
      <c r="K171" s="354"/>
      <c r="L171" s="355"/>
      <c r="M171" s="356"/>
      <c r="N171" s="67">
        <f t="shared" si="17"/>
        <v>0</v>
      </c>
      <c r="O171" s="324"/>
      <c r="P171" s="387"/>
      <c r="Q171" s="387"/>
    </row>
    <row r="172" ht="12.75" customHeight="1">
      <c r="A172" s="322"/>
      <c r="B172" s="362" t="s">
        <v>84</v>
      </c>
      <c r="C172" s="374"/>
      <c r="D172" s="374"/>
      <c r="E172" s="375" t="str">
        <f>IF(SUM(E162:E171)=0,"",SUM(E162:E171))</f>
        <v/>
      </c>
      <c r="F172" s="324"/>
      <c r="G172" s="324"/>
      <c r="H172" s="387"/>
      <c r="I172" s="387"/>
      <c r="J172" s="322"/>
      <c r="K172" s="362" t="s">
        <v>84</v>
      </c>
      <c r="L172" s="374"/>
      <c r="M172" s="374"/>
      <c r="N172" s="375">
        <f>IF(SUM(N162:N171)=0,"",SUM(N162:N171))</f>
        <v>864</v>
      </c>
      <c r="O172" s="324"/>
      <c r="P172" s="387"/>
      <c r="Q172" s="387"/>
    </row>
    <row r="173" ht="12.75" customHeight="1">
      <c r="A173" s="322"/>
      <c r="B173" s="360"/>
      <c r="C173" s="360"/>
      <c r="D173" s="360"/>
      <c r="E173" s="361"/>
      <c r="F173" s="324"/>
      <c r="G173" s="324"/>
      <c r="H173" s="387"/>
      <c r="I173" s="387"/>
      <c r="J173" s="322"/>
      <c r="K173" s="360"/>
      <c r="L173" s="360"/>
      <c r="M173" s="360"/>
      <c r="N173" s="361"/>
      <c r="O173" s="324"/>
      <c r="P173" s="387"/>
      <c r="Q173" s="387"/>
    </row>
    <row r="174" ht="12.75" customHeight="1">
      <c r="A174" s="322"/>
      <c r="B174" s="34" t="s">
        <v>17</v>
      </c>
      <c r="C174" s="35"/>
      <c r="D174" s="35"/>
      <c r="E174" s="35"/>
      <c r="F174" s="324"/>
      <c r="G174" s="324"/>
      <c r="H174" s="387"/>
      <c r="I174" s="387"/>
      <c r="J174" s="322"/>
      <c r="K174" s="34" t="s">
        <v>17</v>
      </c>
      <c r="L174" s="35"/>
      <c r="M174" s="35"/>
      <c r="N174" s="35"/>
      <c r="O174" s="324"/>
      <c r="P174" s="387"/>
      <c r="Q174" s="387"/>
    </row>
    <row r="175" ht="12.75" customHeight="1">
      <c r="A175" s="322"/>
      <c r="B175" s="52" t="s">
        <v>42</v>
      </c>
      <c r="C175" s="54"/>
      <c r="D175" s="54"/>
      <c r="E175" s="56" t="s">
        <v>35</v>
      </c>
      <c r="F175" s="324"/>
      <c r="G175" s="324"/>
      <c r="H175" s="387"/>
      <c r="I175" s="387"/>
      <c r="J175" s="322"/>
      <c r="K175" s="52" t="s">
        <v>42</v>
      </c>
      <c r="L175" s="54"/>
      <c r="M175" s="54"/>
      <c r="N175" s="56" t="s">
        <v>35</v>
      </c>
      <c r="O175" s="324"/>
      <c r="P175" s="387"/>
      <c r="Q175" s="387"/>
    </row>
    <row r="176" ht="12.75" customHeight="1">
      <c r="A176" s="322"/>
      <c r="B176" s="60" t="s">
        <v>40</v>
      </c>
      <c r="C176" s="343">
        <f>'UTL COST'!$B$3</f>
        <v>369000</v>
      </c>
      <c r="D176" s="379">
        <f>'UTL COST'!$C$3</f>
        <v>0.0075</v>
      </c>
      <c r="E176" s="67">
        <v>0.0</v>
      </c>
      <c r="F176" s="324"/>
      <c r="G176" s="324"/>
      <c r="H176" s="387"/>
      <c r="I176" s="387"/>
      <c r="J176" s="322"/>
      <c r="K176" s="60" t="s">
        <v>40</v>
      </c>
      <c r="L176" s="343">
        <f>'UTL COST'!$B$3</f>
        <v>369000</v>
      </c>
      <c r="M176" s="379">
        <f>'UTL COST'!$C$3</f>
        <v>0.0075</v>
      </c>
      <c r="N176" s="67">
        <v>0.0</v>
      </c>
      <c r="O176" s="324"/>
      <c r="P176" s="387"/>
      <c r="Q176" s="387"/>
    </row>
    <row r="177" ht="12.75" customHeight="1">
      <c r="A177" s="322"/>
      <c r="B177" s="75" t="s">
        <v>51</v>
      </c>
      <c r="C177" s="371" t="str">
        <f>'UTL COST'!$B$4</f>
        <v>#REF!</v>
      </c>
      <c r="D177" s="382">
        <f>'UTL COST'!$C$4</f>
        <v>7000</v>
      </c>
      <c r="E177" s="76" t="str">
        <f>'UTL COST'!$D$4</f>
        <v>#REF!</v>
      </c>
      <c r="F177" s="324"/>
      <c r="G177" s="324"/>
      <c r="H177" s="387"/>
      <c r="I177" s="387"/>
      <c r="J177" s="322"/>
      <c r="K177" s="75" t="s">
        <v>51</v>
      </c>
      <c r="L177" s="371" t="str">
        <f>'UTL COST'!$B$4</f>
        <v>#REF!</v>
      </c>
      <c r="M177" s="382">
        <f>'UTL COST'!$C$4</f>
        <v>7000</v>
      </c>
      <c r="N177" s="76" t="str">
        <f>'UTL COST'!$D$4</f>
        <v>#REF!</v>
      </c>
      <c r="O177" s="324"/>
      <c r="P177" s="387"/>
      <c r="Q177" s="387"/>
    </row>
    <row r="178" ht="12.75" customHeight="1">
      <c r="A178" s="322"/>
      <c r="B178" s="75" t="s">
        <v>59</v>
      </c>
      <c r="C178" s="371" t="str">
        <f>'UTL COST'!$B$5</f>
        <v>#REF!</v>
      </c>
      <c r="D178" s="382">
        <f>'UTL COST'!$C$5</f>
        <v>45000</v>
      </c>
      <c r="E178" s="76" t="str">
        <f>'UTL COST'!$D$5</f>
        <v>#REF!</v>
      </c>
      <c r="F178" s="324"/>
      <c r="G178" s="324"/>
      <c r="H178" s="387"/>
      <c r="I178" s="387"/>
      <c r="J178" s="322"/>
      <c r="K178" s="75" t="s">
        <v>59</v>
      </c>
      <c r="L178" s="371" t="str">
        <f>'UTL COST'!$B$5</f>
        <v>#REF!</v>
      </c>
      <c r="M178" s="382">
        <f>'UTL COST'!$C$5</f>
        <v>45000</v>
      </c>
      <c r="N178" s="76" t="str">
        <f>'UTL COST'!$D$5</f>
        <v>#REF!</v>
      </c>
      <c r="O178" s="324"/>
      <c r="P178" s="387"/>
      <c r="Q178" s="387"/>
    </row>
    <row r="179" ht="12.75" customHeight="1">
      <c r="A179" s="322"/>
      <c r="B179" s="87" t="s">
        <v>78</v>
      </c>
      <c r="C179" s="371" t="str">
        <f>'UTL COST'!$B$6</f>
        <v>#REF!</v>
      </c>
      <c r="D179" s="383">
        <f>'UTL COST'!$C$6</f>
        <v>525</v>
      </c>
      <c r="E179" s="89">
        <v>0.1</v>
      </c>
      <c r="F179" s="324"/>
      <c r="G179" s="324"/>
      <c r="H179" s="387"/>
      <c r="I179" s="387"/>
      <c r="J179" s="322"/>
      <c r="K179" s="87" t="s">
        <v>78</v>
      </c>
      <c r="L179" s="371" t="str">
        <f>'UTL COST'!$B$6</f>
        <v>#REF!</v>
      </c>
      <c r="M179" s="383">
        <f>'UTL COST'!$C$6</f>
        <v>525</v>
      </c>
      <c r="N179" s="89">
        <v>0.1</v>
      </c>
      <c r="O179" s="324"/>
      <c r="P179" s="387"/>
      <c r="Q179" s="387"/>
    </row>
    <row r="180" ht="12.75" customHeight="1">
      <c r="A180" s="322"/>
      <c r="B180" s="34" t="s">
        <v>84</v>
      </c>
      <c r="C180" s="102"/>
      <c r="D180" s="102"/>
      <c r="E180" s="104" t="str">
        <f>IF(SUM(E176:E179)=0,"",SUM(E176:E179))</f>
        <v>#REF!</v>
      </c>
      <c r="F180" s="324"/>
      <c r="G180" s="324"/>
      <c r="H180" s="387"/>
      <c r="I180" s="387"/>
      <c r="J180" s="322"/>
      <c r="K180" s="34" t="s">
        <v>84</v>
      </c>
      <c r="L180" s="102"/>
      <c r="M180" s="102"/>
      <c r="N180" s="104" t="str">
        <f>IF(SUM(N176:N179)=0,"",SUM(N176:N179))</f>
        <v>#REF!</v>
      </c>
      <c r="O180" s="324"/>
      <c r="P180" s="387"/>
      <c r="Q180" s="387"/>
    </row>
    <row r="181" ht="12.75" customHeight="1">
      <c r="A181" s="322"/>
      <c r="B181" s="360"/>
      <c r="C181" s="360"/>
      <c r="D181" s="360"/>
      <c r="E181" s="361"/>
      <c r="F181" s="324"/>
      <c r="G181" s="324"/>
      <c r="H181" s="387"/>
      <c r="I181" s="387"/>
      <c r="J181" s="322"/>
      <c r="K181" s="360"/>
      <c r="L181" s="360"/>
      <c r="M181" s="360"/>
      <c r="N181" s="361"/>
      <c r="O181" s="324"/>
      <c r="P181" s="387"/>
      <c r="Q181" s="387"/>
    </row>
    <row r="182" ht="12.75" customHeight="1">
      <c r="A182" s="387"/>
      <c r="B182" s="387"/>
      <c r="C182" s="387"/>
      <c r="D182" s="387"/>
      <c r="E182" s="418"/>
      <c r="F182" s="387"/>
      <c r="G182" s="387"/>
      <c r="H182" s="387"/>
      <c r="I182" s="387"/>
      <c r="J182" s="387"/>
      <c r="K182" s="387"/>
      <c r="L182" s="387"/>
      <c r="M182" s="387"/>
      <c r="N182" s="387"/>
      <c r="O182" s="387"/>
      <c r="P182" s="387"/>
      <c r="Q182" s="387"/>
    </row>
    <row r="183" ht="12.75" customHeight="1">
      <c r="A183" s="387"/>
      <c r="B183" s="387"/>
      <c r="C183" s="387"/>
      <c r="D183" s="387"/>
      <c r="E183" s="418"/>
      <c r="F183" s="387"/>
      <c r="G183" s="387"/>
      <c r="H183" s="387"/>
      <c r="I183" s="387"/>
      <c r="J183" s="387"/>
      <c r="K183" s="387"/>
      <c r="L183" s="387"/>
      <c r="M183" s="387"/>
      <c r="N183" s="387"/>
      <c r="O183" s="387"/>
      <c r="P183" s="387"/>
      <c r="Q183" s="387"/>
    </row>
    <row r="184" ht="12.75" customHeight="1">
      <c r="A184" s="387"/>
      <c r="B184" s="387"/>
      <c r="C184" s="387"/>
      <c r="D184" s="387"/>
      <c r="E184" s="418"/>
      <c r="F184" s="387"/>
      <c r="G184" s="387"/>
      <c r="H184" s="387"/>
      <c r="I184" s="387"/>
      <c r="J184" s="387"/>
      <c r="K184" s="387"/>
      <c r="L184" s="387"/>
      <c r="M184" s="387"/>
      <c r="N184" s="387"/>
      <c r="O184" s="387"/>
      <c r="P184" s="387"/>
      <c r="Q184" s="387"/>
    </row>
    <row r="185" ht="12.75" customHeight="1">
      <c r="A185" s="322"/>
      <c r="B185" s="322"/>
      <c r="C185" s="322"/>
      <c r="D185" s="322"/>
      <c r="E185" s="323"/>
      <c r="F185" s="324"/>
      <c r="G185" s="387"/>
      <c r="H185" s="387"/>
      <c r="I185" s="387"/>
      <c r="J185" s="322"/>
      <c r="K185" s="322"/>
      <c r="L185" s="322"/>
      <c r="M185" s="322"/>
      <c r="N185" s="323"/>
      <c r="O185" s="324"/>
      <c r="P185" s="387"/>
      <c r="Q185" s="387"/>
    </row>
    <row r="186" ht="12.75" customHeight="1">
      <c r="A186" s="322"/>
      <c r="B186" s="325"/>
      <c r="C186" s="322"/>
      <c r="D186" s="322"/>
      <c r="E186" s="323"/>
      <c r="F186" s="326"/>
      <c r="G186" s="387"/>
      <c r="H186" s="387"/>
      <c r="I186" s="387"/>
      <c r="J186" s="322"/>
      <c r="K186" s="325"/>
      <c r="L186" s="322"/>
      <c r="M186" s="322"/>
      <c r="N186" s="323"/>
      <c r="O186" s="326"/>
      <c r="P186" s="387"/>
      <c r="Q186" s="387"/>
    </row>
    <row r="187" ht="12.75" customHeight="1">
      <c r="A187" s="322"/>
      <c r="B187" s="327" t="s">
        <v>931</v>
      </c>
      <c r="C187" s="328" t="s">
        <v>882</v>
      </c>
      <c r="D187" s="329"/>
      <c r="E187" s="323"/>
      <c r="F187" s="326"/>
      <c r="G187" s="387"/>
      <c r="H187" s="387"/>
      <c r="I187" s="387"/>
      <c r="J187" s="322"/>
      <c r="K187" s="327" t="s">
        <v>931</v>
      </c>
      <c r="L187" s="328" t="s">
        <v>1269</v>
      </c>
      <c r="M187" s="329"/>
      <c r="N187" s="323"/>
      <c r="O187" s="326"/>
      <c r="P187" s="387"/>
      <c r="Q187" s="387"/>
    </row>
    <row r="188" ht="12.75" customHeight="1">
      <c r="A188" s="322"/>
      <c r="B188" s="325"/>
      <c r="C188" s="322"/>
      <c r="D188" s="322"/>
      <c r="E188" s="323"/>
      <c r="F188" s="326"/>
      <c r="G188" s="387"/>
      <c r="H188" s="387"/>
      <c r="I188" s="387"/>
      <c r="J188" s="322"/>
      <c r="K188" s="325"/>
      <c r="L188" s="322"/>
      <c r="M188" s="322"/>
      <c r="N188" s="323"/>
      <c r="O188" s="326"/>
      <c r="P188" s="387"/>
      <c r="Q188" s="387"/>
    </row>
    <row r="189" ht="12.75" customHeight="1">
      <c r="A189" s="322"/>
      <c r="B189" s="327" t="s">
        <v>935</v>
      </c>
      <c r="C189" s="331">
        <v>115000.0</v>
      </c>
      <c r="D189" s="329"/>
      <c r="E189" s="323"/>
      <c r="F189" s="326"/>
      <c r="G189" s="387"/>
      <c r="H189" s="387"/>
      <c r="I189" s="387"/>
      <c r="J189" s="322"/>
      <c r="K189" s="327" t="s">
        <v>935</v>
      </c>
      <c r="L189" s="331">
        <v>115000.0</v>
      </c>
      <c r="M189" s="329"/>
      <c r="N189" s="323"/>
      <c r="O189" s="326"/>
      <c r="P189" s="387"/>
      <c r="Q189" s="387"/>
    </row>
    <row r="190" ht="12.75" customHeight="1">
      <c r="A190" s="322"/>
      <c r="B190" s="327"/>
      <c r="C190" s="332"/>
      <c r="D190" s="332"/>
      <c r="E190" s="323"/>
      <c r="F190" s="326"/>
      <c r="G190" s="387"/>
      <c r="H190" s="387"/>
      <c r="I190" s="387"/>
      <c r="J190" s="322"/>
      <c r="K190" s="327"/>
      <c r="L190" s="332"/>
      <c r="M190" s="332"/>
      <c r="N190" s="323"/>
      <c r="O190" s="326"/>
      <c r="P190" s="387"/>
      <c r="Q190" s="387"/>
    </row>
    <row r="191" ht="12.75" customHeight="1">
      <c r="A191" s="322"/>
      <c r="B191" s="327" t="s">
        <v>939</v>
      </c>
      <c r="C191" s="333" t="str">
        <f>IF(SUM(E203,E218,E226)=0,"",SUM(E203,E218,E226))</f>
        <v>#REF!</v>
      </c>
      <c r="D191" s="321"/>
      <c r="E191" s="323"/>
      <c r="F191" s="326"/>
      <c r="G191" s="387"/>
      <c r="H191" s="404" t="str">
        <f>C191/90000</f>
        <v>#REF!</v>
      </c>
      <c r="I191" s="387"/>
      <c r="J191" s="322"/>
      <c r="K191" s="327" t="s">
        <v>939</v>
      </c>
      <c r="L191" s="333" t="str">
        <f>IF(SUM(N203,N218,N226)=0,"",SUM(N203,N218,N226))</f>
        <v>#REF!</v>
      </c>
      <c r="M191" s="321"/>
      <c r="N191" s="323"/>
      <c r="O191" s="326"/>
      <c r="P191" s="387"/>
      <c r="Q191" s="473"/>
    </row>
    <row r="192" ht="12.75" customHeight="1">
      <c r="A192" s="322"/>
      <c r="B192" s="327"/>
      <c r="C192" s="334"/>
      <c r="D192" s="334"/>
      <c r="E192" s="323"/>
      <c r="F192" s="326"/>
      <c r="G192" s="387"/>
      <c r="H192" s="387"/>
      <c r="I192" s="387"/>
      <c r="J192" s="322"/>
      <c r="K192" s="327"/>
      <c r="L192" s="334"/>
      <c r="M192" s="334"/>
      <c r="N192" s="323"/>
      <c r="O192" s="326"/>
      <c r="P192" s="387"/>
      <c r="Q192" s="387"/>
    </row>
    <row r="193" ht="12.75" customHeight="1">
      <c r="A193" s="322"/>
      <c r="B193" s="327" t="s">
        <v>946</v>
      </c>
      <c r="C193" s="335" t="str">
        <f>IF(C191="","",IF(ISBLANK(C189),"",C191/C189))</f>
        <v>#REF!</v>
      </c>
      <c r="D193" s="321"/>
      <c r="E193" s="323"/>
      <c r="F193" s="326"/>
      <c r="G193" s="387"/>
      <c r="H193" s="387"/>
      <c r="I193" s="387"/>
      <c r="J193" s="322"/>
      <c r="K193" s="327" t="s">
        <v>946</v>
      </c>
      <c r="L193" s="335" t="str">
        <f>IF(L191="","",IF(ISBLANK(L189),"",L191/L189))</f>
        <v>#REF!</v>
      </c>
      <c r="M193" s="321"/>
      <c r="N193" s="323"/>
      <c r="O193" s="326"/>
      <c r="P193" s="387"/>
      <c r="Q193" s="387"/>
    </row>
    <row r="194" ht="12.75" customHeight="1">
      <c r="A194" s="322"/>
      <c r="B194" s="327"/>
      <c r="C194" s="334"/>
      <c r="D194" s="334"/>
      <c r="E194" s="323"/>
      <c r="F194" s="326"/>
      <c r="G194" s="387"/>
      <c r="H194" s="387"/>
      <c r="I194" s="387"/>
      <c r="J194" s="322"/>
      <c r="K194" s="327"/>
      <c r="L194" s="334"/>
      <c r="M194" s="334"/>
      <c r="N194" s="323"/>
      <c r="O194" s="326"/>
      <c r="P194" s="387"/>
      <c r="Q194" s="387"/>
    </row>
    <row r="195" ht="12.75" customHeight="1">
      <c r="A195" s="322"/>
      <c r="B195" s="327" t="s">
        <v>950</v>
      </c>
      <c r="C195" s="333" t="str">
        <f>C189-C191</f>
        <v>#REF!</v>
      </c>
      <c r="D195" s="321"/>
      <c r="E195" s="323"/>
      <c r="F195" s="326"/>
      <c r="G195" s="387"/>
      <c r="H195" s="387"/>
      <c r="I195" s="387"/>
      <c r="J195" s="322"/>
      <c r="K195" s="327" t="s">
        <v>950</v>
      </c>
      <c r="L195" s="333" t="str">
        <f>L189-L191</f>
        <v>#REF!</v>
      </c>
      <c r="M195" s="321"/>
      <c r="N195" s="323"/>
      <c r="O195" s="326"/>
      <c r="P195" s="387"/>
      <c r="Q195" s="387"/>
    </row>
    <row r="196" ht="12.75" customHeight="1">
      <c r="A196" s="322"/>
      <c r="B196" s="322"/>
      <c r="C196" s="322"/>
      <c r="D196" s="322"/>
      <c r="E196" s="323"/>
      <c r="F196" s="324"/>
      <c r="G196" s="387"/>
      <c r="H196" s="387"/>
      <c r="I196" s="387"/>
      <c r="J196" s="322"/>
      <c r="K196" s="322"/>
      <c r="L196" s="322"/>
      <c r="M196" s="322"/>
      <c r="N196" s="323"/>
      <c r="O196" s="324"/>
      <c r="P196" s="387"/>
      <c r="Q196" s="387"/>
    </row>
    <row r="197" ht="12.75" customHeight="1">
      <c r="A197" s="322"/>
      <c r="B197" s="322"/>
      <c r="C197" s="322"/>
      <c r="D197" s="322"/>
      <c r="E197" s="337"/>
      <c r="F197" s="324"/>
      <c r="G197" s="387"/>
      <c r="H197" s="387"/>
      <c r="I197" s="387"/>
      <c r="J197" s="322"/>
      <c r="K197" s="322"/>
      <c r="L197" s="322"/>
      <c r="M197" s="322"/>
      <c r="N197" s="337"/>
      <c r="O197" s="324"/>
      <c r="P197" s="387"/>
      <c r="Q197" s="387"/>
    </row>
    <row r="198" ht="12.75" customHeight="1">
      <c r="A198" s="322"/>
      <c r="B198" s="338" t="s">
        <v>951</v>
      </c>
      <c r="C198" s="339"/>
      <c r="D198" s="339"/>
      <c r="E198" s="339"/>
      <c r="F198" s="324"/>
      <c r="G198" s="387"/>
      <c r="H198" s="387"/>
      <c r="I198" s="387"/>
      <c r="J198" s="322"/>
      <c r="K198" s="338" t="s">
        <v>951</v>
      </c>
      <c r="L198" s="339"/>
      <c r="M198" s="339"/>
      <c r="N198" s="339"/>
      <c r="O198" s="324"/>
      <c r="P198" s="387"/>
      <c r="Q198" s="387"/>
    </row>
    <row r="199" ht="12.75" customHeight="1">
      <c r="A199" s="322"/>
      <c r="B199" s="340" t="s">
        <v>953</v>
      </c>
      <c r="C199" s="341" t="s">
        <v>954</v>
      </c>
      <c r="D199" s="341" t="s">
        <v>955</v>
      </c>
      <c r="E199" s="341" t="s">
        <v>35</v>
      </c>
      <c r="F199" s="324"/>
      <c r="G199" s="387"/>
      <c r="H199" s="387"/>
      <c r="I199" s="387"/>
      <c r="J199" s="322"/>
      <c r="K199" s="340" t="s">
        <v>953</v>
      </c>
      <c r="L199" s="341" t="s">
        <v>954</v>
      </c>
      <c r="M199" s="341" t="s">
        <v>955</v>
      </c>
      <c r="N199" s="341" t="s">
        <v>35</v>
      </c>
      <c r="O199" s="324"/>
      <c r="P199" s="387"/>
      <c r="Q199" s="387"/>
    </row>
    <row r="200" ht="12.75" customHeight="1">
      <c r="A200" s="322"/>
      <c r="B200" s="60" t="s">
        <v>225</v>
      </c>
      <c r="C200" s="342">
        <v>4.0</v>
      </c>
      <c r="D200" s="343">
        <f>'F&amp;B'!F84/30</f>
        <v>1299</v>
      </c>
      <c r="E200" s="67">
        <f t="shared" ref="E200:E202" si="18">IF(OR(ISBLANK(C200),ISBLANK(D200)),"",D200*C200)</f>
        <v>5196</v>
      </c>
      <c r="F200" s="324"/>
      <c r="G200" s="387"/>
      <c r="H200" s="387"/>
      <c r="I200" s="387"/>
      <c r="J200" s="322"/>
      <c r="K200" s="60" t="s">
        <v>1147</v>
      </c>
      <c r="L200" s="342">
        <v>0.2</v>
      </c>
      <c r="M200" s="343">
        <f>'F&amp;B'!$F$90</f>
        <v>108000</v>
      </c>
      <c r="N200" s="67">
        <f t="shared" ref="N200:N202" si="19">IF(OR(ISBLANK(L200),ISBLANK(M200)),"",M200*L200)</f>
        <v>21600</v>
      </c>
      <c r="O200" s="324"/>
      <c r="P200" s="387"/>
      <c r="Q200" s="387"/>
    </row>
    <row r="201" ht="12.75" customHeight="1">
      <c r="A201" s="322"/>
      <c r="B201" s="87" t="s">
        <v>1062</v>
      </c>
      <c r="C201" s="412">
        <v>1.0</v>
      </c>
      <c r="D201" s="408">
        <f>'F&amp;B'!F4/8</f>
        <v>1091.25</v>
      </c>
      <c r="E201" s="89">
        <f t="shared" si="18"/>
        <v>1091.25</v>
      </c>
      <c r="F201" s="324"/>
      <c r="G201" s="387"/>
      <c r="H201" s="387"/>
      <c r="I201" s="387"/>
      <c r="J201" s="322"/>
      <c r="K201" s="87" t="s">
        <v>1273</v>
      </c>
      <c r="L201" s="412">
        <v>1.0</v>
      </c>
      <c r="M201" s="408">
        <f>'F&amp;B'!F15/40</f>
        <v>5296.5</v>
      </c>
      <c r="N201" s="89">
        <f t="shared" si="19"/>
        <v>5296.5</v>
      </c>
      <c r="O201" s="324"/>
      <c r="P201" s="387"/>
      <c r="Q201" s="387"/>
    </row>
    <row r="202" ht="12.75" customHeight="1">
      <c r="A202" s="322"/>
      <c r="B202" s="87" t="s">
        <v>374</v>
      </c>
      <c r="C202" s="355">
        <v>0.01</v>
      </c>
      <c r="D202" s="400">
        <f>'F&amp;B'!$F$79/25</f>
        <v>14040</v>
      </c>
      <c r="E202" s="67">
        <f t="shared" si="18"/>
        <v>140.4</v>
      </c>
      <c r="F202" s="324"/>
      <c r="G202" s="387"/>
      <c r="H202" s="387"/>
      <c r="I202" s="387"/>
      <c r="J202" s="322"/>
      <c r="K202" s="87"/>
      <c r="L202" s="355"/>
      <c r="M202" s="400"/>
      <c r="N202" s="67" t="str">
        <f t="shared" si="19"/>
        <v/>
      </c>
      <c r="O202" s="324"/>
      <c r="P202" s="387"/>
      <c r="Q202" s="387"/>
    </row>
    <row r="203" ht="12.75" customHeight="1">
      <c r="A203" s="322"/>
      <c r="B203" s="338" t="s">
        <v>84</v>
      </c>
      <c r="C203" s="358"/>
      <c r="D203" s="358"/>
      <c r="E203" s="359">
        <f>IF(SUM(E200:E202)=0,"",SUM(E200:E202))</f>
        <v>6427.65</v>
      </c>
      <c r="F203" s="324"/>
      <c r="G203" s="387"/>
      <c r="H203" s="387"/>
      <c r="I203" s="387"/>
      <c r="J203" s="322"/>
      <c r="K203" s="338" t="s">
        <v>84</v>
      </c>
      <c r="L203" s="358"/>
      <c r="M203" s="358"/>
      <c r="N203" s="359">
        <f>IF(SUM(N200:N202)=0,"",SUM(N200:N202))</f>
        <v>26896.5</v>
      </c>
      <c r="O203" s="324"/>
      <c r="P203" s="387"/>
      <c r="Q203" s="387"/>
    </row>
    <row r="204" ht="12.75" customHeight="1">
      <c r="A204" s="322"/>
      <c r="B204" s="360"/>
      <c r="C204" s="360"/>
      <c r="D204" s="360"/>
      <c r="E204" s="361"/>
      <c r="F204" s="324"/>
      <c r="G204" s="387"/>
      <c r="H204" s="387"/>
      <c r="I204" s="387"/>
      <c r="J204" s="322"/>
      <c r="K204" s="360"/>
      <c r="L204" s="360"/>
      <c r="M204" s="360"/>
      <c r="N204" s="361"/>
      <c r="O204" s="324"/>
      <c r="P204" s="387"/>
      <c r="Q204" s="387"/>
    </row>
    <row r="205" ht="12.75" customHeight="1">
      <c r="A205" s="322"/>
      <c r="B205" s="362" t="s">
        <v>972</v>
      </c>
      <c r="C205" s="363"/>
      <c r="D205" s="363"/>
      <c r="E205" s="363"/>
      <c r="F205" s="324"/>
      <c r="G205" s="387"/>
      <c r="H205" s="387"/>
      <c r="I205" s="387"/>
      <c r="J205" s="322"/>
      <c r="K205" s="362" t="s">
        <v>972</v>
      </c>
      <c r="L205" s="363"/>
      <c r="M205" s="363"/>
      <c r="N205" s="363"/>
      <c r="O205" s="324"/>
      <c r="P205" s="387"/>
      <c r="Q205" s="387"/>
    </row>
    <row r="206" ht="12.75" customHeight="1">
      <c r="A206" s="322"/>
      <c r="B206" s="365" t="s">
        <v>953</v>
      </c>
      <c r="C206" s="366" t="s">
        <v>3</v>
      </c>
      <c r="D206" s="366" t="s">
        <v>975</v>
      </c>
      <c r="E206" s="367" t="s">
        <v>35</v>
      </c>
      <c r="F206" s="324"/>
      <c r="G206" s="387"/>
      <c r="H206" s="387"/>
      <c r="I206" s="387"/>
      <c r="J206" s="322"/>
      <c r="K206" s="365" t="s">
        <v>953</v>
      </c>
      <c r="L206" s="366" t="s">
        <v>3</v>
      </c>
      <c r="M206" s="366" t="s">
        <v>975</v>
      </c>
      <c r="N206" s="367" t="s">
        <v>35</v>
      </c>
      <c r="O206" s="324"/>
      <c r="P206" s="387"/>
      <c r="Q206" s="387"/>
    </row>
    <row r="207" ht="12.75" customHeight="1">
      <c r="A207" s="322"/>
      <c r="B207" s="368"/>
      <c r="C207" s="366"/>
      <c r="D207" s="366"/>
      <c r="E207" s="368"/>
      <c r="F207" s="324"/>
      <c r="G207" s="387"/>
      <c r="H207" s="387"/>
      <c r="I207" s="387"/>
      <c r="J207" s="322"/>
      <c r="K207" s="368"/>
      <c r="L207" s="366"/>
      <c r="M207" s="366"/>
      <c r="N207" s="368"/>
      <c r="O207" s="324"/>
      <c r="P207" s="387"/>
      <c r="Q207" s="387"/>
    </row>
    <row r="208" ht="12.75" customHeight="1">
      <c r="A208" s="322"/>
      <c r="B208" s="60"/>
      <c r="C208" s="342"/>
      <c r="D208" s="343"/>
      <c r="E208" s="67">
        <f t="shared" ref="E208:E217" si="20">D208*C208</f>
        <v>0</v>
      </c>
      <c r="F208" s="324"/>
      <c r="G208" s="387"/>
      <c r="H208" s="387"/>
      <c r="I208" s="387"/>
      <c r="J208" s="322"/>
      <c r="K208" s="60" t="s">
        <v>1061</v>
      </c>
      <c r="L208" s="342">
        <v>0.06</v>
      </c>
      <c r="M208" s="343">
        <f>$M$162</f>
        <v>7200</v>
      </c>
      <c r="N208" s="67">
        <f t="shared" ref="N208:N217" si="21">M208*L208</f>
        <v>432</v>
      </c>
      <c r="O208" s="324"/>
      <c r="P208" s="387"/>
      <c r="Q208" s="387"/>
    </row>
    <row r="209" ht="12.75" customHeight="1">
      <c r="A209" s="322"/>
      <c r="B209" s="75"/>
      <c r="C209" s="370"/>
      <c r="D209" s="371"/>
      <c r="E209" s="67">
        <f t="shared" si="20"/>
        <v>0</v>
      </c>
      <c r="F209" s="324"/>
      <c r="G209" s="387"/>
      <c r="H209" s="387"/>
      <c r="I209" s="387"/>
      <c r="J209" s="322"/>
      <c r="K209" s="75" t="s">
        <v>1229</v>
      </c>
      <c r="L209" s="370">
        <v>0.06</v>
      </c>
      <c r="M209" s="371">
        <f>'F&amp;B'!$F$279</f>
        <v>7200</v>
      </c>
      <c r="N209" s="67">
        <f t="shared" si="21"/>
        <v>432</v>
      </c>
      <c r="O209" s="324"/>
      <c r="P209" s="387"/>
      <c r="Q209" s="387"/>
    </row>
    <row r="210" ht="12.75" customHeight="1">
      <c r="A210" s="322"/>
      <c r="B210" s="75"/>
      <c r="C210" s="370"/>
      <c r="D210" s="371"/>
      <c r="E210" s="67">
        <f t="shared" si="20"/>
        <v>0</v>
      </c>
      <c r="F210" s="324"/>
      <c r="G210" s="387"/>
      <c r="H210" s="387"/>
      <c r="I210" s="387"/>
      <c r="J210" s="322"/>
      <c r="K210" s="75"/>
      <c r="L210" s="370"/>
      <c r="M210" s="371"/>
      <c r="N210" s="67">
        <f t="shared" si="21"/>
        <v>0</v>
      </c>
      <c r="O210" s="324"/>
      <c r="P210" s="387"/>
      <c r="Q210" s="387"/>
    </row>
    <row r="211" ht="12.75" customHeight="1">
      <c r="A211" s="322"/>
      <c r="B211" s="75"/>
      <c r="C211" s="346"/>
      <c r="D211" s="371"/>
      <c r="E211" s="67">
        <f t="shared" si="20"/>
        <v>0</v>
      </c>
      <c r="F211" s="324"/>
      <c r="G211" s="387"/>
      <c r="H211" s="387"/>
      <c r="I211" s="387"/>
      <c r="J211" s="322"/>
      <c r="K211" s="75"/>
      <c r="L211" s="346"/>
      <c r="M211" s="371"/>
      <c r="N211" s="67">
        <f t="shared" si="21"/>
        <v>0</v>
      </c>
      <c r="O211" s="324"/>
      <c r="P211" s="387"/>
      <c r="Q211" s="387"/>
    </row>
    <row r="212" ht="12.75" customHeight="1">
      <c r="A212" s="322"/>
      <c r="B212" s="75"/>
      <c r="C212" s="346"/>
      <c r="D212" s="371"/>
      <c r="E212" s="67">
        <f t="shared" si="20"/>
        <v>0</v>
      </c>
      <c r="F212" s="324"/>
      <c r="G212" s="387"/>
      <c r="H212" s="387"/>
      <c r="I212" s="387"/>
      <c r="J212" s="322"/>
      <c r="K212" s="75"/>
      <c r="L212" s="346"/>
      <c r="M212" s="371"/>
      <c r="N212" s="67">
        <f t="shared" si="21"/>
        <v>0</v>
      </c>
      <c r="O212" s="324"/>
      <c r="P212" s="387"/>
      <c r="Q212" s="387"/>
    </row>
    <row r="213" ht="12.75" customHeight="1">
      <c r="A213" s="322"/>
      <c r="B213" s="75"/>
      <c r="C213" s="370"/>
      <c r="D213" s="371"/>
      <c r="E213" s="67">
        <f t="shared" si="20"/>
        <v>0</v>
      </c>
      <c r="F213" s="324"/>
      <c r="G213" s="387"/>
      <c r="H213" s="387"/>
      <c r="I213" s="387"/>
      <c r="J213" s="322"/>
      <c r="K213" s="75"/>
      <c r="L213" s="370"/>
      <c r="M213" s="371"/>
      <c r="N213" s="67">
        <f t="shared" si="21"/>
        <v>0</v>
      </c>
      <c r="O213" s="324"/>
      <c r="P213" s="387"/>
      <c r="Q213" s="387"/>
    </row>
    <row r="214" ht="12.75" customHeight="1">
      <c r="A214" s="322"/>
      <c r="B214" s="75"/>
      <c r="C214" s="346"/>
      <c r="D214" s="371"/>
      <c r="E214" s="67">
        <f t="shared" si="20"/>
        <v>0</v>
      </c>
      <c r="F214" s="324"/>
      <c r="G214" s="387"/>
      <c r="H214" s="387"/>
      <c r="I214" s="387"/>
      <c r="J214" s="322"/>
      <c r="K214" s="75"/>
      <c r="L214" s="346"/>
      <c r="M214" s="371"/>
      <c r="N214" s="67">
        <f t="shared" si="21"/>
        <v>0</v>
      </c>
      <c r="O214" s="324"/>
      <c r="P214" s="387"/>
      <c r="Q214" s="387"/>
    </row>
    <row r="215" ht="12.75" customHeight="1">
      <c r="A215" s="322"/>
      <c r="B215" s="75"/>
      <c r="C215" s="342"/>
      <c r="D215" s="343"/>
      <c r="E215" s="67">
        <f t="shared" si="20"/>
        <v>0</v>
      </c>
      <c r="F215" s="324"/>
      <c r="G215" s="387"/>
      <c r="H215" s="387"/>
      <c r="I215" s="387"/>
      <c r="J215" s="322"/>
      <c r="K215" s="75"/>
      <c r="L215" s="342"/>
      <c r="M215" s="343"/>
      <c r="N215" s="67">
        <f t="shared" si="21"/>
        <v>0</v>
      </c>
      <c r="O215" s="324"/>
      <c r="P215" s="387"/>
      <c r="Q215" s="387"/>
    </row>
    <row r="216" ht="12.75" customHeight="1">
      <c r="A216" s="322"/>
      <c r="B216" s="348"/>
      <c r="C216" s="346"/>
      <c r="D216" s="373"/>
      <c r="E216" s="67">
        <f t="shared" si="20"/>
        <v>0</v>
      </c>
      <c r="F216" s="324"/>
      <c r="G216" s="387"/>
      <c r="H216" s="387"/>
      <c r="I216" s="387"/>
      <c r="J216" s="322"/>
      <c r="K216" s="348"/>
      <c r="L216" s="346"/>
      <c r="M216" s="373"/>
      <c r="N216" s="67">
        <f t="shared" si="21"/>
        <v>0</v>
      </c>
      <c r="O216" s="324"/>
      <c r="P216" s="387"/>
      <c r="Q216" s="387"/>
    </row>
    <row r="217" ht="12.75" customHeight="1">
      <c r="A217" s="322"/>
      <c r="B217" s="354"/>
      <c r="C217" s="355"/>
      <c r="D217" s="356"/>
      <c r="E217" s="67">
        <f t="shared" si="20"/>
        <v>0</v>
      </c>
      <c r="F217" s="324"/>
      <c r="G217" s="387"/>
      <c r="H217" s="387"/>
      <c r="I217" s="387"/>
      <c r="J217" s="322"/>
      <c r="K217" s="354"/>
      <c r="L217" s="355"/>
      <c r="M217" s="356"/>
      <c r="N217" s="67">
        <f t="shared" si="21"/>
        <v>0</v>
      </c>
      <c r="O217" s="324"/>
      <c r="P217" s="387"/>
      <c r="Q217" s="387"/>
    </row>
    <row r="218" ht="12.75" customHeight="1">
      <c r="A218" s="322"/>
      <c r="B218" s="362" t="s">
        <v>84</v>
      </c>
      <c r="C218" s="374"/>
      <c r="D218" s="374"/>
      <c r="E218" s="375" t="str">
        <f>IF(SUM(E208:E217)=0,"",SUM(E208:E217))</f>
        <v/>
      </c>
      <c r="F218" s="324"/>
      <c r="G218" s="387"/>
      <c r="H218" s="387"/>
      <c r="I218" s="387"/>
      <c r="J218" s="322"/>
      <c r="K218" s="362" t="s">
        <v>84</v>
      </c>
      <c r="L218" s="374"/>
      <c r="M218" s="374"/>
      <c r="N218" s="375">
        <f>IF(SUM(N208:N217)=0,"",SUM(N208:N217))</f>
        <v>864</v>
      </c>
      <c r="O218" s="324"/>
      <c r="P218" s="387"/>
      <c r="Q218" s="387"/>
    </row>
    <row r="219" ht="12.75" customHeight="1">
      <c r="A219" s="322"/>
      <c r="B219" s="360"/>
      <c r="C219" s="360"/>
      <c r="D219" s="360"/>
      <c r="E219" s="361"/>
      <c r="F219" s="324"/>
      <c r="G219" s="387"/>
      <c r="H219" s="387"/>
      <c r="I219" s="387"/>
      <c r="J219" s="322"/>
      <c r="K219" s="360"/>
      <c r="L219" s="360"/>
      <c r="M219" s="360"/>
      <c r="N219" s="361"/>
      <c r="O219" s="324"/>
      <c r="P219" s="387"/>
      <c r="Q219" s="387"/>
    </row>
    <row r="220" ht="12.75" customHeight="1">
      <c r="A220" s="322"/>
      <c r="B220" s="34" t="s">
        <v>17</v>
      </c>
      <c r="C220" s="35"/>
      <c r="D220" s="35"/>
      <c r="E220" s="35"/>
      <c r="F220" s="324"/>
      <c r="G220" s="387"/>
      <c r="H220" s="387"/>
      <c r="I220" s="387"/>
      <c r="J220" s="322"/>
      <c r="K220" s="34" t="s">
        <v>17</v>
      </c>
      <c r="L220" s="35"/>
      <c r="M220" s="35"/>
      <c r="N220" s="35"/>
      <c r="O220" s="324"/>
      <c r="P220" s="387"/>
      <c r="Q220" s="387"/>
    </row>
    <row r="221" ht="12.75" customHeight="1">
      <c r="A221" s="322"/>
      <c r="B221" s="52" t="s">
        <v>42</v>
      </c>
      <c r="C221" s="54"/>
      <c r="D221" s="54"/>
      <c r="E221" s="56" t="s">
        <v>35</v>
      </c>
      <c r="F221" s="324"/>
      <c r="G221" s="387"/>
      <c r="H221" s="387"/>
      <c r="I221" s="387"/>
      <c r="J221" s="322"/>
      <c r="K221" s="52" t="s">
        <v>42</v>
      </c>
      <c r="L221" s="54"/>
      <c r="M221" s="54"/>
      <c r="N221" s="56" t="s">
        <v>35</v>
      </c>
      <c r="O221" s="324"/>
      <c r="P221" s="387"/>
      <c r="Q221" s="387"/>
    </row>
    <row r="222" ht="12.75" customHeight="1">
      <c r="A222" s="322"/>
      <c r="B222" s="60" t="s">
        <v>40</v>
      </c>
      <c r="C222" s="343">
        <f>'UTL COST'!$B$3</f>
        <v>369000</v>
      </c>
      <c r="D222" s="379">
        <f>'UTL COST'!$C$3</f>
        <v>0.0075</v>
      </c>
      <c r="E222" s="67">
        <v>0.0</v>
      </c>
      <c r="F222" s="324"/>
      <c r="G222" s="387"/>
      <c r="H222" s="387"/>
      <c r="I222" s="387"/>
      <c r="J222" s="322"/>
      <c r="K222" s="60" t="s">
        <v>40</v>
      </c>
      <c r="L222" s="343">
        <f>'UTL COST'!$B$3</f>
        <v>369000</v>
      </c>
      <c r="M222" s="379">
        <f>'UTL COST'!$C$3</f>
        <v>0.0075</v>
      </c>
      <c r="N222" s="67">
        <v>0.0</v>
      </c>
      <c r="O222" s="324"/>
      <c r="P222" s="387"/>
      <c r="Q222" s="387"/>
    </row>
    <row r="223" ht="12.75" customHeight="1">
      <c r="A223" s="322"/>
      <c r="B223" s="75" t="s">
        <v>51</v>
      </c>
      <c r="C223" s="371" t="str">
        <f>'UTL COST'!$B$4</f>
        <v>#REF!</v>
      </c>
      <c r="D223" s="382">
        <f>'UTL COST'!$C$4</f>
        <v>7000</v>
      </c>
      <c r="E223" s="76" t="str">
        <f>'UTL COST'!$D$4</f>
        <v>#REF!</v>
      </c>
      <c r="F223" s="324"/>
      <c r="G223" s="387"/>
      <c r="H223" s="387"/>
      <c r="I223" s="387"/>
      <c r="J223" s="322"/>
      <c r="K223" s="75" t="s">
        <v>51</v>
      </c>
      <c r="L223" s="371" t="str">
        <f>'UTL COST'!$B$4</f>
        <v>#REF!</v>
      </c>
      <c r="M223" s="382">
        <f>'UTL COST'!$C$4</f>
        <v>7000</v>
      </c>
      <c r="N223" s="76" t="str">
        <f>'UTL COST'!$D$4</f>
        <v>#REF!</v>
      </c>
      <c r="O223" s="324"/>
      <c r="P223" s="387"/>
      <c r="Q223" s="387"/>
    </row>
    <row r="224" ht="12.75" customHeight="1">
      <c r="A224" s="322"/>
      <c r="B224" s="75" t="s">
        <v>59</v>
      </c>
      <c r="C224" s="371" t="str">
        <f>'UTL COST'!$B$5</f>
        <v>#REF!</v>
      </c>
      <c r="D224" s="382">
        <f>'UTL COST'!$C$5</f>
        <v>45000</v>
      </c>
      <c r="E224" s="76" t="str">
        <f>'UTL COST'!$D$5</f>
        <v>#REF!</v>
      </c>
      <c r="F224" s="324"/>
      <c r="G224" s="387"/>
      <c r="H224" s="387"/>
      <c r="I224" s="387"/>
      <c r="J224" s="322"/>
      <c r="K224" s="75" t="s">
        <v>59</v>
      </c>
      <c r="L224" s="371" t="str">
        <f>'UTL COST'!$B$5</f>
        <v>#REF!</v>
      </c>
      <c r="M224" s="382">
        <f>'UTL COST'!$C$5</f>
        <v>45000</v>
      </c>
      <c r="N224" s="76" t="str">
        <f>'UTL COST'!$D$5</f>
        <v>#REF!</v>
      </c>
      <c r="O224" s="324"/>
      <c r="P224" s="387"/>
      <c r="Q224" s="387"/>
    </row>
    <row r="225" ht="12.75" customHeight="1">
      <c r="A225" s="322"/>
      <c r="B225" s="87" t="s">
        <v>78</v>
      </c>
      <c r="C225" s="371" t="str">
        <f>'UTL COST'!$B$6</f>
        <v>#REF!</v>
      </c>
      <c r="D225" s="383">
        <f>'UTL COST'!$C$6</f>
        <v>525</v>
      </c>
      <c r="E225" s="89">
        <v>0.1</v>
      </c>
      <c r="F225" s="324"/>
      <c r="G225" s="387"/>
      <c r="H225" s="387"/>
      <c r="I225" s="387"/>
      <c r="J225" s="322"/>
      <c r="K225" s="87" t="s">
        <v>78</v>
      </c>
      <c r="L225" s="371" t="str">
        <f>'UTL COST'!$B$6</f>
        <v>#REF!</v>
      </c>
      <c r="M225" s="383">
        <f>'UTL COST'!$C$6</f>
        <v>525</v>
      </c>
      <c r="N225" s="89">
        <v>0.1</v>
      </c>
      <c r="O225" s="324"/>
      <c r="P225" s="387"/>
      <c r="Q225" s="387"/>
    </row>
    <row r="226" ht="12.75" customHeight="1">
      <c r="A226" s="322"/>
      <c r="B226" s="34" t="s">
        <v>84</v>
      </c>
      <c r="C226" s="102"/>
      <c r="D226" s="102"/>
      <c r="E226" s="104" t="str">
        <f>IF(SUM(E222:E225)=0,"",SUM(E222:E225))</f>
        <v>#REF!</v>
      </c>
      <c r="F226" s="324"/>
      <c r="G226" s="387"/>
      <c r="H226" s="387"/>
      <c r="I226" s="387"/>
      <c r="J226" s="322"/>
      <c r="K226" s="34" t="s">
        <v>84</v>
      </c>
      <c r="L226" s="102"/>
      <c r="M226" s="102"/>
      <c r="N226" s="104" t="str">
        <f>IF(SUM(N222:N225)=0,"",SUM(N222:N225))</f>
        <v>#REF!</v>
      </c>
      <c r="O226" s="324"/>
      <c r="P226" s="387"/>
      <c r="Q226" s="387"/>
    </row>
    <row r="227" ht="12.75" customHeight="1">
      <c r="A227" s="322"/>
      <c r="B227" s="360"/>
      <c r="C227" s="360"/>
      <c r="D227" s="360"/>
      <c r="E227" s="361"/>
      <c r="F227" s="324"/>
      <c r="G227" s="387"/>
      <c r="H227" s="387"/>
      <c r="I227" s="387"/>
      <c r="J227" s="322"/>
      <c r="K227" s="360"/>
      <c r="L227" s="360"/>
      <c r="M227" s="360"/>
      <c r="N227" s="361"/>
      <c r="O227" s="324"/>
      <c r="P227" s="387"/>
      <c r="Q227" s="387"/>
    </row>
    <row r="228" ht="12.75" customHeight="1">
      <c r="A228" s="387"/>
      <c r="B228" s="387"/>
      <c r="C228" s="387"/>
      <c r="D228" s="387"/>
      <c r="E228" s="418"/>
      <c r="F228" s="387"/>
      <c r="G228" s="387"/>
      <c r="H228" s="387"/>
      <c r="I228" s="387"/>
      <c r="J228" s="387"/>
      <c r="K228" s="387"/>
      <c r="L228" s="387"/>
      <c r="M228" s="387"/>
      <c r="N228" s="387"/>
      <c r="O228" s="387"/>
      <c r="P228" s="387"/>
      <c r="Q228" s="387"/>
    </row>
    <row r="229" ht="12.75" customHeight="1">
      <c r="A229" s="387"/>
      <c r="B229" s="387"/>
      <c r="C229" s="387"/>
      <c r="D229" s="387"/>
      <c r="E229" s="418"/>
      <c r="F229" s="387"/>
      <c r="G229" s="387"/>
      <c r="H229" s="387"/>
      <c r="I229" s="387"/>
      <c r="J229" s="387"/>
      <c r="K229" s="387"/>
      <c r="L229" s="387"/>
      <c r="M229" s="387"/>
      <c r="N229" s="387"/>
      <c r="O229" s="387"/>
      <c r="P229" s="387"/>
      <c r="Q229" s="387"/>
    </row>
    <row r="230" ht="12.75" customHeight="1">
      <c r="A230" s="322"/>
      <c r="B230" s="322"/>
      <c r="C230" s="322"/>
      <c r="D230" s="322"/>
      <c r="E230" s="323"/>
      <c r="F230" s="324"/>
      <c r="G230" s="387"/>
      <c r="H230" s="387"/>
      <c r="I230" s="387"/>
      <c r="J230" s="322"/>
      <c r="K230" s="322"/>
      <c r="L230" s="322"/>
      <c r="M230" s="322"/>
      <c r="N230" s="323"/>
      <c r="O230" s="324"/>
      <c r="P230" s="387"/>
      <c r="Q230" s="387"/>
    </row>
    <row r="231" ht="12.75" customHeight="1">
      <c r="A231" s="322"/>
      <c r="B231" s="325"/>
      <c r="C231" s="322"/>
      <c r="D231" s="322"/>
      <c r="E231" s="323"/>
      <c r="F231" s="326"/>
      <c r="G231" s="387"/>
      <c r="H231" s="387"/>
      <c r="I231" s="387"/>
      <c r="J231" s="322"/>
      <c r="K231" s="325"/>
      <c r="L231" s="322"/>
      <c r="M231" s="322"/>
      <c r="N231" s="323"/>
      <c r="O231" s="326"/>
      <c r="P231" s="387"/>
      <c r="Q231" s="387"/>
    </row>
    <row r="232" ht="12.75" customHeight="1">
      <c r="A232" s="322"/>
      <c r="B232" s="327" t="s">
        <v>931</v>
      </c>
      <c r="C232" s="328" t="s">
        <v>1281</v>
      </c>
      <c r="D232" s="329"/>
      <c r="E232" s="323"/>
      <c r="F232" s="326"/>
      <c r="G232" s="387"/>
      <c r="H232" s="387"/>
      <c r="I232" s="387"/>
      <c r="J232" s="322"/>
      <c r="K232" s="327" t="s">
        <v>931</v>
      </c>
      <c r="L232" s="328" t="s">
        <v>1282</v>
      </c>
      <c r="M232" s="329"/>
      <c r="N232" s="323"/>
      <c r="O232" s="326"/>
      <c r="P232" s="387"/>
      <c r="Q232" s="387"/>
    </row>
    <row r="233" ht="12.75" customHeight="1">
      <c r="A233" s="322"/>
      <c r="B233" s="325"/>
      <c r="C233" s="322"/>
      <c r="D233" s="322"/>
      <c r="E233" s="323"/>
      <c r="F233" s="326"/>
      <c r="G233" s="387"/>
      <c r="H233" s="387"/>
      <c r="I233" s="387"/>
      <c r="J233" s="322"/>
      <c r="K233" s="325"/>
      <c r="L233" s="322"/>
      <c r="M233" s="322"/>
      <c r="N233" s="323"/>
      <c r="O233" s="326"/>
      <c r="P233" s="387"/>
      <c r="Q233" s="387"/>
    </row>
    <row r="234" ht="12.75" customHeight="1">
      <c r="A234" s="322"/>
      <c r="B234" s="327" t="s">
        <v>935</v>
      </c>
      <c r="C234" s="331">
        <v>115000.0</v>
      </c>
      <c r="D234" s="329"/>
      <c r="E234" s="323"/>
      <c r="F234" s="326"/>
      <c r="G234" s="387"/>
      <c r="I234" s="387"/>
      <c r="J234" s="322"/>
      <c r="K234" s="327" t="s">
        <v>935</v>
      </c>
      <c r="L234" s="331">
        <v>115000.0</v>
      </c>
      <c r="M234" s="329"/>
      <c r="N234" s="323"/>
      <c r="O234" s="326"/>
      <c r="P234" s="387"/>
      <c r="Q234" s="387"/>
    </row>
    <row r="235" ht="12.75" customHeight="1">
      <c r="A235" s="322"/>
      <c r="B235" s="327"/>
      <c r="C235" s="332"/>
      <c r="D235" s="332"/>
      <c r="E235" s="323"/>
      <c r="F235" s="326"/>
      <c r="G235" s="387"/>
      <c r="H235" s="387"/>
      <c r="I235" s="387"/>
      <c r="J235" s="322"/>
      <c r="K235" s="327"/>
      <c r="L235" s="332"/>
      <c r="M235" s="332"/>
      <c r="N235" s="323"/>
      <c r="O235" s="326"/>
      <c r="P235" s="387"/>
      <c r="Q235" s="387"/>
    </row>
    <row r="236" ht="12.75" customHeight="1">
      <c r="A236" s="322"/>
      <c r="B236" s="327" t="s">
        <v>939</v>
      </c>
      <c r="C236" s="333" t="str">
        <f>IF(SUM(E248,E263,E271)=0,"",SUM(E248,E263,E271))</f>
        <v>#REF!</v>
      </c>
      <c r="D236" s="321"/>
      <c r="E236" s="323"/>
      <c r="F236" s="326"/>
      <c r="G236" s="387"/>
      <c r="H236" s="404" t="str">
        <f>C236/90000</f>
        <v>#REF!</v>
      </c>
      <c r="I236" s="387"/>
      <c r="J236" s="322"/>
      <c r="K236" s="327" t="s">
        <v>939</v>
      </c>
      <c r="L236" s="333" t="str">
        <f>IF(SUM(N248,N263,N271)=0,"",SUM(N248,N263,N271))</f>
        <v>#REF!</v>
      </c>
      <c r="M236" s="321"/>
      <c r="N236" s="323"/>
      <c r="O236" s="326"/>
      <c r="P236" s="387"/>
      <c r="Q236" s="387"/>
    </row>
    <row r="237" ht="12.75" customHeight="1">
      <c r="A237" s="322"/>
      <c r="B237" s="327"/>
      <c r="C237" s="334"/>
      <c r="D237" s="334"/>
      <c r="E237" s="323"/>
      <c r="F237" s="326"/>
      <c r="G237" s="387"/>
      <c r="H237" s="387"/>
      <c r="I237" s="387"/>
      <c r="J237" s="322"/>
      <c r="K237" s="327"/>
      <c r="L237" s="334"/>
      <c r="M237" s="334"/>
      <c r="N237" s="323"/>
      <c r="O237" s="326"/>
      <c r="P237" s="387"/>
      <c r="Q237" s="387"/>
    </row>
    <row r="238" ht="12.75" customHeight="1">
      <c r="A238" s="322"/>
      <c r="B238" s="327" t="s">
        <v>946</v>
      </c>
      <c r="C238" s="335" t="str">
        <f>IF(C236="","",IF(ISBLANK(C234),"",C236/C234))</f>
        <v>#REF!</v>
      </c>
      <c r="D238" s="321"/>
      <c r="E238" s="323"/>
      <c r="F238" s="326"/>
      <c r="G238" s="387"/>
      <c r="H238" s="387"/>
      <c r="I238" s="387"/>
      <c r="J238" s="322"/>
      <c r="K238" s="327" t="s">
        <v>946</v>
      </c>
      <c r="L238" s="335" t="str">
        <f>IF(L236="","",IF(ISBLANK(L234),"",L236/L234))</f>
        <v>#REF!</v>
      </c>
      <c r="M238" s="321"/>
      <c r="N238" s="323"/>
      <c r="O238" s="326"/>
      <c r="P238" s="387"/>
      <c r="Q238" s="387"/>
    </row>
    <row r="239" ht="12.75" customHeight="1">
      <c r="A239" s="322"/>
      <c r="B239" s="327"/>
      <c r="C239" s="334"/>
      <c r="D239" s="334"/>
      <c r="E239" s="323"/>
      <c r="F239" s="326"/>
      <c r="G239" s="387"/>
      <c r="H239" s="387"/>
      <c r="I239" s="387"/>
      <c r="J239" s="322"/>
      <c r="K239" s="327"/>
      <c r="L239" s="334"/>
      <c r="M239" s="334"/>
      <c r="N239" s="323"/>
      <c r="O239" s="326"/>
      <c r="P239" s="387"/>
      <c r="Q239" s="387"/>
    </row>
    <row r="240" ht="12.75" customHeight="1">
      <c r="A240" s="322"/>
      <c r="B240" s="327" t="s">
        <v>950</v>
      </c>
      <c r="C240" s="333" t="str">
        <f>C234-C236</f>
        <v>#REF!</v>
      </c>
      <c r="D240" s="321"/>
      <c r="E240" s="323"/>
      <c r="F240" s="326"/>
      <c r="G240" s="387"/>
      <c r="H240" s="387"/>
      <c r="I240" s="387"/>
      <c r="J240" s="322"/>
      <c r="K240" s="327" t="s">
        <v>950</v>
      </c>
      <c r="L240" s="333" t="str">
        <f>L234-L236</f>
        <v>#REF!</v>
      </c>
      <c r="M240" s="321"/>
      <c r="N240" s="323"/>
      <c r="O240" s="326"/>
      <c r="P240" s="387"/>
      <c r="Q240" s="387"/>
    </row>
    <row r="241" ht="12.75" customHeight="1">
      <c r="A241" s="322"/>
      <c r="B241" s="322"/>
      <c r="C241" s="322"/>
      <c r="D241" s="322"/>
      <c r="E241" s="323"/>
      <c r="F241" s="324"/>
      <c r="G241" s="387"/>
      <c r="H241" s="387"/>
      <c r="I241" s="387"/>
      <c r="J241" s="322"/>
      <c r="K241" s="322"/>
      <c r="L241" s="322"/>
      <c r="M241" s="322"/>
      <c r="N241" s="323"/>
      <c r="O241" s="324"/>
      <c r="P241" s="387"/>
      <c r="Q241" s="387"/>
    </row>
    <row r="242" ht="12.75" customHeight="1">
      <c r="A242" s="322"/>
      <c r="B242" s="322"/>
      <c r="C242" s="322"/>
      <c r="D242" s="322"/>
      <c r="E242" s="337"/>
      <c r="F242" s="324"/>
      <c r="G242" s="387"/>
      <c r="H242" s="387"/>
      <c r="I242" s="387"/>
      <c r="J242" s="322"/>
      <c r="K242" s="322"/>
      <c r="L242" s="322"/>
      <c r="M242" s="322"/>
      <c r="N242" s="337"/>
      <c r="O242" s="324"/>
      <c r="P242" s="387"/>
      <c r="Q242" s="387"/>
    </row>
    <row r="243" ht="12.75" customHeight="1">
      <c r="A243" s="322"/>
      <c r="B243" s="338" t="s">
        <v>951</v>
      </c>
      <c r="C243" s="339"/>
      <c r="D243" s="339"/>
      <c r="E243" s="339"/>
      <c r="F243" s="324"/>
      <c r="G243" s="387"/>
      <c r="H243" s="387"/>
      <c r="I243" s="387"/>
      <c r="J243" s="322"/>
      <c r="K243" s="338" t="s">
        <v>951</v>
      </c>
      <c r="L243" s="339"/>
      <c r="M243" s="339"/>
      <c r="N243" s="339"/>
      <c r="O243" s="324"/>
      <c r="P243" s="387"/>
      <c r="Q243" s="387"/>
    </row>
    <row r="244" ht="12.75" customHeight="1">
      <c r="A244" s="322"/>
      <c r="B244" s="340" t="s">
        <v>953</v>
      </c>
      <c r="C244" s="341" t="s">
        <v>954</v>
      </c>
      <c r="D244" s="341" t="s">
        <v>955</v>
      </c>
      <c r="E244" s="341" t="s">
        <v>35</v>
      </c>
      <c r="F244" s="324"/>
      <c r="G244" s="387"/>
      <c r="H244" s="387"/>
      <c r="I244" s="387"/>
      <c r="J244" s="322"/>
      <c r="K244" s="340" t="s">
        <v>953</v>
      </c>
      <c r="L244" s="341" t="s">
        <v>954</v>
      </c>
      <c r="M244" s="341" t="s">
        <v>955</v>
      </c>
      <c r="N244" s="341" t="s">
        <v>35</v>
      </c>
      <c r="O244" s="324"/>
      <c r="P244" s="387"/>
      <c r="Q244" s="387"/>
    </row>
    <row r="245" ht="12.75" customHeight="1">
      <c r="A245" s="322"/>
      <c r="B245" s="60" t="s">
        <v>1147</v>
      </c>
      <c r="C245" s="342">
        <v>0.2</v>
      </c>
      <c r="D245" s="343">
        <f>'F&amp;B'!$F$90</f>
        <v>108000</v>
      </c>
      <c r="E245" s="67">
        <f t="shared" ref="E245:E247" si="22">IF(OR(ISBLANK(C245),ISBLANK(D245)),"",D245*C245)</f>
        <v>21600</v>
      </c>
      <c r="F245" s="324"/>
      <c r="G245" s="387"/>
      <c r="H245" s="404">
        <f>C245/90000</f>
        <v>0.000002222222222</v>
      </c>
      <c r="I245" s="387"/>
      <c r="J245" s="322"/>
      <c r="K245" s="60" t="s">
        <v>1147</v>
      </c>
      <c r="L245" s="342">
        <v>0.2</v>
      </c>
      <c r="M245" s="343">
        <f>'F&amp;B'!$F$90</f>
        <v>108000</v>
      </c>
      <c r="N245" s="67">
        <f t="shared" ref="N245:N247" si="23">IF(OR(ISBLANK(L245),ISBLANK(M245)),"",M245*L245)</f>
        <v>21600</v>
      </c>
      <c r="O245" s="324"/>
      <c r="P245" s="387"/>
      <c r="Q245" s="387"/>
    </row>
    <row r="246" ht="12.75" customHeight="1">
      <c r="A246" s="322"/>
      <c r="B246" s="87" t="s">
        <v>1062</v>
      </c>
      <c r="C246" s="412">
        <v>1.0</v>
      </c>
      <c r="D246" s="408">
        <f t="shared" ref="D246:D247" si="24">D201</f>
        <v>1091.25</v>
      </c>
      <c r="E246" s="89">
        <f t="shared" si="22"/>
        <v>1091.25</v>
      </c>
      <c r="F246" s="324"/>
      <c r="G246" s="387"/>
      <c r="H246" s="387"/>
      <c r="I246" s="387"/>
      <c r="J246" s="322"/>
      <c r="K246" s="87" t="s">
        <v>1285</v>
      </c>
      <c r="L246" s="412">
        <v>1.0</v>
      </c>
      <c r="M246" s="408">
        <f>'F&amp;B'!F5/30</f>
        <v>7566</v>
      </c>
      <c r="N246" s="89">
        <f t="shared" si="23"/>
        <v>7566</v>
      </c>
      <c r="O246" s="324"/>
      <c r="P246" s="387"/>
      <c r="Q246" s="387"/>
    </row>
    <row r="247" ht="12.75" customHeight="1">
      <c r="A247" s="322"/>
      <c r="B247" s="476" t="str">
        <f>B202</f>
        <v>Butter</v>
      </c>
      <c r="C247" s="412">
        <v>0.01</v>
      </c>
      <c r="D247" s="408">
        <f t="shared" si="24"/>
        <v>14040</v>
      </c>
      <c r="E247" s="89">
        <f t="shared" si="22"/>
        <v>140.4</v>
      </c>
      <c r="F247" s="324"/>
      <c r="G247" s="387"/>
      <c r="H247" s="387"/>
      <c r="I247" s="387"/>
      <c r="J247" s="322"/>
      <c r="K247" s="87"/>
      <c r="L247" s="355"/>
      <c r="M247" s="400"/>
      <c r="N247" s="67" t="str">
        <f t="shared" si="23"/>
        <v/>
      </c>
      <c r="O247" s="324"/>
      <c r="P247" s="387"/>
      <c r="Q247" s="387"/>
    </row>
    <row r="248" ht="12.75" customHeight="1">
      <c r="A248" s="322"/>
      <c r="B248" s="338" t="s">
        <v>84</v>
      </c>
      <c r="C248" s="358"/>
      <c r="D248" s="358"/>
      <c r="E248" s="359">
        <f>IF(SUM(E245:E247)=0,"",SUM(E245:E247))</f>
        <v>22831.65</v>
      </c>
      <c r="F248" s="324"/>
      <c r="G248" s="387"/>
      <c r="H248" s="387"/>
      <c r="I248" s="387"/>
      <c r="J248" s="322"/>
      <c r="K248" s="338" t="s">
        <v>84</v>
      </c>
      <c r="L248" s="358"/>
      <c r="M248" s="358"/>
      <c r="N248" s="359">
        <f>IF(SUM(N245:N247)=0,"",SUM(N245:N247))</f>
        <v>29166</v>
      </c>
      <c r="O248" s="324"/>
      <c r="P248" s="387"/>
      <c r="Q248" s="387"/>
    </row>
    <row r="249" ht="12.75" customHeight="1">
      <c r="A249" s="322"/>
      <c r="B249" s="360"/>
      <c r="C249" s="360"/>
      <c r="D249" s="360"/>
      <c r="E249" s="361"/>
      <c r="F249" s="324"/>
      <c r="G249" s="387"/>
      <c r="H249" s="387"/>
      <c r="I249" s="387"/>
      <c r="J249" s="322"/>
      <c r="K249" s="360"/>
      <c r="L249" s="360"/>
      <c r="M249" s="360"/>
      <c r="N249" s="361"/>
      <c r="O249" s="324"/>
      <c r="P249" s="387"/>
      <c r="Q249" s="387"/>
    </row>
    <row r="250" ht="12.75" customHeight="1">
      <c r="A250" s="322"/>
      <c r="B250" s="362" t="s">
        <v>972</v>
      </c>
      <c r="C250" s="363"/>
      <c r="D250" s="363"/>
      <c r="E250" s="363"/>
      <c r="F250" s="324"/>
      <c r="G250" s="387"/>
      <c r="H250" s="387"/>
      <c r="I250" s="387"/>
      <c r="J250" s="322"/>
      <c r="K250" s="362" t="s">
        <v>972</v>
      </c>
      <c r="L250" s="363"/>
      <c r="M250" s="363"/>
      <c r="N250" s="363"/>
      <c r="O250" s="324"/>
      <c r="P250" s="387"/>
      <c r="Q250" s="387"/>
    </row>
    <row r="251" ht="12.75" customHeight="1">
      <c r="A251" s="322"/>
      <c r="B251" s="365" t="s">
        <v>953</v>
      </c>
      <c r="C251" s="366" t="s">
        <v>3</v>
      </c>
      <c r="D251" s="366" t="s">
        <v>975</v>
      </c>
      <c r="E251" s="367" t="s">
        <v>35</v>
      </c>
      <c r="F251" s="324"/>
      <c r="G251" s="387"/>
      <c r="H251" s="387"/>
      <c r="I251" s="387"/>
      <c r="J251" s="322"/>
      <c r="K251" s="365" t="s">
        <v>953</v>
      </c>
      <c r="L251" s="366" t="s">
        <v>3</v>
      </c>
      <c r="M251" s="366" t="s">
        <v>975</v>
      </c>
      <c r="N251" s="367" t="s">
        <v>35</v>
      </c>
      <c r="O251" s="324"/>
      <c r="P251" s="387"/>
      <c r="Q251" s="387"/>
    </row>
    <row r="252" ht="12.75" customHeight="1">
      <c r="A252" s="322"/>
      <c r="B252" s="368"/>
      <c r="C252" s="366"/>
      <c r="D252" s="366"/>
      <c r="E252" s="368"/>
      <c r="F252" s="324"/>
      <c r="G252" s="387"/>
      <c r="H252" s="387"/>
      <c r="I252" s="387"/>
      <c r="J252" s="322"/>
      <c r="K252" s="368"/>
      <c r="L252" s="366"/>
      <c r="M252" s="366"/>
      <c r="N252" s="368"/>
      <c r="O252" s="324"/>
      <c r="P252" s="387"/>
      <c r="Q252" s="387"/>
    </row>
    <row r="253" ht="12.75" customHeight="1">
      <c r="A253" s="322"/>
      <c r="B253" s="60" t="s">
        <v>1061</v>
      </c>
      <c r="C253" s="342">
        <v>0.06</v>
      </c>
      <c r="D253" s="343">
        <f>M162</f>
        <v>7200</v>
      </c>
      <c r="E253" s="67">
        <f t="shared" ref="E253:E262" si="25">D253*C253</f>
        <v>432</v>
      </c>
      <c r="F253" s="324"/>
      <c r="G253" s="387"/>
      <c r="H253" s="387"/>
      <c r="I253" s="387"/>
      <c r="J253" s="322"/>
      <c r="K253" s="60" t="s">
        <v>1061</v>
      </c>
      <c r="L253" s="342">
        <v>0.06</v>
      </c>
      <c r="M253" s="343">
        <f>$M$162</f>
        <v>7200</v>
      </c>
      <c r="N253" s="67">
        <f t="shared" ref="N253:N262" si="26">M253*L253</f>
        <v>432</v>
      </c>
      <c r="O253" s="324"/>
      <c r="P253" s="387"/>
      <c r="Q253" s="387"/>
    </row>
    <row r="254" ht="12.75" customHeight="1">
      <c r="A254" s="322"/>
      <c r="B254" s="75" t="s">
        <v>1229</v>
      </c>
      <c r="C254" s="370">
        <v>0.06</v>
      </c>
      <c r="D254" s="371">
        <f>'F&amp;B'!$F$279</f>
        <v>7200</v>
      </c>
      <c r="E254" s="67">
        <f t="shared" si="25"/>
        <v>432</v>
      </c>
      <c r="F254" s="324"/>
      <c r="G254" s="387"/>
      <c r="H254" s="387"/>
      <c r="I254" s="387"/>
      <c r="J254" s="322"/>
      <c r="K254" s="75" t="s">
        <v>1229</v>
      </c>
      <c r="L254" s="370">
        <v>0.06</v>
      </c>
      <c r="M254" s="371">
        <f>'F&amp;B'!$F$279</f>
        <v>7200</v>
      </c>
      <c r="N254" s="67">
        <f t="shared" si="26"/>
        <v>432</v>
      </c>
      <c r="O254" s="324"/>
      <c r="P254" s="387"/>
      <c r="Q254" s="387"/>
    </row>
    <row r="255" ht="12.75" customHeight="1">
      <c r="A255" s="322"/>
      <c r="B255" s="75" t="s">
        <v>1070</v>
      </c>
      <c r="C255" s="370">
        <v>0.02</v>
      </c>
      <c r="D255" s="371">
        <f>'F&amp;B'!F44/10</f>
        <v>23400</v>
      </c>
      <c r="E255" s="67">
        <f t="shared" si="25"/>
        <v>468</v>
      </c>
      <c r="F255" s="324"/>
      <c r="G255" s="387"/>
      <c r="H255" s="387"/>
      <c r="I255" s="387"/>
      <c r="J255" s="322"/>
      <c r="K255" s="75"/>
      <c r="L255" s="370"/>
      <c r="M255" s="371"/>
      <c r="N255" s="67">
        <f t="shared" si="26"/>
        <v>0</v>
      </c>
      <c r="O255" s="324"/>
      <c r="P255" s="387"/>
      <c r="Q255" s="387"/>
    </row>
    <row r="256" ht="12.75" customHeight="1">
      <c r="A256" s="322"/>
      <c r="B256" s="75" t="s">
        <v>1289</v>
      </c>
      <c r="C256" s="346">
        <v>0.05</v>
      </c>
      <c r="D256" s="371">
        <f>'F&amp;B'!F286</f>
        <v>2970</v>
      </c>
      <c r="E256" s="67">
        <f t="shared" si="25"/>
        <v>148.5</v>
      </c>
      <c r="F256" s="324"/>
      <c r="G256" s="387"/>
      <c r="H256" s="387"/>
      <c r="I256" s="387"/>
      <c r="J256" s="322"/>
      <c r="K256" s="75"/>
      <c r="L256" s="346"/>
      <c r="M256" s="371"/>
      <c r="N256" s="67">
        <f t="shared" si="26"/>
        <v>0</v>
      </c>
      <c r="O256" s="324"/>
      <c r="P256" s="387"/>
      <c r="Q256" s="387"/>
    </row>
    <row r="257" ht="12.75" customHeight="1">
      <c r="A257" s="322"/>
      <c r="B257" s="75"/>
      <c r="C257" s="346"/>
      <c r="D257" s="371"/>
      <c r="E257" s="67">
        <f t="shared" si="25"/>
        <v>0</v>
      </c>
      <c r="F257" s="324"/>
      <c r="G257" s="387"/>
      <c r="H257" s="387"/>
      <c r="I257" s="387"/>
      <c r="J257" s="322"/>
      <c r="K257" s="75"/>
      <c r="L257" s="346"/>
      <c r="M257" s="371"/>
      <c r="N257" s="67">
        <f t="shared" si="26"/>
        <v>0</v>
      </c>
      <c r="O257" s="324"/>
      <c r="P257" s="387"/>
      <c r="Q257" s="387"/>
    </row>
    <row r="258" ht="12.75" customHeight="1">
      <c r="A258" s="322"/>
      <c r="B258" s="75"/>
      <c r="C258" s="370"/>
      <c r="D258" s="371"/>
      <c r="E258" s="67">
        <f t="shared" si="25"/>
        <v>0</v>
      </c>
      <c r="F258" s="324"/>
      <c r="G258" s="387"/>
      <c r="H258" s="387"/>
      <c r="I258" s="387"/>
      <c r="J258" s="322"/>
      <c r="K258" s="75"/>
      <c r="L258" s="370"/>
      <c r="M258" s="371"/>
      <c r="N258" s="67">
        <f t="shared" si="26"/>
        <v>0</v>
      </c>
      <c r="O258" s="324"/>
      <c r="P258" s="387"/>
      <c r="Q258" s="387"/>
    </row>
    <row r="259" ht="12.75" customHeight="1">
      <c r="A259" s="322"/>
      <c r="B259" s="75"/>
      <c r="C259" s="346"/>
      <c r="D259" s="371"/>
      <c r="E259" s="67">
        <f t="shared" si="25"/>
        <v>0</v>
      </c>
      <c r="F259" s="324"/>
      <c r="G259" s="387"/>
      <c r="H259" s="387"/>
      <c r="I259" s="387"/>
      <c r="J259" s="322"/>
      <c r="K259" s="75"/>
      <c r="L259" s="346"/>
      <c r="M259" s="371"/>
      <c r="N259" s="67">
        <f t="shared" si="26"/>
        <v>0</v>
      </c>
      <c r="O259" s="324"/>
      <c r="P259" s="387"/>
      <c r="Q259" s="387"/>
    </row>
    <row r="260" ht="12.75" customHeight="1">
      <c r="A260" s="322"/>
      <c r="B260" s="75"/>
      <c r="C260" s="342"/>
      <c r="D260" s="343"/>
      <c r="E260" s="67">
        <f t="shared" si="25"/>
        <v>0</v>
      </c>
      <c r="F260" s="324"/>
      <c r="G260" s="387"/>
      <c r="H260" s="387"/>
      <c r="I260" s="387"/>
      <c r="J260" s="322"/>
      <c r="K260" s="75"/>
      <c r="L260" s="342"/>
      <c r="M260" s="343"/>
      <c r="N260" s="67">
        <f t="shared" si="26"/>
        <v>0</v>
      </c>
      <c r="O260" s="324"/>
      <c r="P260" s="387"/>
      <c r="Q260" s="387"/>
    </row>
    <row r="261" ht="12.75" customHeight="1">
      <c r="A261" s="322"/>
      <c r="B261" s="348"/>
      <c r="C261" s="346"/>
      <c r="D261" s="373"/>
      <c r="E261" s="67">
        <f t="shared" si="25"/>
        <v>0</v>
      </c>
      <c r="F261" s="324"/>
      <c r="G261" s="387"/>
      <c r="H261" s="387"/>
      <c r="I261" s="387"/>
      <c r="J261" s="322"/>
      <c r="K261" s="348"/>
      <c r="L261" s="346"/>
      <c r="M261" s="373"/>
      <c r="N261" s="67">
        <f t="shared" si="26"/>
        <v>0</v>
      </c>
      <c r="O261" s="324"/>
      <c r="P261" s="387"/>
      <c r="Q261" s="387"/>
    </row>
    <row r="262" ht="12.75" customHeight="1">
      <c r="A262" s="322"/>
      <c r="B262" s="354"/>
      <c r="C262" s="355"/>
      <c r="D262" s="356"/>
      <c r="E262" s="67">
        <f t="shared" si="25"/>
        <v>0</v>
      </c>
      <c r="F262" s="324"/>
      <c r="G262" s="387"/>
      <c r="H262" s="387"/>
      <c r="I262" s="387"/>
      <c r="J262" s="322"/>
      <c r="K262" s="354"/>
      <c r="L262" s="355"/>
      <c r="M262" s="356"/>
      <c r="N262" s="67">
        <f t="shared" si="26"/>
        <v>0</v>
      </c>
      <c r="O262" s="324"/>
      <c r="P262" s="387"/>
      <c r="Q262" s="387"/>
    </row>
    <row r="263" ht="12.75" customHeight="1">
      <c r="A263" s="322"/>
      <c r="B263" s="362" t="s">
        <v>84</v>
      </c>
      <c r="C263" s="374"/>
      <c r="D263" s="374"/>
      <c r="E263" s="375">
        <f>IF(SUM(E253:E262)=0,"",SUM(E253:E262))</f>
        <v>1480.5</v>
      </c>
      <c r="F263" s="324"/>
      <c r="G263" s="387"/>
      <c r="H263" s="387"/>
      <c r="I263" s="387"/>
      <c r="J263" s="322"/>
      <c r="K263" s="362" t="s">
        <v>84</v>
      </c>
      <c r="L263" s="374"/>
      <c r="M263" s="374"/>
      <c r="N263" s="375">
        <f>IF(SUM(N253:N262)=0,"",SUM(N253:N262))</f>
        <v>864</v>
      </c>
      <c r="O263" s="324"/>
      <c r="P263" s="387"/>
      <c r="Q263" s="387"/>
    </row>
    <row r="264" ht="12.75" customHeight="1">
      <c r="A264" s="322"/>
      <c r="B264" s="360"/>
      <c r="C264" s="360"/>
      <c r="D264" s="360"/>
      <c r="E264" s="361"/>
      <c r="F264" s="324"/>
      <c r="G264" s="387"/>
      <c r="H264" s="387"/>
      <c r="I264" s="387"/>
      <c r="J264" s="322"/>
      <c r="K264" s="360"/>
      <c r="L264" s="360"/>
      <c r="M264" s="360"/>
      <c r="N264" s="361"/>
      <c r="O264" s="324"/>
      <c r="P264" s="387"/>
      <c r="Q264" s="387"/>
    </row>
    <row r="265" ht="12.75" customHeight="1">
      <c r="A265" s="322"/>
      <c r="B265" s="34" t="s">
        <v>17</v>
      </c>
      <c r="C265" s="35"/>
      <c r="D265" s="35"/>
      <c r="E265" s="35"/>
      <c r="F265" s="324"/>
      <c r="G265" s="387"/>
      <c r="H265" s="387"/>
      <c r="I265" s="387"/>
      <c r="J265" s="322"/>
      <c r="K265" s="34" t="s">
        <v>17</v>
      </c>
      <c r="L265" s="35"/>
      <c r="M265" s="35"/>
      <c r="N265" s="35"/>
      <c r="O265" s="324"/>
      <c r="P265" s="387"/>
      <c r="Q265" s="387"/>
    </row>
    <row r="266" ht="12.75" customHeight="1">
      <c r="A266" s="322"/>
      <c r="B266" s="52" t="s">
        <v>42</v>
      </c>
      <c r="C266" s="54"/>
      <c r="D266" s="54"/>
      <c r="E266" s="56" t="s">
        <v>35</v>
      </c>
      <c r="F266" s="324"/>
      <c r="G266" s="387"/>
      <c r="H266" s="387"/>
      <c r="I266" s="387"/>
      <c r="J266" s="322"/>
      <c r="K266" s="52" t="s">
        <v>42</v>
      </c>
      <c r="L266" s="54"/>
      <c r="M266" s="54"/>
      <c r="N266" s="56" t="s">
        <v>35</v>
      </c>
      <c r="O266" s="324"/>
      <c r="P266" s="387"/>
      <c r="Q266" s="387"/>
    </row>
    <row r="267" ht="12.75" customHeight="1">
      <c r="A267" s="322"/>
      <c r="B267" s="60" t="s">
        <v>40</v>
      </c>
      <c r="C267" s="343">
        <f>'UTL COST'!$B$3</f>
        <v>369000</v>
      </c>
      <c r="D267" s="379">
        <f>'UTL COST'!$C$3</f>
        <v>0.0075</v>
      </c>
      <c r="E267" s="67">
        <v>0.0</v>
      </c>
      <c r="F267" s="324"/>
      <c r="G267" s="387"/>
      <c r="H267" s="387"/>
      <c r="I267" s="387"/>
      <c r="J267" s="322"/>
      <c r="K267" s="60" t="s">
        <v>40</v>
      </c>
      <c r="L267" s="343">
        <f>'UTL COST'!$B$3</f>
        <v>369000</v>
      </c>
      <c r="M267" s="379">
        <f>'UTL COST'!$C$3</f>
        <v>0.0075</v>
      </c>
      <c r="N267" s="67">
        <v>0.0</v>
      </c>
      <c r="O267" s="324"/>
      <c r="P267" s="387"/>
      <c r="Q267" s="387"/>
    </row>
    <row r="268" ht="12.75" customHeight="1">
      <c r="A268" s="322"/>
      <c r="B268" s="75" t="s">
        <v>51</v>
      </c>
      <c r="C268" s="371" t="str">
        <f>'UTL COST'!$B$4</f>
        <v>#REF!</v>
      </c>
      <c r="D268" s="382">
        <f>'UTL COST'!$C$4</f>
        <v>7000</v>
      </c>
      <c r="E268" s="76" t="str">
        <f>'UTL COST'!$D$4</f>
        <v>#REF!</v>
      </c>
      <c r="F268" s="324"/>
      <c r="G268" s="387"/>
      <c r="H268" s="387"/>
      <c r="I268" s="387"/>
      <c r="J268" s="322"/>
      <c r="K268" s="75" t="s">
        <v>51</v>
      </c>
      <c r="L268" s="371" t="str">
        <f>'UTL COST'!$B$4</f>
        <v>#REF!</v>
      </c>
      <c r="M268" s="382">
        <f>'UTL COST'!$C$4</f>
        <v>7000</v>
      </c>
      <c r="N268" s="76" t="str">
        <f>'UTL COST'!$D$4</f>
        <v>#REF!</v>
      </c>
      <c r="O268" s="324"/>
      <c r="P268" s="387"/>
      <c r="Q268" s="387"/>
    </row>
    <row r="269" ht="12.75" customHeight="1">
      <c r="A269" s="322"/>
      <c r="B269" s="75" t="s">
        <v>59</v>
      </c>
      <c r="C269" s="371" t="str">
        <f>'UTL COST'!$B$5</f>
        <v>#REF!</v>
      </c>
      <c r="D269" s="382">
        <f>'UTL COST'!$C$5</f>
        <v>45000</v>
      </c>
      <c r="E269" s="76" t="str">
        <f>'UTL COST'!$D$5</f>
        <v>#REF!</v>
      </c>
      <c r="F269" s="324"/>
      <c r="G269" s="387"/>
      <c r="H269" s="387"/>
      <c r="I269" s="387"/>
      <c r="J269" s="322"/>
      <c r="K269" s="75" t="s">
        <v>59</v>
      </c>
      <c r="L269" s="371" t="str">
        <f>'UTL COST'!$B$5</f>
        <v>#REF!</v>
      </c>
      <c r="M269" s="382">
        <f>'UTL COST'!$C$5</f>
        <v>45000</v>
      </c>
      <c r="N269" s="76" t="str">
        <f>'UTL COST'!$D$5</f>
        <v>#REF!</v>
      </c>
      <c r="O269" s="324"/>
      <c r="P269" s="387"/>
      <c r="Q269" s="387"/>
    </row>
    <row r="270" ht="12.75" customHeight="1">
      <c r="A270" s="322"/>
      <c r="B270" s="87" t="s">
        <v>78</v>
      </c>
      <c r="C270" s="371" t="str">
        <f>'UTL COST'!$B$6</f>
        <v>#REF!</v>
      </c>
      <c r="D270" s="383">
        <f>'UTL COST'!$C$6</f>
        <v>525</v>
      </c>
      <c r="E270" s="89">
        <v>0.1</v>
      </c>
      <c r="F270" s="324"/>
      <c r="G270" s="387"/>
      <c r="H270" s="387"/>
      <c r="I270" s="387"/>
      <c r="J270" s="322"/>
      <c r="K270" s="87" t="s">
        <v>78</v>
      </c>
      <c r="L270" s="371" t="str">
        <f>'UTL COST'!$B$6</f>
        <v>#REF!</v>
      </c>
      <c r="M270" s="383">
        <f>'UTL COST'!$C$6</f>
        <v>525</v>
      </c>
      <c r="N270" s="89">
        <v>0.1</v>
      </c>
      <c r="O270" s="324"/>
      <c r="P270" s="387"/>
      <c r="Q270" s="387"/>
    </row>
    <row r="271" ht="12.75" customHeight="1">
      <c r="A271" s="322"/>
      <c r="B271" s="34" t="s">
        <v>84</v>
      </c>
      <c r="C271" s="102"/>
      <c r="D271" s="102"/>
      <c r="E271" s="104" t="str">
        <f>IF(SUM(E267:E270)=0,"",SUM(E267:E270))</f>
        <v>#REF!</v>
      </c>
      <c r="F271" s="324"/>
      <c r="G271" s="387"/>
      <c r="H271" s="387"/>
      <c r="I271" s="387"/>
      <c r="J271" s="322"/>
      <c r="K271" s="34" t="s">
        <v>84</v>
      </c>
      <c r="L271" s="102"/>
      <c r="M271" s="102"/>
      <c r="N271" s="104" t="str">
        <f>IF(SUM(N267:N270)=0,"",SUM(N267:N270))</f>
        <v>#REF!</v>
      </c>
      <c r="O271" s="324"/>
      <c r="P271" s="387"/>
      <c r="Q271" s="387"/>
    </row>
    <row r="272" ht="12.75" customHeight="1">
      <c r="A272" s="322"/>
      <c r="B272" s="360"/>
      <c r="C272" s="360"/>
      <c r="D272" s="360"/>
      <c r="E272" s="361"/>
      <c r="F272" s="324"/>
      <c r="G272" s="387"/>
      <c r="H272" s="387"/>
      <c r="I272" s="387"/>
      <c r="J272" s="322"/>
      <c r="K272" s="360"/>
      <c r="L272" s="360"/>
      <c r="M272" s="360"/>
      <c r="N272" s="361"/>
      <c r="O272" s="324"/>
      <c r="P272" s="387"/>
      <c r="Q272" s="387"/>
    </row>
    <row r="273" ht="12.75" customHeight="1">
      <c r="A273" s="387"/>
      <c r="B273" s="387"/>
      <c r="C273" s="387"/>
      <c r="D273" s="387"/>
      <c r="E273" s="418"/>
      <c r="F273" s="387"/>
      <c r="G273" s="387"/>
      <c r="H273" s="387"/>
      <c r="I273" s="387"/>
      <c r="J273" s="387"/>
      <c r="K273" s="387"/>
      <c r="L273" s="387"/>
      <c r="M273" s="387"/>
      <c r="N273" s="387"/>
      <c r="O273" s="387"/>
      <c r="P273" s="387"/>
      <c r="Q273" s="387"/>
    </row>
    <row r="274" ht="12.75" customHeight="1">
      <c r="A274" s="387"/>
      <c r="B274" s="387"/>
      <c r="C274" s="387"/>
      <c r="D274" s="387"/>
      <c r="E274" s="418"/>
      <c r="F274" s="387"/>
      <c r="G274" s="387"/>
      <c r="H274" s="387"/>
      <c r="I274" s="387"/>
      <c r="J274" s="387"/>
      <c r="K274" s="387"/>
      <c r="L274" s="387"/>
      <c r="M274" s="387"/>
      <c r="N274" s="387"/>
      <c r="O274" s="387"/>
      <c r="P274" s="387"/>
      <c r="Q274" s="387"/>
    </row>
    <row r="275" ht="12.75" customHeight="1">
      <c r="A275" s="322"/>
      <c r="B275" s="322"/>
      <c r="C275" s="322"/>
      <c r="D275" s="322"/>
      <c r="E275" s="323"/>
      <c r="F275" s="324"/>
      <c r="G275" s="387"/>
      <c r="H275" s="387"/>
      <c r="I275" s="387"/>
      <c r="J275" s="322"/>
      <c r="K275" s="322"/>
      <c r="L275" s="322"/>
      <c r="M275" s="322"/>
      <c r="N275" s="323"/>
      <c r="O275" s="324"/>
      <c r="P275" s="387"/>
      <c r="Q275" s="387"/>
    </row>
    <row r="276" ht="12.75" customHeight="1">
      <c r="A276" s="322"/>
      <c r="B276" s="325"/>
      <c r="C276" s="322"/>
      <c r="D276" s="322"/>
      <c r="E276" s="323"/>
      <c r="F276" s="326"/>
      <c r="G276" s="387"/>
      <c r="H276" s="387"/>
      <c r="I276" s="387"/>
      <c r="J276" s="322"/>
      <c r="K276" s="325"/>
      <c r="L276" s="322"/>
      <c r="M276" s="322"/>
      <c r="N276" s="323"/>
      <c r="O276" s="326"/>
      <c r="P276" s="404"/>
      <c r="Q276" s="387"/>
    </row>
    <row r="277" ht="12.75" customHeight="1">
      <c r="A277" s="322"/>
      <c r="B277" s="327" t="s">
        <v>931</v>
      </c>
      <c r="C277" s="328" t="s">
        <v>899</v>
      </c>
      <c r="D277" s="329"/>
      <c r="E277" s="323"/>
      <c r="F277" s="326"/>
      <c r="G277" s="387"/>
      <c r="H277" s="387"/>
      <c r="I277" s="387"/>
      <c r="J277" s="322"/>
      <c r="K277" s="327" t="s">
        <v>931</v>
      </c>
      <c r="L277" s="328" t="s">
        <v>1297</v>
      </c>
      <c r="M277" s="329"/>
      <c r="N277" s="323"/>
      <c r="O277" s="326"/>
      <c r="P277" s="404"/>
      <c r="Q277" s="387"/>
    </row>
    <row r="278" ht="12.75" customHeight="1">
      <c r="A278" s="322"/>
      <c r="B278" s="325"/>
      <c r="C278" s="322"/>
      <c r="D278" s="322"/>
      <c r="E278" s="323"/>
      <c r="F278" s="326"/>
      <c r="G278" s="387"/>
      <c r="H278" s="387"/>
      <c r="I278" s="387"/>
      <c r="J278" s="322"/>
      <c r="K278" s="325"/>
      <c r="L278" s="322"/>
      <c r="M278" s="322"/>
      <c r="N278" s="323"/>
      <c r="O278" s="326"/>
      <c r="P278" s="404"/>
      <c r="Q278" s="387"/>
    </row>
    <row r="279" ht="12.75" customHeight="1">
      <c r="A279" s="322"/>
      <c r="B279" s="327" t="s">
        <v>935</v>
      </c>
      <c r="C279" s="331">
        <v>115000.0</v>
      </c>
      <c r="D279" s="329"/>
      <c r="E279" s="323"/>
      <c r="F279" s="326"/>
      <c r="G279" s="387"/>
      <c r="H279" s="387"/>
      <c r="I279" s="387"/>
      <c r="J279" s="322"/>
      <c r="K279" s="327" t="s">
        <v>935</v>
      </c>
      <c r="L279" s="331">
        <v>105000.0</v>
      </c>
      <c r="M279" s="329"/>
      <c r="N279" s="323"/>
      <c r="O279" s="326"/>
      <c r="P279" s="404"/>
      <c r="Q279" s="387"/>
    </row>
    <row r="280" ht="12.75" customHeight="1">
      <c r="A280" s="322"/>
      <c r="B280" s="327"/>
      <c r="C280" s="332"/>
      <c r="D280" s="332"/>
      <c r="E280" s="323"/>
      <c r="F280" s="326"/>
      <c r="G280" s="387"/>
      <c r="H280" s="387"/>
      <c r="I280" s="387"/>
      <c r="J280" s="322"/>
      <c r="K280" s="327"/>
      <c r="L280" s="332"/>
      <c r="M280" s="332"/>
      <c r="N280" s="323"/>
      <c r="O280" s="326"/>
      <c r="P280" s="404"/>
      <c r="Q280" s="387"/>
    </row>
    <row r="281" ht="12.75" customHeight="1">
      <c r="A281" s="322"/>
      <c r="B281" s="327" t="s">
        <v>939</v>
      </c>
      <c r="C281" s="333" t="str">
        <f>IF(SUM(E293,E308,E316)=0,"",SUM(E293,E308,E316))</f>
        <v>#REF!</v>
      </c>
      <c r="D281" s="321"/>
      <c r="E281" s="323"/>
      <c r="F281" s="326"/>
      <c r="G281" s="387"/>
      <c r="H281" s="387"/>
      <c r="I281" s="387"/>
      <c r="J281" s="322"/>
      <c r="K281" s="327" t="s">
        <v>939</v>
      </c>
      <c r="L281" s="333" t="str">
        <f>IF(SUM(N293,N308,N316)=0,"",SUM(N293,N308,N316))</f>
        <v>#REF!</v>
      </c>
      <c r="M281" s="321"/>
      <c r="N281" s="323" t="str">
        <f>L281/90000</f>
        <v>#REF!</v>
      </c>
      <c r="O281" s="326"/>
      <c r="P281" s="404"/>
      <c r="Q281" s="387"/>
    </row>
    <row r="282" ht="12.75" customHeight="1">
      <c r="A282" s="322"/>
      <c r="B282" s="327"/>
      <c r="C282" s="334"/>
      <c r="D282" s="334"/>
      <c r="E282" s="323"/>
      <c r="F282" s="326"/>
      <c r="G282" s="387"/>
      <c r="H282" s="387"/>
      <c r="I282" s="387"/>
      <c r="J282" s="322"/>
      <c r="K282" s="327"/>
      <c r="L282" s="334"/>
      <c r="M282" s="334"/>
      <c r="N282" s="323"/>
      <c r="O282" s="326"/>
      <c r="P282" s="404"/>
      <c r="Q282" s="387"/>
    </row>
    <row r="283" ht="12.75" customHeight="1">
      <c r="A283" s="322"/>
      <c r="B283" s="327" t="s">
        <v>946</v>
      </c>
      <c r="C283" s="335" t="str">
        <f>IF(C281="","",IF(ISBLANK(C279),"",C281/C279))</f>
        <v>#REF!</v>
      </c>
      <c r="D283" s="321"/>
      <c r="E283" s="323"/>
      <c r="F283" s="326"/>
      <c r="G283" s="387"/>
      <c r="H283" s="387"/>
      <c r="I283" s="387"/>
      <c r="J283" s="322"/>
      <c r="K283" s="327" t="s">
        <v>946</v>
      </c>
      <c r="L283" s="335" t="str">
        <f>IF(L281="","",IF(ISBLANK(L279),"",L281/L279))</f>
        <v>#REF!</v>
      </c>
      <c r="M283" s="321"/>
      <c r="N283" s="323"/>
      <c r="O283" s="326"/>
      <c r="P283" s="404"/>
      <c r="Q283" s="387"/>
    </row>
    <row r="284" ht="12.75" customHeight="1">
      <c r="A284" s="322"/>
      <c r="B284" s="327"/>
      <c r="C284" s="334"/>
      <c r="D284" s="334"/>
      <c r="E284" s="323"/>
      <c r="F284" s="326"/>
      <c r="G284" s="387"/>
      <c r="H284" s="387"/>
      <c r="I284" s="387"/>
      <c r="J284" s="322"/>
      <c r="K284" s="327"/>
      <c r="L284" s="334"/>
      <c r="M284" s="334"/>
      <c r="N284" s="323"/>
      <c r="O284" s="326"/>
      <c r="P284" s="404"/>
      <c r="Q284" s="387"/>
    </row>
    <row r="285" ht="12.75" customHeight="1">
      <c r="A285" s="322"/>
      <c r="B285" s="327" t="s">
        <v>950</v>
      </c>
      <c r="C285" s="333" t="str">
        <f>C279-C281</f>
        <v>#REF!</v>
      </c>
      <c r="D285" s="321"/>
      <c r="E285" s="323"/>
      <c r="F285" s="326"/>
      <c r="G285" s="387"/>
      <c r="H285" s="387"/>
      <c r="I285" s="387"/>
      <c r="J285" s="322"/>
      <c r="K285" s="327" t="s">
        <v>950</v>
      </c>
      <c r="L285" s="333" t="str">
        <f>L279-L281</f>
        <v>#REF!</v>
      </c>
      <c r="M285" s="321"/>
      <c r="N285" s="323"/>
      <c r="O285" s="326"/>
      <c r="P285" s="404"/>
      <c r="Q285" s="387"/>
    </row>
    <row r="286" ht="12.75" customHeight="1">
      <c r="A286" s="322"/>
      <c r="B286" s="322"/>
      <c r="C286" s="322"/>
      <c r="D286" s="322"/>
      <c r="E286" s="323"/>
      <c r="F286" s="324"/>
      <c r="G286" s="387"/>
      <c r="H286" s="387"/>
      <c r="I286" s="387"/>
      <c r="J286" s="322"/>
      <c r="K286" s="322"/>
      <c r="L286" s="322"/>
      <c r="M286" s="322"/>
      <c r="N286" s="323"/>
      <c r="O286" s="324"/>
      <c r="P286" s="387"/>
      <c r="Q286" s="387"/>
    </row>
    <row r="287" ht="12.75" customHeight="1">
      <c r="A287" s="322"/>
      <c r="B287" s="322"/>
      <c r="C287" s="322"/>
      <c r="D287" s="322"/>
      <c r="E287" s="337"/>
      <c r="F287" s="324"/>
      <c r="G287" s="387"/>
      <c r="H287" s="387"/>
      <c r="I287" s="387"/>
      <c r="J287" s="322"/>
      <c r="K287" s="322"/>
      <c r="L287" s="322"/>
      <c r="M287" s="322"/>
      <c r="N287" s="337"/>
      <c r="O287" s="324"/>
      <c r="P287" s="387"/>
      <c r="Q287" s="387"/>
    </row>
    <row r="288" ht="12.75" customHeight="1">
      <c r="A288" s="322"/>
      <c r="B288" s="338" t="s">
        <v>951</v>
      </c>
      <c r="C288" s="339"/>
      <c r="D288" s="339"/>
      <c r="E288" s="339"/>
      <c r="F288" s="324"/>
      <c r="G288" s="387"/>
      <c r="H288" s="387"/>
      <c r="I288" s="387"/>
      <c r="J288" s="322"/>
      <c r="K288" s="338" t="s">
        <v>951</v>
      </c>
      <c r="L288" s="339"/>
      <c r="M288" s="339"/>
      <c r="N288" s="339"/>
      <c r="O288" s="324"/>
      <c r="P288" s="387"/>
      <c r="Q288" s="387"/>
    </row>
    <row r="289" ht="12.75" customHeight="1">
      <c r="A289" s="322"/>
      <c r="B289" s="340" t="s">
        <v>953</v>
      </c>
      <c r="C289" s="341" t="s">
        <v>954</v>
      </c>
      <c r="D289" s="341" t="s">
        <v>955</v>
      </c>
      <c r="E289" s="341" t="s">
        <v>35</v>
      </c>
      <c r="F289" s="324"/>
      <c r="G289" s="387"/>
      <c r="H289" s="387"/>
      <c r="I289" s="387"/>
      <c r="J289" s="322"/>
      <c r="K289" s="340" t="s">
        <v>953</v>
      </c>
      <c r="L289" s="341" t="s">
        <v>954</v>
      </c>
      <c r="M289" s="341" t="s">
        <v>955</v>
      </c>
      <c r="N289" s="341" t="s">
        <v>35</v>
      </c>
      <c r="O289" s="324"/>
      <c r="P289" s="387"/>
      <c r="Q289" s="387"/>
    </row>
    <row r="290" ht="12.75" customHeight="1">
      <c r="A290" s="322"/>
      <c r="B290" s="60" t="s">
        <v>1108</v>
      </c>
      <c r="C290" s="342">
        <v>0.1</v>
      </c>
      <c r="D290" s="343">
        <f>'F&amp;B'!$F$86</f>
        <v>44550</v>
      </c>
      <c r="E290" s="67">
        <f t="shared" ref="E290:E292" si="27">IF(OR(ISBLANK(C290),ISBLANK(D290)),"",D290*C290)</f>
        <v>4455</v>
      </c>
      <c r="F290" s="324"/>
      <c r="G290" s="387"/>
      <c r="H290" s="387"/>
      <c r="I290" s="387"/>
      <c r="J290" s="322"/>
      <c r="K290" s="60" t="s">
        <v>850</v>
      </c>
      <c r="L290" s="342">
        <v>0.16</v>
      </c>
      <c r="M290" s="343">
        <f>M19</f>
        <v>63000</v>
      </c>
      <c r="N290" s="67">
        <f t="shared" ref="N290:N292" si="28">IF(OR(ISBLANK(L290),ISBLANK(M290)),"",M290*L290)</f>
        <v>10080</v>
      </c>
      <c r="O290" s="324"/>
      <c r="P290" s="387"/>
      <c r="Q290" s="387"/>
    </row>
    <row r="291" ht="12.75" customHeight="1">
      <c r="A291" s="322"/>
      <c r="B291" s="87" t="s">
        <v>1285</v>
      </c>
      <c r="C291" s="412">
        <v>1.0</v>
      </c>
      <c r="D291" s="408">
        <f>M337</f>
        <v>7566</v>
      </c>
      <c r="E291" s="89">
        <f t="shared" si="27"/>
        <v>7566</v>
      </c>
      <c r="F291" s="324"/>
      <c r="G291" s="387"/>
      <c r="H291" s="387"/>
      <c r="I291" s="387"/>
      <c r="J291" s="322"/>
      <c r="K291" s="75" t="s">
        <v>1222</v>
      </c>
      <c r="L291" s="370">
        <v>0.07</v>
      </c>
      <c r="M291" s="371">
        <f>'F&amp;B'!$F$223</f>
        <v>142920</v>
      </c>
      <c r="N291" s="67">
        <f t="shared" si="28"/>
        <v>10004.4</v>
      </c>
      <c r="O291" s="324"/>
      <c r="P291" s="387"/>
      <c r="Q291" s="387"/>
    </row>
    <row r="292" ht="12.75" customHeight="1">
      <c r="A292" s="322"/>
      <c r="B292" s="87"/>
      <c r="C292" s="355"/>
      <c r="D292" s="400"/>
      <c r="E292" s="67" t="str">
        <f t="shared" si="27"/>
        <v/>
      </c>
      <c r="F292" s="324"/>
      <c r="G292" s="387"/>
      <c r="H292" s="387"/>
      <c r="I292" s="387"/>
      <c r="J292" s="322"/>
      <c r="K292" s="87" t="s">
        <v>200</v>
      </c>
      <c r="L292" s="355">
        <v>1.0</v>
      </c>
      <c r="M292" s="400">
        <f>SAUCES!$D$92</f>
        <v>900.9230769</v>
      </c>
      <c r="N292" s="67">
        <f t="shared" si="28"/>
        <v>900.9230769</v>
      </c>
      <c r="O292" s="324"/>
      <c r="P292" s="387"/>
      <c r="Q292" s="387"/>
    </row>
    <row r="293" ht="12.75" customHeight="1">
      <c r="A293" s="322"/>
      <c r="B293" s="338" t="s">
        <v>84</v>
      </c>
      <c r="C293" s="358"/>
      <c r="D293" s="358"/>
      <c r="E293" s="359">
        <f>IF(SUM(E290:E292)=0,"",SUM(E290:E292))</f>
        <v>12021</v>
      </c>
      <c r="F293" s="324"/>
      <c r="G293" s="387"/>
      <c r="H293" s="387"/>
      <c r="I293" s="387"/>
      <c r="J293" s="322"/>
      <c r="K293" s="338" t="s">
        <v>84</v>
      </c>
      <c r="L293" s="358"/>
      <c r="M293" s="358"/>
      <c r="N293" s="359">
        <f>IF(SUM(N290:N292)=0,"",SUM(N290:N292))</f>
        <v>20985.32308</v>
      </c>
      <c r="O293" s="324"/>
      <c r="P293" s="387"/>
      <c r="Q293" s="387"/>
    </row>
    <row r="294" ht="12.75" customHeight="1">
      <c r="A294" s="322"/>
      <c r="B294" s="360"/>
      <c r="C294" s="360"/>
      <c r="D294" s="360"/>
      <c r="E294" s="361"/>
      <c r="F294" s="324"/>
      <c r="G294" s="387"/>
      <c r="H294" s="387"/>
      <c r="I294" s="387"/>
      <c r="J294" s="322"/>
      <c r="K294" s="360"/>
      <c r="L294" s="360"/>
      <c r="M294" s="360"/>
      <c r="N294" s="361"/>
      <c r="O294" s="324"/>
      <c r="P294" s="387"/>
      <c r="Q294" s="387"/>
    </row>
    <row r="295" ht="12.75" customHeight="1">
      <c r="A295" s="322"/>
      <c r="B295" s="362" t="s">
        <v>972</v>
      </c>
      <c r="C295" s="363"/>
      <c r="D295" s="363"/>
      <c r="E295" s="363"/>
      <c r="F295" s="324"/>
      <c r="G295" s="387"/>
      <c r="H295" s="387"/>
      <c r="I295" s="387"/>
      <c r="J295" s="322"/>
      <c r="K295" s="362" t="s">
        <v>972</v>
      </c>
      <c r="L295" s="363"/>
      <c r="M295" s="363"/>
      <c r="N295" s="363"/>
      <c r="O295" s="324"/>
      <c r="P295" s="387"/>
      <c r="Q295" s="387"/>
    </row>
    <row r="296" ht="12.75" customHeight="1">
      <c r="A296" s="322"/>
      <c r="B296" s="365" t="s">
        <v>953</v>
      </c>
      <c r="C296" s="366" t="s">
        <v>3</v>
      </c>
      <c r="D296" s="366" t="s">
        <v>975</v>
      </c>
      <c r="E296" s="367" t="s">
        <v>35</v>
      </c>
      <c r="F296" s="324"/>
      <c r="G296" s="387"/>
      <c r="H296" s="387"/>
      <c r="I296" s="387"/>
      <c r="J296" s="322"/>
      <c r="K296" s="365" t="s">
        <v>953</v>
      </c>
      <c r="L296" s="366" t="s">
        <v>3</v>
      </c>
      <c r="M296" s="366" t="s">
        <v>975</v>
      </c>
      <c r="N296" s="367" t="s">
        <v>35</v>
      </c>
      <c r="O296" s="324"/>
      <c r="P296" s="387"/>
      <c r="Q296" s="387"/>
    </row>
    <row r="297" ht="12.75" customHeight="1">
      <c r="A297" s="322"/>
      <c r="B297" s="368"/>
      <c r="C297" s="366"/>
      <c r="D297" s="366"/>
      <c r="E297" s="368"/>
      <c r="F297" s="324"/>
      <c r="G297" s="387"/>
      <c r="H297" s="387"/>
      <c r="I297" s="387"/>
      <c r="J297" s="322"/>
      <c r="K297" s="368"/>
      <c r="L297" s="366"/>
      <c r="M297" s="366"/>
      <c r="N297" s="368"/>
      <c r="O297" s="324"/>
      <c r="P297" s="387"/>
      <c r="Q297" s="387"/>
    </row>
    <row r="298" ht="12.75" customHeight="1">
      <c r="A298" s="322"/>
      <c r="B298" s="60" t="s">
        <v>1061</v>
      </c>
      <c r="C298" s="342">
        <v>0.06</v>
      </c>
      <c r="D298" s="343">
        <f>$M$162</f>
        <v>7200</v>
      </c>
      <c r="E298" s="67">
        <f t="shared" ref="E298:E307" si="29">D298*C298</f>
        <v>432</v>
      </c>
      <c r="F298" s="324"/>
      <c r="G298" s="387"/>
      <c r="H298" s="387"/>
      <c r="I298" s="387"/>
      <c r="J298" s="322"/>
      <c r="K298" s="60"/>
      <c r="L298" s="342"/>
      <c r="M298" s="343"/>
      <c r="N298" s="67">
        <f t="shared" ref="N298:N307" si="30">M298*L298</f>
        <v>0</v>
      </c>
      <c r="O298" s="324"/>
      <c r="P298" s="387"/>
      <c r="Q298" s="387"/>
    </row>
    <row r="299" ht="12.75" customHeight="1">
      <c r="A299" s="322"/>
      <c r="B299" s="75" t="s">
        <v>1229</v>
      </c>
      <c r="C299" s="370">
        <v>0.06</v>
      </c>
      <c r="D299" s="371">
        <f>'F&amp;B'!$F$279</f>
        <v>7200</v>
      </c>
      <c r="E299" s="67">
        <f t="shared" si="29"/>
        <v>432</v>
      </c>
      <c r="F299" s="324"/>
      <c r="G299" s="387"/>
      <c r="H299" s="387"/>
      <c r="I299" s="387"/>
      <c r="J299" s="322"/>
      <c r="K299" s="75"/>
      <c r="L299" s="370"/>
      <c r="M299" s="371"/>
      <c r="N299" s="67">
        <f t="shared" si="30"/>
        <v>0</v>
      </c>
      <c r="O299" s="324"/>
      <c r="P299" s="387"/>
      <c r="Q299" s="387"/>
    </row>
    <row r="300" ht="12.75" customHeight="1">
      <c r="A300" s="322"/>
      <c r="B300" s="75" t="s">
        <v>214</v>
      </c>
      <c r="C300" s="370">
        <v>0.06</v>
      </c>
      <c r="D300" s="371">
        <f>'F&amp;B'!F290</f>
        <v>6300</v>
      </c>
      <c r="E300" s="67">
        <f t="shared" si="29"/>
        <v>378</v>
      </c>
      <c r="F300" s="324"/>
      <c r="G300" s="387"/>
      <c r="H300" s="387"/>
      <c r="I300" s="387"/>
      <c r="J300" s="322"/>
      <c r="K300" s="75"/>
      <c r="L300" s="370"/>
      <c r="M300" s="463"/>
      <c r="N300" s="67">
        <f t="shared" si="30"/>
        <v>0</v>
      </c>
      <c r="O300" s="324"/>
      <c r="P300" s="387"/>
      <c r="Q300" s="387"/>
    </row>
    <row r="301" ht="12.75" customHeight="1">
      <c r="A301" s="322"/>
      <c r="B301" s="75" t="s">
        <v>1059</v>
      </c>
      <c r="C301" s="346">
        <v>0.06</v>
      </c>
      <c r="D301" s="371">
        <f>'F&amp;B'!F44/10</f>
        <v>23400</v>
      </c>
      <c r="E301" s="67">
        <f t="shared" si="29"/>
        <v>1404</v>
      </c>
      <c r="F301" s="324"/>
      <c r="G301" s="387"/>
      <c r="H301" s="387"/>
      <c r="I301" s="387"/>
      <c r="J301" s="322"/>
      <c r="K301" s="75"/>
      <c r="L301" s="346"/>
      <c r="M301" s="371"/>
      <c r="N301" s="67">
        <f t="shared" si="30"/>
        <v>0</v>
      </c>
      <c r="O301" s="324"/>
      <c r="P301" s="387"/>
      <c r="Q301" s="387"/>
    </row>
    <row r="302" ht="12.75" customHeight="1">
      <c r="A302" s="322"/>
      <c r="B302" s="75" t="s">
        <v>1301</v>
      </c>
      <c r="C302" s="346">
        <v>0.06</v>
      </c>
      <c r="D302" s="371">
        <f>'F&amp;B'!F282</f>
        <v>2970</v>
      </c>
      <c r="E302" s="67">
        <f t="shared" si="29"/>
        <v>178.2</v>
      </c>
      <c r="F302" s="324"/>
      <c r="G302" s="387"/>
      <c r="H302" s="387"/>
      <c r="I302" s="387"/>
      <c r="J302" s="322"/>
      <c r="K302" s="75"/>
      <c r="L302" s="346"/>
      <c r="M302" s="371"/>
      <c r="N302" s="67">
        <f t="shared" si="30"/>
        <v>0</v>
      </c>
      <c r="O302" s="324"/>
      <c r="P302" s="387"/>
      <c r="Q302" s="387"/>
    </row>
    <row r="303" ht="12.75" customHeight="1">
      <c r="A303" s="322"/>
      <c r="B303" s="75"/>
      <c r="C303" s="370"/>
      <c r="D303" s="371"/>
      <c r="E303" s="67">
        <f t="shared" si="29"/>
        <v>0</v>
      </c>
      <c r="F303" s="324"/>
      <c r="G303" s="387"/>
      <c r="H303" s="387"/>
      <c r="I303" s="387"/>
      <c r="J303" s="322"/>
      <c r="K303" s="75"/>
      <c r="L303" s="346"/>
      <c r="M303" s="371"/>
      <c r="N303" s="67">
        <f t="shared" si="30"/>
        <v>0</v>
      </c>
      <c r="O303" s="324"/>
      <c r="P303" s="387"/>
      <c r="Q303" s="387"/>
    </row>
    <row r="304" ht="12.75" customHeight="1">
      <c r="A304" s="322"/>
      <c r="B304" s="75"/>
      <c r="C304" s="346"/>
      <c r="D304" s="371"/>
      <c r="E304" s="67">
        <f t="shared" si="29"/>
        <v>0</v>
      </c>
      <c r="F304" s="324"/>
      <c r="G304" s="387"/>
      <c r="H304" s="387"/>
      <c r="I304" s="387"/>
      <c r="J304" s="322"/>
      <c r="K304" s="75"/>
      <c r="L304" s="342"/>
      <c r="M304" s="343"/>
      <c r="N304" s="67">
        <f t="shared" si="30"/>
        <v>0</v>
      </c>
      <c r="O304" s="324"/>
      <c r="P304" s="387"/>
      <c r="Q304" s="387"/>
    </row>
    <row r="305" ht="12.75" customHeight="1">
      <c r="A305" s="322"/>
      <c r="B305" s="75"/>
      <c r="C305" s="342"/>
      <c r="D305" s="343"/>
      <c r="E305" s="67">
        <f t="shared" si="29"/>
        <v>0</v>
      </c>
      <c r="F305" s="324"/>
      <c r="G305" s="387"/>
      <c r="H305" s="387"/>
      <c r="I305" s="387"/>
      <c r="J305" s="322"/>
      <c r="K305" s="348"/>
      <c r="L305" s="346"/>
      <c r="M305" s="373"/>
      <c r="N305" s="67">
        <f t="shared" si="30"/>
        <v>0</v>
      </c>
      <c r="O305" s="324"/>
      <c r="P305" s="387"/>
      <c r="Q305" s="387"/>
    </row>
    <row r="306" ht="12.75" customHeight="1">
      <c r="A306" s="322"/>
      <c r="B306" s="348"/>
      <c r="C306" s="346"/>
      <c r="D306" s="373"/>
      <c r="E306" s="67">
        <f t="shared" si="29"/>
        <v>0</v>
      </c>
      <c r="F306" s="324"/>
      <c r="G306" s="387"/>
      <c r="H306" s="387"/>
      <c r="I306" s="387"/>
      <c r="J306" s="322"/>
      <c r="K306" s="348"/>
      <c r="L306" s="346"/>
      <c r="M306" s="373"/>
      <c r="N306" s="67">
        <f t="shared" si="30"/>
        <v>0</v>
      </c>
      <c r="O306" s="324"/>
      <c r="P306" s="387"/>
      <c r="Q306" s="387"/>
    </row>
    <row r="307" ht="12.75" customHeight="1">
      <c r="A307" s="322"/>
      <c r="B307" s="354"/>
      <c r="C307" s="355"/>
      <c r="D307" s="356"/>
      <c r="E307" s="67">
        <f t="shared" si="29"/>
        <v>0</v>
      </c>
      <c r="F307" s="324"/>
      <c r="G307" s="387"/>
      <c r="H307" s="387"/>
      <c r="I307" s="387"/>
      <c r="J307" s="322"/>
      <c r="K307" s="354"/>
      <c r="L307" s="355"/>
      <c r="M307" s="356"/>
      <c r="N307" s="67">
        <f t="shared" si="30"/>
        <v>0</v>
      </c>
      <c r="O307" s="324"/>
      <c r="P307" s="387"/>
      <c r="Q307" s="387"/>
    </row>
    <row r="308" ht="12.75" customHeight="1">
      <c r="A308" s="322"/>
      <c r="B308" s="362" t="s">
        <v>84</v>
      </c>
      <c r="C308" s="374"/>
      <c r="D308" s="374"/>
      <c r="E308" s="375">
        <f>IF(SUM(E298:E307)=0,"",SUM(E298:E307))</f>
        <v>2824.2</v>
      </c>
      <c r="F308" s="324"/>
      <c r="G308" s="387"/>
      <c r="H308" s="387"/>
      <c r="I308" s="387"/>
      <c r="J308" s="322"/>
      <c r="K308" s="362" t="s">
        <v>84</v>
      </c>
      <c r="L308" s="374"/>
      <c r="M308" s="374"/>
      <c r="N308" s="375" t="str">
        <f>IF(SUM(N298:N307)=0,"",SUM(N298:N307))</f>
        <v/>
      </c>
      <c r="O308" s="324"/>
      <c r="P308" s="387"/>
      <c r="Q308" s="387"/>
    </row>
    <row r="309" ht="12.75" customHeight="1">
      <c r="A309" s="322"/>
      <c r="B309" s="360"/>
      <c r="C309" s="360"/>
      <c r="D309" s="360"/>
      <c r="E309" s="361"/>
      <c r="F309" s="324"/>
      <c r="G309" s="387"/>
      <c r="H309" s="387"/>
      <c r="I309" s="387"/>
      <c r="J309" s="322"/>
      <c r="K309" s="360"/>
      <c r="L309" s="360"/>
      <c r="M309" s="360"/>
      <c r="N309" s="361"/>
      <c r="O309" s="324"/>
      <c r="P309" s="387"/>
      <c r="Q309" s="387"/>
    </row>
    <row r="310" ht="12.75" customHeight="1">
      <c r="A310" s="322"/>
      <c r="B310" s="34" t="s">
        <v>17</v>
      </c>
      <c r="C310" s="35"/>
      <c r="D310" s="35"/>
      <c r="E310" s="35"/>
      <c r="F310" s="324"/>
      <c r="G310" s="387"/>
      <c r="H310" s="387"/>
      <c r="I310" s="387"/>
      <c r="J310" s="322"/>
      <c r="K310" s="34" t="s">
        <v>17</v>
      </c>
      <c r="L310" s="35"/>
      <c r="M310" s="35"/>
      <c r="N310" s="35"/>
      <c r="O310" s="324"/>
      <c r="P310" s="387"/>
      <c r="Q310" s="387"/>
    </row>
    <row r="311" ht="12.75" customHeight="1">
      <c r="A311" s="322"/>
      <c r="B311" s="52" t="s">
        <v>42</v>
      </c>
      <c r="C311" s="54"/>
      <c r="D311" s="54"/>
      <c r="E311" s="56" t="s">
        <v>35</v>
      </c>
      <c r="F311" s="324"/>
      <c r="G311" s="387"/>
      <c r="H311" s="387"/>
      <c r="I311" s="387"/>
      <c r="J311" s="322"/>
      <c r="K311" s="52" t="s">
        <v>42</v>
      </c>
      <c r="L311" s="54"/>
      <c r="M311" s="54"/>
      <c r="N311" s="56" t="s">
        <v>35</v>
      </c>
      <c r="O311" s="324"/>
      <c r="P311" s="387"/>
      <c r="Q311" s="387"/>
    </row>
    <row r="312" ht="12.75" customHeight="1">
      <c r="A312" s="322"/>
      <c r="B312" s="60" t="s">
        <v>40</v>
      </c>
      <c r="C312" s="343">
        <f>'UTL COST'!$B$3</f>
        <v>369000</v>
      </c>
      <c r="D312" s="379">
        <f>'UTL COST'!$C$3</f>
        <v>0.0075</v>
      </c>
      <c r="E312" s="67">
        <v>0.0</v>
      </c>
      <c r="F312" s="324"/>
      <c r="G312" s="387"/>
      <c r="H312" s="387"/>
      <c r="I312" s="387"/>
      <c r="J312" s="322"/>
      <c r="K312" s="60" t="s">
        <v>40</v>
      </c>
      <c r="L312" s="343">
        <f>'UTL COST'!$B$3</f>
        <v>369000</v>
      </c>
      <c r="M312" s="379">
        <f>'UTL COST'!$C$3</f>
        <v>0.0075</v>
      </c>
      <c r="N312" s="67">
        <v>0.0</v>
      </c>
      <c r="O312" s="324"/>
      <c r="P312" s="387"/>
      <c r="Q312" s="387"/>
    </row>
    <row r="313" ht="12.75" customHeight="1">
      <c r="A313" s="322"/>
      <c r="B313" s="75" t="s">
        <v>51</v>
      </c>
      <c r="C313" s="371" t="str">
        <f>'UTL COST'!$B$4</f>
        <v>#REF!</v>
      </c>
      <c r="D313" s="382">
        <f>'UTL COST'!$C$4</f>
        <v>7000</v>
      </c>
      <c r="E313" s="76" t="str">
        <f>'UTL COST'!$D$4</f>
        <v>#REF!</v>
      </c>
      <c r="F313" s="324"/>
      <c r="G313" s="387"/>
      <c r="H313" s="387"/>
      <c r="I313" s="387"/>
      <c r="J313" s="322"/>
      <c r="K313" s="75" t="s">
        <v>51</v>
      </c>
      <c r="L313" s="371" t="str">
        <f>'UTL COST'!$B$4</f>
        <v>#REF!</v>
      </c>
      <c r="M313" s="382">
        <f>'UTL COST'!$C$4</f>
        <v>7000</v>
      </c>
      <c r="N313" s="76" t="str">
        <f>'UTL COST'!$D$4</f>
        <v>#REF!</v>
      </c>
      <c r="O313" s="324"/>
      <c r="P313" s="387"/>
      <c r="Q313" s="387"/>
    </row>
    <row r="314" ht="12.75" customHeight="1">
      <c r="A314" s="322"/>
      <c r="B314" s="75" t="s">
        <v>59</v>
      </c>
      <c r="C314" s="371" t="str">
        <f>'UTL COST'!$B$5</f>
        <v>#REF!</v>
      </c>
      <c r="D314" s="382">
        <f>'UTL COST'!$C$5</f>
        <v>45000</v>
      </c>
      <c r="E314" s="76" t="str">
        <f>'UTL COST'!$D$5</f>
        <v>#REF!</v>
      </c>
      <c r="F314" s="324"/>
      <c r="G314" s="387"/>
      <c r="H314" s="387"/>
      <c r="I314" s="387"/>
      <c r="J314" s="322"/>
      <c r="K314" s="75" t="s">
        <v>59</v>
      </c>
      <c r="L314" s="371" t="str">
        <f>'UTL COST'!$B$5</f>
        <v>#REF!</v>
      </c>
      <c r="M314" s="382">
        <f>'UTL COST'!$C$5</f>
        <v>45000</v>
      </c>
      <c r="N314" s="76" t="str">
        <f>'UTL COST'!$D$5</f>
        <v>#REF!</v>
      </c>
      <c r="O314" s="324"/>
      <c r="P314" s="387"/>
      <c r="Q314" s="387"/>
    </row>
    <row r="315" ht="12.75" customHeight="1">
      <c r="A315" s="322"/>
      <c r="B315" s="87" t="s">
        <v>78</v>
      </c>
      <c r="C315" s="371" t="str">
        <f>'UTL COST'!$B$6</f>
        <v>#REF!</v>
      </c>
      <c r="D315" s="383">
        <f>'UTL COST'!$C$6</f>
        <v>525</v>
      </c>
      <c r="E315" s="89">
        <v>0.1</v>
      </c>
      <c r="F315" s="324"/>
      <c r="G315" s="387"/>
      <c r="H315" s="387"/>
      <c r="I315" s="387"/>
      <c r="J315" s="322"/>
      <c r="K315" s="87" t="s">
        <v>78</v>
      </c>
      <c r="L315" s="371" t="str">
        <f>'UTL COST'!$B$6</f>
        <v>#REF!</v>
      </c>
      <c r="M315" s="383">
        <f>'UTL COST'!$C$6</f>
        <v>525</v>
      </c>
      <c r="N315" s="89">
        <v>0.1</v>
      </c>
      <c r="O315" s="324"/>
      <c r="P315" s="387"/>
      <c r="Q315" s="387"/>
    </row>
    <row r="316" ht="12.75" customHeight="1">
      <c r="A316" s="322"/>
      <c r="B316" s="34" t="s">
        <v>84</v>
      </c>
      <c r="C316" s="102"/>
      <c r="D316" s="102"/>
      <c r="E316" s="104" t="str">
        <f>IF(SUM(E312:E315)=0,"",SUM(E312:E315))</f>
        <v>#REF!</v>
      </c>
      <c r="F316" s="324"/>
      <c r="G316" s="387"/>
      <c r="H316" s="387"/>
      <c r="I316" s="387"/>
      <c r="J316" s="322"/>
      <c r="K316" s="34" t="s">
        <v>84</v>
      </c>
      <c r="L316" s="102"/>
      <c r="M316" s="102"/>
      <c r="N316" s="104" t="str">
        <f>IF(SUM(N312:N315)=0,"",SUM(N312:N315))</f>
        <v>#REF!</v>
      </c>
      <c r="O316" s="324"/>
      <c r="P316" s="387"/>
      <c r="Q316" s="387"/>
    </row>
    <row r="317" ht="12.75" customHeight="1">
      <c r="A317" s="322"/>
      <c r="B317" s="360"/>
      <c r="C317" s="360"/>
      <c r="D317" s="360"/>
      <c r="E317" s="361"/>
      <c r="F317" s="324"/>
      <c r="G317" s="387"/>
      <c r="H317" s="387"/>
      <c r="I317" s="387"/>
      <c r="J317" s="322"/>
      <c r="K317" s="360"/>
      <c r="L317" s="360"/>
      <c r="M317" s="360"/>
      <c r="N317" s="361"/>
      <c r="O317" s="324"/>
      <c r="P317" s="387"/>
      <c r="Q317" s="387"/>
    </row>
    <row r="318" ht="12.75" customHeight="1">
      <c r="A318" s="387"/>
      <c r="B318" s="387"/>
      <c r="C318" s="387"/>
      <c r="D318" s="387"/>
      <c r="E318" s="418"/>
      <c r="F318" s="387"/>
      <c r="G318" s="387"/>
      <c r="H318" s="387"/>
      <c r="I318" s="387"/>
      <c r="J318" s="387"/>
      <c r="K318" s="387"/>
      <c r="L318" s="387"/>
      <c r="M318" s="387"/>
      <c r="N318" s="387"/>
      <c r="O318" s="387"/>
      <c r="P318" s="387"/>
      <c r="Q318" s="387"/>
    </row>
    <row r="319" ht="12.75" customHeight="1">
      <c r="A319" s="387"/>
      <c r="B319" s="387"/>
      <c r="C319" s="387"/>
      <c r="D319" s="387"/>
      <c r="E319" s="418"/>
      <c r="F319" s="387"/>
      <c r="G319" s="387"/>
      <c r="H319" s="387"/>
      <c r="I319" s="387"/>
      <c r="J319" s="387"/>
      <c r="K319" s="387"/>
      <c r="L319" s="387"/>
      <c r="M319" s="387"/>
      <c r="N319" s="387"/>
      <c r="O319" s="387"/>
      <c r="P319" s="387"/>
      <c r="Q319" s="387"/>
    </row>
    <row r="320" ht="12.75" customHeight="1">
      <c r="A320" s="322"/>
      <c r="B320" s="322"/>
      <c r="C320" s="322"/>
      <c r="D320" s="322"/>
      <c r="E320" s="323"/>
      <c r="F320" s="324"/>
      <c r="G320" s="387"/>
      <c r="H320" s="387"/>
      <c r="I320" s="387"/>
      <c r="J320" s="322"/>
      <c r="K320" s="322"/>
      <c r="L320" s="322"/>
      <c r="M320" s="322"/>
      <c r="N320" s="323"/>
      <c r="O320" s="324"/>
      <c r="P320" s="387"/>
      <c r="Q320" s="387"/>
    </row>
    <row r="321" ht="12.75" customHeight="1">
      <c r="A321" s="322"/>
      <c r="B321" s="325"/>
      <c r="C321" s="322"/>
      <c r="D321" s="322"/>
      <c r="E321" s="323"/>
      <c r="F321" s="326"/>
      <c r="G321" s="387"/>
      <c r="H321" s="387"/>
      <c r="I321" s="387"/>
      <c r="J321" s="322"/>
      <c r="K321" s="325"/>
      <c r="L321" s="322"/>
      <c r="M321" s="322"/>
      <c r="N321" s="323"/>
      <c r="O321" s="326"/>
      <c r="P321" s="387"/>
      <c r="Q321" s="387"/>
    </row>
    <row r="322" ht="12.75" customHeight="1">
      <c r="A322" s="322"/>
      <c r="B322" s="327" t="s">
        <v>931</v>
      </c>
      <c r="C322" s="328" t="s">
        <v>1308</v>
      </c>
      <c r="D322" s="329"/>
      <c r="E322" s="323"/>
      <c r="F322" s="326"/>
      <c r="G322" s="387"/>
      <c r="H322" s="387"/>
      <c r="I322" s="387"/>
      <c r="J322" s="322"/>
      <c r="K322" s="327" t="s">
        <v>931</v>
      </c>
      <c r="L322" s="328" t="s">
        <v>867</v>
      </c>
      <c r="M322" s="329"/>
      <c r="N322" s="323"/>
      <c r="O322" s="326"/>
      <c r="P322" s="387"/>
      <c r="Q322" s="387"/>
    </row>
    <row r="323" ht="12.75" customHeight="1">
      <c r="A323" s="322"/>
      <c r="B323" s="325"/>
      <c r="C323" s="322"/>
      <c r="D323" s="322"/>
      <c r="E323" s="323"/>
      <c r="F323" s="326"/>
      <c r="G323" s="387"/>
      <c r="H323" s="387"/>
      <c r="I323" s="387"/>
      <c r="J323" s="322"/>
      <c r="K323" s="325"/>
      <c r="L323" s="322"/>
      <c r="M323" s="322"/>
      <c r="N323" s="323"/>
      <c r="O323" s="326"/>
      <c r="P323" s="387"/>
      <c r="Q323" s="387"/>
    </row>
    <row r="324" ht="12.75" customHeight="1">
      <c r="A324" s="322"/>
      <c r="B324" s="327" t="s">
        <v>935</v>
      </c>
      <c r="C324" s="331">
        <v>105000.0</v>
      </c>
      <c r="D324" s="329"/>
      <c r="E324" s="323"/>
      <c r="F324" s="326"/>
      <c r="G324" s="387"/>
      <c r="H324" s="387"/>
      <c r="I324" s="387"/>
      <c r="J324" s="322"/>
      <c r="K324" s="327" t="s">
        <v>935</v>
      </c>
      <c r="L324" s="331">
        <v>105000.0</v>
      </c>
      <c r="M324" s="329"/>
      <c r="N324" s="323"/>
      <c r="O324" s="326"/>
      <c r="P324" s="387"/>
      <c r="Q324" s="387"/>
    </row>
    <row r="325" ht="12.75" customHeight="1">
      <c r="A325" s="322"/>
      <c r="B325" s="327"/>
      <c r="C325" s="332"/>
      <c r="D325" s="332"/>
      <c r="E325" s="323"/>
      <c r="F325" s="326"/>
      <c r="G325" s="387"/>
      <c r="H325" s="387"/>
      <c r="I325" s="387"/>
      <c r="J325" s="322"/>
      <c r="K325" s="327"/>
      <c r="L325" s="332"/>
      <c r="M325" s="332"/>
      <c r="N325" s="323"/>
      <c r="O325" s="326"/>
      <c r="P325" s="387"/>
      <c r="Q325" s="387"/>
    </row>
    <row r="326" ht="12.75" customHeight="1">
      <c r="A326" s="322"/>
      <c r="B326" s="327" t="s">
        <v>939</v>
      </c>
      <c r="C326" s="333" t="str">
        <f>IF(SUM(E338,E353,E361)=0,"",SUM(E338,E353,E361))</f>
        <v>#REF!</v>
      </c>
      <c r="D326" s="321"/>
      <c r="E326" s="323"/>
      <c r="F326" s="326"/>
      <c r="G326" s="387"/>
      <c r="H326" s="387"/>
      <c r="I326" s="387"/>
      <c r="J326" s="322"/>
      <c r="K326" s="327" t="s">
        <v>939</v>
      </c>
      <c r="L326" s="333" t="str">
        <f>IF(SUM(N338,N353,N361)=0,"",SUM(N338,N353,N361))</f>
        <v>#REF!</v>
      </c>
      <c r="M326" s="321"/>
      <c r="N326" s="323"/>
      <c r="O326" s="326"/>
      <c r="P326" s="387"/>
      <c r="Q326" s="387"/>
    </row>
    <row r="327" ht="12.75" customHeight="1">
      <c r="A327" s="322"/>
      <c r="B327" s="327"/>
      <c r="C327" s="334"/>
      <c r="D327" s="334"/>
      <c r="E327" s="323"/>
      <c r="F327" s="326"/>
      <c r="G327" s="387"/>
      <c r="H327" s="387"/>
      <c r="I327" s="387"/>
      <c r="J327" s="322"/>
      <c r="K327" s="327"/>
      <c r="L327" s="334"/>
      <c r="M327" s="334"/>
      <c r="N327" s="323"/>
      <c r="O327" s="326"/>
      <c r="P327" s="387"/>
      <c r="Q327" s="387"/>
    </row>
    <row r="328" ht="12.75" customHeight="1">
      <c r="A328" s="322"/>
      <c r="B328" s="327" t="s">
        <v>946</v>
      </c>
      <c r="C328" s="335" t="str">
        <f>IF(C326="","",IF(ISBLANK(C324),"",C326/C324))</f>
        <v>#REF!</v>
      </c>
      <c r="D328" s="321"/>
      <c r="E328" s="323"/>
      <c r="F328" s="326"/>
      <c r="G328" s="387"/>
      <c r="H328" s="387"/>
      <c r="I328" s="387"/>
      <c r="J328" s="322"/>
      <c r="K328" s="327" t="s">
        <v>946</v>
      </c>
      <c r="L328" s="335" t="str">
        <f>IF(L326="","",IF(ISBLANK(L324),"",L326/L324))</f>
        <v>#REF!</v>
      </c>
      <c r="M328" s="321"/>
      <c r="N328" s="323"/>
      <c r="O328" s="326"/>
      <c r="P328" s="387"/>
      <c r="Q328" s="387"/>
    </row>
    <row r="329" ht="12.75" customHeight="1">
      <c r="A329" s="322"/>
      <c r="B329" s="327"/>
      <c r="C329" s="334"/>
      <c r="D329" s="334"/>
      <c r="E329" s="323"/>
      <c r="F329" s="326"/>
      <c r="G329" s="387"/>
      <c r="H329" s="387"/>
      <c r="I329" s="387"/>
      <c r="J329" s="322"/>
      <c r="K329" s="327"/>
      <c r="L329" s="334"/>
      <c r="M329" s="334"/>
      <c r="N329" s="323"/>
      <c r="O329" s="326"/>
      <c r="P329" s="387"/>
      <c r="Q329" s="387"/>
    </row>
    <row r="330" ht="12.75" customHeight="1">
      <c r="A330" s="322"/>
      <c r="B330" s="327" t="s">
        <v>950</v>
      </c>
      <c r="C330" s="333" t="str">
        <f>C324-C326</f>
        <v>#REF!</v>
      </c>
      <c r="D330" s="321"/>
      <c r="E330" s="323"/>
      <c r="F330" s="326"/>
      <c r="G330" s="387"/>
      <c r="H330" s="387"/>
      <c r="I330" s="387"/>
      <c r="J330" s="322"/>
      <c r="K330" s="327" t="s">
        <v>950</v>
      </c>
      <c r="L330" s="333" t="str">
        <f>L324-L326</f>
        <v>#REF!</v>
      </c>
      <c r="M330" s="321"/>
      <c r="N330" s="323"/>
      <c r="O330" s="326"/>
      <c r="P330" s="387"/>
      <c r="Q330" s="387"/>
    </row>
    <row r="331" ht="12.75" customHeight="1">
      <c r="A331" s="322"/>
      <c r="B331" s="322"/>
      <c r="C331" s="322"/>
      <c r="D331" s="322"/>
      <c r="E331" s="323"/>
      <c r="F331" s="324"/>
      <c r="G331" s="387"/>
      <c r="H331" s="387"/>
      <c r="I331" s="387"/>
      <c r="J331" s="322"/>
      <c r="K331" s="322"/>
      <c r="L331" s="322"/>
      <c r="M331" s="322"/>
      <c r="N331" s="323"/>
      <c r="O331" s="324"/>
      <c r="P331" s="387"/>
      <c r="Q331" s="387"/>
    </row>
    <row r="332" ht="12.75" customHeight="1">
      <c r="A332" s="322"/>
      <c r="B332" s="322"/>
      <c r="C332" s="322"/>
      <c r="D332" s="322"/>
      <c r="E332" s="337"/>
      <c r="F332" s="324"/>
      <c r="G332" s="387"/>
      <c r="H332" s="387"/>
      <c r="I332" s="387"/>
      <c r="J332" s="322"/>
      <c r="K332" s="322"/>
      <c r="L332" s="322"/>
      <c r="M332" s="322"/>
      <c r="N332" s="337"/>
      <c r="O332" s="324"/>
      <c r="P332" s="387"/>
      <c r="Q332" s="387"/>
    </row>
    <row r="333" ht="12.75" customHeight="1">
      <c r="A333" s="322"/>
      <c r="B333" s="338" t="s">
        <v>951</v>
      </c>
      <c r="C333" s="339"/>
      <c r="D333" s="339"/>
      <c r="E333" s="339"/>
      <c r="F333" s="324"/>
      <c r="G333" s="387"/>
      <c r="H333" s="387"/>
      <c r="I333" s="387"/>
      <c r="J333" s="322"/>
      <c r="K333" s="338" t="s">
        <v>951</v>
      </c>
      <c r="L333" s="339"/>
      <c r="M333" s="339"/>
      <c r="N333" s="339"/>
      <c r="O333" s="324"/>
      <c r="P333" s="387"/>
      <c r="Q333" s="387"/>
    </row>
    <row r="334" ht="12.75" customHeight="1">
      <c r="A334" s="322"/>
      <c r="B334" s="340" t="s">
        <v>953</v>
      </c>
      <c r="C334" s="341" t="s">
        <v>954</v>
      </c>
      <c r="D334" s="341" t="s">
        <v>955</v>
      </c>
      <c r="E334" s="341" t="s">
        <v>35</v>
      </c>
      <c r="F334" s="324"/>
      <c r="G334" s="387"/>
      <c r="H334" s="387"/>
      <c r="I334" s="387"/>
      <c r="J334" s="322"/>
      <c r="K334" s="340" t="s">
        <v>953</v>
      </c>
      <c r="L334" s="341" t="s">
        <v>954</v>
      </c>
      <c r="M334" s="341" t="s">
        <v>955</v>
      </c>
      <c r="N334" s="341" t="s">
        <v>35</v>
      </c>
      <c r="O334" s="324"/>
      <c r="P334" s="387"/>
      <c r="Q334" s="387"/>
    </row>
    <row r="335" ht="12.75" customHeight="1">
      <c r="A335" s="322"/>
      <c r="B335" s="60" t="s">
        <v>850</v>
      </c>
      <c r="C335" s="342">
        <v>0.16</v>
      </c>
      <c r="D335" s="343">
        <f t="shared" ref="D335:E335" si="31">M290</f>
        <v>63000</v>
      </c>
      <c r="E335" s="67">
        <f t="shared" si="31"/>
        <v>10080</v>
      </c>
      <c r="F335" s="324"/>
      <c r="G335" s="387"/>
      <c r="H335" s="387"/>
      <c r="I335" s="387"/>
      <c r="J335" s="322"/>
      <c r="K335" s="60" t="s">
        <v>850</v>
      </c>
      <c r="L335" s="342">
        <v>0.16</v>
      </c>
      <c r="M335" s="343">
        <f>M65</f>
        <v>63000</v>
      </c>
      <c r="N335" s="67">
        <f t="shared" ref="N335:N337" si="32">IF(OR(ISBLANK(L335),ISBLANK(M335)),"",M335*L335)</f>
        <v>10080</v>
      </c>
      <c r="O335" s="324"/>
      <c r="P335" s="387"/>
      <c r="Q335" s="387"/>
    </row>
    <row r="336" ht="12.75" customHeight="1">
      <c r="A336" s="322"/>
      <c r="B336" s="75" t="s">
        <v>1222</v>
      </c>
      <c r="C336" s="370">
        <v>0.07</v>
      </c>
      <c r="D336" s="371">
        <f>'F&amp;B'!$F$223</f>
        <v>142920</v>
      </c>
      <c r="E336" s="67">
        <f t="shared" ref="E336:E337" si="33">IF(OR(ISBLANK(C336),ISBLANK(D336)),"",D336*C336)</f>
        <v>10004.4</v>
      </c>
      <c r="F336" s="324"/>
      <c r="G336" s="387"/>
      <c r="H336" s="387"/>
      <c r="I336" s="387"/>
      <c r="J336" s="322"/>
      <c r="K336" s="75" t="s">
        <v>1222</v>
      </c>
      <c r="L336" s="370">
        <v>0.07</v>
      </c>
      <c r="M336" s="371">
        <f>'F&amp;B'!$F$223</f>
        <v>142920</v>
      </c>
      <c r="N336" s="67">
        <f t="shared" si="32"/>
        <v>10004.4</v>
      </c>
      <c r="O336" s="324"/>
      <c r="P336" s="387"/>
      <c r="Q336" s="387"/>
    </row>
    <row r="337" ht="12.75" customHeight="1">
      <c r="A337" s="322"/>
      <c r="B337" s="87" t="s">
        <v>1220</v>
      </c>
      <c r="C337" s="355">
        <v>1.0</v>
      </c>
      <c r="D337" s="400">
        <f>M155</f>
        <v>11925</v>
      </c>
      <c r="E337" s="67">
        <f t="shared" si="33"/>
        <v>11925</v>
      </c>
      <c r="F337" s="324"/>
      <c r="G337" s="387"/>
      <c r="H337" s="387"/>
      <c r="I337" s="387"/>
      <c r="J337" s="322"/>
      <c r="K337" s="87" t="s">
        <v>1285</v>
      </c>
      <c r="L337" s="355">
        <v>1.0</v>
      </c>
      <c r="M337" s="400">
        <f>M246</f>
        <v>7566</v>
      </c>
      <c r="N337" s="67">
        <f t="shared" si="32"/>
        <v>7566</v>
      </c>
      <c r="O337" s="324"/>
      <c r="P337" s="387"/>
      <c r="Q337" s="387"/>
    </row>
    <row r="338" ht="12.75" customHeight="1">
      <c r="A338" s="322"/>
      <c r="B338" s="338" t="s">
        <v>84</v>
      </c>
      <c r="C338" s="358"/>
      <c r="D338" s="358"/>
      <c r="E338" s="359">
        <f>IF(SUM(E335:E337)=0,"",SUM(E335:E337))</f>
        <v>32009.4</v>
      </c>
      <c r="F338" s="324"/>
      <c r="G338" s="387"/>
      <c r="H338" s="387"/>
      <c r="I338" s="387"/>
      <c r="J338" s="322"/>
      <c r="K338" s="338" t="s">
        <v>84</v>
      </c>
      <c r="L338" s="358"/>
      <c r="M338" s="358"/>
      <c r="N338" s="359">
        <f>IF(SUM(N335:N337)=0,"",SUM(N335:N337))</f>
        <v>27650.4</v>
      </c>
      <c r="O338" s="324"/>
      <c r="P338" s="387"/>
      <c r="Q338" s="387"/>
    </row>
    <row r="339" ht="12.75" customHeight="1">
      <c r="A339" s="322"/>
      <c r="B339" s="360"/>
      <c r="C339" s="360"/>
      <c r="D339" s="360"/>
      <c r="E339" s="361"/>
      <c r="F339" s="324"/>
      <c r="G339" s="387"/>
      <c r="H339" s="387"/>
      <c r="I339" s="387"/>
      <c r="J339" s="322"/>
      <c r="K339" s="360"/>
      <c r="L339" s="360"/>
      <c r="M339" s="360"/>
      <c r="N339" s="361"/>
      <c r="O339" s="324"/>
      <c r="P339" s="387"/>
      <c r="Q339" s="387"/>
    </row>
    <row r="340" ht="12.75" customHeight="1">
      <c r="A340" s="322"/>
      <c r="B340" s="362" t="s">
        <v>972</v>
      </c>
      <c r="C340" s="363"/>
      <c r="D340" s="363"/>
      <c r="E340" s="363"/>
      <c r="F340" s="324"/>
      <c r="G340" s="387"/>
      <c r="H340" s="387"/>
      <c r="I340" s="387"/>
      <c r="J340" s="322"/>
      <c r="K340" s="362" t="s">
        <v>972</v>
      </c>
      <c r="L340" s="363"/>
      <c r="M340" s="363"/>
      <c r="N340" s="363"/>
      <c r="O340" s="324"/>
      <c r="P340" s="387"/>
      <c r="Q340" s="387"/>
    </row>
    <row r="341" ht="12.75" customHeight="1">
      <c r="A341" s="322"/>
      <c r="B341" s="365" t="s">
        <v>953</v>
      </c>
      <c r="C341" s="366" t="s">
        <v>3</v>
      </c>
      <c r="D341" s="366" t="s">
        <v>975</v>
      </c>
      <c r="E341" s="367" t="s">
        <v>35</v>
      </c>
      <c r="F341" s="324"/>
      <c r="G341" s="387"/>
      <c r="H341" s="387"/>
      <c r="I341" s="387"/>
      <c r="J341" s="322"/>
      <c r="K341" s="365" t="s">
        <v>953</v>
      </c>
      <c r="L341" s="366" t="s">
        <v>3</v>
      </c>
      <c r="M341" s="366" t="s">
        <v>975</v>
      </c>
      <c r="N341" s="367" t="s">
        <v>35</v>
      </c>
      <c r="O341" s="324"/>
      <c r="P341" s="387"/>
      <c r="Q341" s="387"/>
    </row>
    <row r="342" ht="12.75" customHeight="1">
      <c r="A342" s="322"/>
      <c r="B342" s="368"/>
      <c r="C342" s="366"/>
      <c r="D342" s="366"/>
      <c r="E342" s="368"/>
      <c r="F342" s="324"/>
      <c r="G342" s="387"/>
      <c r="H342" s="387"/>
      <c r="I342" s="387"/>
      <c r="J342" s="322"/>
      <c r="K342" s="368"/>
      <c r="L342" s="366"/>
      <c r="M342" s="366"/>
      <c r="N342" s="368"/>
      <c r="O342" s="324"/>
      <c r="P342" s="387"/>
      <c r="Q342" s="387"/>
    </row>
    <row r="343" ht="12.75" customHeight="1">
      <c r="A343" s="322"/>
      <c r="B343" s="60"/>
      <c r="C343" s="342"/>
      <c r="D343" s="343"/>
      <c r="E343" s="67">
        <f t="shared" ref="E343:E352" si="34">D343*C343</f>
        <v>0</v>
      </c>
      <c r="F343" s="324"/>
      <c r="G343" s="387"/>
      <c r="H343" s="387"/>
      <c r="I343" s="387"/>
      <c r="J343" s="322"/>
      <c r="K343" s="60"/>
      <c r="L343" s="342"/>
      <c r="M343" s="343"/>
      <c r="N343" s="67">
        <f t="shared" ref="N343:N352" si="35">M343*L343</f>
        <v>0</v>
      </c>
      <c r="O343" s="324"/>
      <c r="P343" s="387"/>
      <c r="Q343" s="387"/>
    </row>
    <row r="344" ht="12.75" customHeight="1">
      <c r="A344" s="322"/>
      <c r="B344" s="75"/>
      <c r="C344" s="370"/>
      <c r="D344" s="371"/>
      <c r="E344" s="67">
        <f t="shared" si="34"/>
        <v>0</v>
      </c>
      <c r="F344" s="324"/>
      <c r="G344" s="387"/>
      <c r="H344" s="387"/>
      <c r="I344" s="387"/>
      <c r="J344" s="322"/>
      <c r="K344" s="75"/>
      <c r="L344" s="370"/>
      <c r="M344" s="371"/>
      <c r="N344" s="67">
        <f t="shared" si="35"/>
        <v>0</v>
      </c>
      <c r="O344" s="324"/>
      <c r="P344" s="387"/>
      <c r="Q344" s="387"/>
    </row>
    <row r="345" ht="12.75" customHeight="1">
      <c r="A345" s="322"/>
      <c r="B345" s="75"/>
      <c r="C345" s="370"/>
      <c r="D345" s="463"/>
      <c r="E345" s="67">
        <f t="shared" si="34"/>
        <v>0</v>
      </c>
      <c r="F345" s="324"/>
      <c r="G345" s="387"/>
      <c r="H345" s="387"/>
      <c r="I345" s="387"/>
      <c r="J345" s="322"/>
      <c r="K345" s="75"/>
      <c r="L345" s="370"/>
      <c r="M345" s="463"/>
      <c r="N345" s="67">
        <f t="shared" si="35"/>
        <v>0</v>
      </c>
      <c r="O345" s="324"/>
      <c r="P345" s="387"/>
      <c r="Q345" s="387"/>
    </row>
    <row r="346" ht="12.75" customHeight="1">
      <c r="A346" s="322"/>
      <c r="B346" s="75"/>
      <c r="C346" s="346"/>
      <c r="D346" s="371"/>
      <c r="E346" s="67">
        <f t="shared" si="34"/>
        <v>0</v>
      </c>
      <c r="F346" s="324"/>
      <c r="G346" s="387"/>
      <c r="H346" s="387"/>
      <c r="I346" s="387"/>
      <c r="J346" s="322"/>
      <c r="K346" s="75"/>
      <c r="L346" s="346"/>
      <c r="M346" s="371"/>
      <c r="N346" s="67">
        <f t="shared" si="35"/>
        <v>0</v>
      </c>
      <c r="O346" s="324"/>
      <c r="P346" s="387"/>
      <c r="Q346" s="387"/>
    </row>
    <row r="347" ht="12.75" customHeight="1">
      <c r="A347" s="322"/>
      <c r="B347" s="75"/>
      <c r="C347" s="346"/>
      <c r="D347" s="371"/>
      <c r="E347" s="67">
        <f t="shared" si="34"/>
        <v>0</v>
      </c>
      <c r="F347" s="324"/>
      <c r="G347" s="387"/>
      <c r="H347" s="387"/>
      <c r="I347" s="387"/>
      <c r="J347" s="322"/>
      <c r="K347" s="75"/>
      <c r="L347" s="346"/>
      <c r="M347" s="371"/>
      <c r="N347" s="67">
        <f t="shared" si="35"/>
        <v>0</v>
      </c>
      <c r="O347" s="324"/>
      <c r="P347" s="387"/>
      <c r="Q347" s="387"/>
    </row>
    <row r="348" ht="12.75" customHeight="1">
      <c r="A348" s="322"/>
      <c r="B348" s="75"/>
      <c r="C348" s="346"/>
      <c r="D348" s="371"/>
      <c r="E348" s="67">
        <f t="shared" si="34"/>
        <v>0</v>
      </c>
      <c r="F348" s="324"/>
      <c r="G348" s="387"/>
      <c r="H348" s="387"/>
      <c r="I348" s="387"/>
      <c r="J348" s="322"/>
      <c r="K348" s="75"/>
      <c r="L348" s="346"/>
      <c r="M348" s="371"/>
      <c r="N348" s="67">
        <f t="shared" si="35"/>
        <v>0</v>
      </c>
      <c r="O348" s="324"/>
      <c r="P348" s="387"/>
      <c r="Q348" s="387"/>
    </row>
    <row r="349" ht="12.75" customHeight="1">
      <c r="A349" s="322"/>
      <c r="B349" s="75"/>
      <c r="C349" s="342"/>
      <c r="D349" s="343"/>
      <c r="E349" s="67">
        <f t="shared" si="34"/>
        <v>0</v>
      </c>
      <c r="F349" s="324"/>
      <c r="G349" s="387"/>
      <c r="H349" s="387"/>
      <c r="I349" s="387"/>
      <c r="J349" s="322"/>
      <c r="K349" s="75"/>
      <c r="L349" s="342"/>
      <c r="M349" s="343"/>
      <c r="N349" s="67">
        <f t="shared" si="35"/>
        <v>0</v>
      </c>
      <c r="O349" s="324"/>
      <c r="P349" s="387"/>
      <c r="Q349" s="387"/>
    </row>
    <row r="350" ht="12.75" customHeight="1">
      <c r="A350" s="322"/>
      <c r="B350" s="348"/>
      <c r="C350" s="346"/>
      <c r="D350" s="373"/>
      <c r="E350" s="67">
        <f t="shared" si="34"/>
        <v>0</v>
      </c>
      <c r="F350" s="324"/>
      <c r="G350" s="387"/>
      <c r="H350" s="387"/>
      <c r="I350" s="387"/>
      <c r="J350" s="322"/>
      <c r="K350" s="348"/>
      <c r="L350" s="346"/>
      <c r="M350" s="373"/>
      <c r="N350" s="67">
        <f t="shared" si="35"/>
        <v>0</v>
      </c>
      <c r="O350" s="324"/>
      <c r="P350" s="387"/>
      <c r="Q350" s="387"/>
    </row>
    <row r="351" ht="12.75" customHeight="1">
      <c r="A351" s="322"/>
      <c r="B351" s="348"/>
      <c r="C351" s="346"/>
      <c r="D351" s="373"/>
      <c r="E351" s="67">
        <f t="shared" si="34"/>
        <v>0</v>
      </c>
      <c r="F351" s="324"/>
      <c r="G351" s="387"/>
      <c r="H351" s="387"/>
      <c r="I351" s="387"/>
      <c r="J351" s="322"/>
      <c r="K351" s="348"/>
      <c r="L351" s="346"/>
      <c r="M351" s="373"/>
      <c r="N351" s="67">
        <f t="shared" si="35"/>
        <v>0</v>
      </c>
      <c r="O351" s="324"/>
      <c r="P351" s="387"/>
      <c r="Q351" s="387"/>
    </row>
    <row r="352" ht="12.75" customHeight="1">
      <c r="A352" s="322"/>
      <c r="B352" s="354"/>
      <c r="C352" s="355"/>
      <c r="D352" s="356"/>
      <c r="E352" s="67">
        <f t="shared" si="34"/>
        <v>0</v>
      </c>
      <c r="F352" s="324"/>
      <c r="G352" s="387"/>
      <c r="H352" s="387"/>
      <c r="I352" s="387"/>
      <c r="J352" s="322"/>
      <c r="K352" s="354"/>
      <c r="L352" s="355"/>
      <c r="M352" s="356"/>
      <c r="N352" s="67">
        <f t="shared" si="35"/>
        <v>0</v>
      </c>
      <c r="O352" s="324"/>
      <c r="P352" s="387"/>
      <c r="Q352" s="387"/>
    </row>
    <row r="353" ht="12.75" customHeight="1">
      <c r="A353" s="322"/>
      <c r="B353" s="362" t="s">
        <v>84</v>
      </c>
      <c r="C353" s="374"/>
      <c r="D353" s="374"/>
      <c r="E353" s="375" t="str">
        <f>IF(SUM(E343:E352)=0,"",SUM(E343:E352))</f>
        <v/>
      </c>
      <c r="F353" s="324"/>
      <c r="G353" s="387"/>
      <c r="H353" s="387"/>
      <c r="I353" s="387"/>
      <c r="J353" s="322"/>
      <c r="K353" s="362" t="s">
        <v>84</v>
      </c>
      <c r="L353" s="374"/>
      <c r="M353" s="374"/>
      <c r="N353" s="375" t="str">
        <f>IF(SUM(N343:N352)=0,"",SUM(N343:N352))</f>
        <v/>
      </c>
      <c r="O353" s="324"/>
      <c r="P353" s="387"/>
      <c r="Q353" s="387"/>
    </row>
    <row r="354" ht="12.75" customHeight="1">
      <c r="A354" s="322"/>
      <c r="B354" s="360"/>
      <c r="C354" s="360"/>
      <c r="D354" s="360"/>
      <c r="E354" s="361"/>
      <c r="F354" s="324"/>
      <c r="G354" s="387"/>
      <c r="H354" s="387"/>
      <c r="I354" s="387"/>
      <c r="J354" s="322"/>
      <c r="K354" s="360"/>
      <c r="L354" s="360"/>
      <c r="M354" s="360"/>
      <c r="N354" s="361"/>
      <c r="O354" s="324"/>
      <c r="P354" s="387"/>
      <c r="Q354" s="387"/>
    </row>
    <row r="355" ht="12.75" customHeight="1">
      <c r="A355" s="322"/>
      <c r="B355" s="34" t="s">
        <v>17</v>
      </c>
      <c r="C355" s="35"/>
      <c r="D355" s="35"/>
      <c r="E355" s="35"/>
      <c r="F355" s="324"/>
      <c r="G355" s="387"/>
      <c r="H355" s="387"/>
      <c r="I355" s="387"/>
      <c r="J355" s="322"/>
      <c r="K355" s="34" t="s">
        <v>17</v>
      </c>
      <c r="L355" s="35"/>
      <c r="M355" s="35"/>
      <c r="N355" s="35"/>
      <c r="O355" s="324"/>
      <c r="P355" s="387"/>
      <c r="Q355" s="387"/>
    </row>
    <row r="356" ht="12.75" customHeight="1">
      <c r="A356" s="322"/>
      <c r="B356" s="52" t="s">
        <v>42</v>
      </c>
      <c r="C356" s="54"/>
      <c r="D356" s="54"/>
      <c r="E356" s="56" t="s">
        <v>35</v>
      </c>
      <c r="F356" s="324"/>
      <c r="G356" s="387"/>
      <c r="H356" s="387"/>
      <c r="I356" s="387"/>
      <c r="J356" s="322"/>
      <c r="K356" s="52" t="s">
        <v>42</v>
      </c>
      <c r="L356" s="54"/>
      <c r="M356" s="54"/>
      <c r="N356" s="56" t="s">
        <v>35</v>
      </c>
      <c r="O356" s="324"/>
      <c r="P356" s="387"/>
      <c r="Q356" s="387"/>
    </row>
    <row r="357" ht="12.75" customHeight="1">
      <c r="A357" s="322"/>
      <c r="B357" s="60" t="s">
        <v>40</v>
      </c>
      <c r="C357" s="343">
        <f>'UTL COST'!$B$3</f>
        <v>369000</v>
      </c>
      <c r="D357" s="379">
        <f>'UTL COST'!$C$3</f>
        <v>0.0075</v>
      </c>
      <c r="E357" s="67">
        <v>0.0</v>
      </c>
      <c r="F357" s="324"/>
      <c r="G357" s="387"/>
      <c r="H357" s="387"/>
      <c r="I357" s="387"/>
      <c r="J357" s="322"/>
      <c r="K357" s="60" t="s">
        <v>40</v>
      </c>
      <c r="L357" s="343">
        <f>'UTL COST'!$B$3</f>
        <v>369000</v>
      </c>
      <c r="M357" s="379">
        <f>'UTL COST'!$C$3</f>
        <v>0.0075</v>
      </c>
      <c r="N357" s="67">
        <v>0.0</v>
      </c>
      <c r="O357" s="324"/>
      <c r="P357" s="387"/>
      <c r="Q357" s="387"/>
    </row>
    <row r="358" ht="12.75" customHeight="1">
      <c r="A358" s="322"/>
      <c r="B358" s="75" t="s">
        <v>51</v>
      </c>
      <c r="C358" s="371" t="str">
        <f>'UTL COST'!$B$4</f>
        <v>#REF!</v>
      </c>
      <c r="D358" s="382">
        <f>'UTL COST'!$C$4</f>
        <v>7000</v>
      </c>
      <c r="E358" s="76" t="str">
        <f>'UTL COST'!$D$4</f>
        <v>#REF!</v>
      </c>
      <c r="F358" s="324"/>
      <c r="G358" s="387"/>
      <c r="H358" s="387"/>
      <c r="I358" s="387"/>
      <c r="J358" s="322"/>
      <c r="K358" s="75" t="s">
        <v>51</v>
      </c>
      <c r="L358" s="371" t="str">
        <f>'UTL COST'!$B$4</f>
        <v>#REF!</v>
      </c>
      <c r="M358" s="382">
        <f>'UTL COST'!$C$4</f>
        <v>7000</v>
      </c>
      <c r="N358" s="76" t="str">
        <f>'UTL COST'!$D$4</f>
        <v>#REF!</v>
      </c>
      <c r="O358" s="324"/>
      <c r="P358" s="387"/>
      <c r="Q358" s="387"/>
    </row>
    <row r="359" ht="12.75" customHeight="1">
      <c r="A359" s="322"/>
      <c r="B359" s="75" t="s">
        <v>59</v>
      </c>
      <c r="C359" s="371" t="str">
        <f>'UTL COST'!$B$5</f>
        <v>#REF!</v>
      </c>
      <c r="D359" s="382">
        <f>'UTL COST'!$C$5</f>
        <v>45000</v>
      </c>
      <c r="E359" s="76" t="str">
        <f>'UTL COST'!$D$5</f>
        <v>#REF!</v>
      </c>
      <c r="F359" s="324"/>
      <c r="G359" s="387"/>
      <c r="H359" s="387"/>
      <c r="I359" s="387"/>
      <c r="J359" s="322"/>
      <c r="K359" s="75" t="s">
        <v>59</v>
      </c>
      <c r="L359" s="371" t="str">
        <f>'UTL COST'!$B$5</f>
        <v>#REF!</v>
      </c>
      <c r="M359" s="382">
        <f>'UTL COST'!$C$5</f>
        <v>45000</v>
      </c>
      <c r="N359" s="76" t="str">
        <f>'UTL COST'!$D$5</f>
        <v>#REF!</v>
      </c>
      <c r="O359" s="324"/>
      <c r="P359" s="387"/>
      <c r="Q359" s="387"/>
    </row>
    <row r="360" ht="12.75" customHeight="1">
      <c r="A360" s="322"/>
      <c r="B360" s="87" t="s">
        <v>78</v>
      </c>
      <c r="C360" s="371" t="str">
        <f>'UTL COST'!$B$6</f>
        <v>#REF!</v>
      </c>
      <c r="D360" s="383">
        <f>'UTL COST'!$C$6</f>
        <v>525</v>
      </c>
      <c r="E360" s="89">
        <v>0.1</v>
      </c>
      <c r="F360" s="324"/>
      <c r="G360" s="387"/>
      <c r="H360" s="387"/>
      <c r="I360" s="387"/>
      <c r="J360" s="322"/>
      <c r="K360" s="87" t="s">
        <v>78</v>
      </c>
      <c r="L360" s="371" t="str">
        <f>'UTL COST'!$B$6</f>
        <v>#REF!</v>
      </c>
      <c r="M360" s="383">
        <f>'UTL COST'!$C$6</f>
        <v>525</v>
      </c>
      <c r="N360" s="89">
        <v>0.1</v>
      </c>
      <c r="O360" s="324"/>
      <c r="P360" s="387"/>
      <c r="Q360" s="387"/>
    </row>
    <row r="361" ht="12.75" customHeight="1">
      <c r="A361" s="322"/>
      <c r="B361" s="34" t="s">
        <v>84</v>
      </c>
      <c r="C361" s="102"/>
      <c r="D361" s="102"/>
      <c r="E361" s="104" t="str">
        <f>IF(SUM(E357:E360)=0,"",SUM(E357:E360))</f>
        <v>#REF!</v>
      </c>
      <c r="F361" s="324"/>
      <c r="G361" s="387"/>
      <c r="H361" s="387"/>
      <c r="I361" s="387"/>
      <c r="J361" s="322"/>
      <c r="K361" s="34" t="s">
        <v>84</v>
      </c>
      <c r="L361" s="102"/>
      <c r="M361" s="102"/>
      <c r="N361" s="104" t="str">
        <f>IF(SUM(N357:N360)=0,"",SUM(N357:N360))</f>
        <v>#REF!</v>
      </c>
      <c r="O361" s="324"/>
      <c r="P361" s="387"/>
      <c r="Q361" s="387"/>
    </row>
    <row r="362" ht="12.75" customHeight="1">
      <c r="A362" s="322"/>
      <c r="B362" s="360"/>
      <c r="C362" s="360"/>
      <c r="D362" s="360"/>
      <c r="E362" s="361"/>
      <c r="F362" s="324"/>
      <c r="G362" s="387"/>
      <c r="H362" s="387"/>
      <c r="I362" s="387"/>
      <c r="J362" s="322"/>
      <c r="K362" s="360"/>
      <c r="L362" s="360"/>
      <c r="M362" s="360"/>
      <c r="N362" s="361"/>
      <c r="O362" s="324"/>
      <c r="P362" s="387"/>
      <c r="Q362" s="387"/>
    </row>
    <row r="363" ht="15.75" customHeight="1"/>
    <row r="364" ht="15.75" customHeight="1"/>
    <row r="365" ht="15.75" customHeight="1">
      <c r="A365" s="322"/>
      <c r="B365" s="322"/>
      <c r="C365" s="322"/>
      <c r="D365" s="322"/>
      <c r="E365" s="323"/>
      <c r="F365" s="324"/>
      <c r="J365" s="322"/>
      <c r="K365" s="322"/>
      <c r="L365" s="322"/>
      <c r="M365" s="322"/>
      <c r="N365" s="323"/>
      <c r="O365" s="324"/>
    </row>
    <row r="366" ht="15.75" customHeight="1">
      <c r="A366" s="322"/>
      <c r="B366" s="325"/>
      <c r="C366" s="322"/>
      <c r="D366" s="322"/>
      <c r="E366" s="323"/>
      <c r="F366" s="326"/>
      <c r="J366" s="322"/>
      <c r="K366" s="325"/>
      <c r="L366" s="322"/>
      <c r="M366" s="322"/>
      <c r="N366" s="323"/>
      <c r="O366" s="326"/>
    </row>
    <row r="367" ht="15.75" customHeight="1">
      <c r="A367" s="322"/>
      <c r="B367" s="327" t="s">
        <v>931</v>
      </c>
      <c r="C367" s="330" t="s">
        <v>444</v>
      </c>
      <c r="D367" s="329"/>
      <c r="E367" s="323"/>
      <c r="F367" s="326"/>
      <c r="J367" s="322"/>
      <c r="K367" s="327" t="s">
        <v>931</v>
      </c>
      <c r="L367" s="330" t="s">
        <v>1321</v>
      </c>
      <c r="M367" s="329"/>
      <c r="N367" s="323"/>
      <c r="O367" s="326"/>
    </row>
    <row r="368" ht="15.75" customHeight="1">
      <c r="A368" s="322"/>
      <c r="B368" s="325"/>
      <c r="C368" s="322"/>
      <c r="D368" s="322"/>
      <c r="E368" s="323"/>
      <c r="F368" s="326"/>
      <c r="J368" s="322"/>
      <c r="K368" s="325"/>
      <c r="L368" s="322"/>
      <c r="M368" s="322"/>
      <c r="N368" s="323"/>
      <c r="O368" s="326"/>
    </row>
    <row r="369" ht="15.75" customHeight="1">
      <c r="A369" s="322"/>
      <c r="B369" s="327" t="s">
        <v>935</v>
      </c>
      <c r="C369" s="331">
        <v>105000.0</v>
      </c>
      <c r="D369" s="329"/>
      <c r="E369" s="323"/>
      <c r="F369" s="326"/>
      <c r="J369" s="322"/>
      <c r="K369" s="327" t="s">
        <v>935</v>
      </c>
      <c r="L369" s="331">
        <v>105000.0</v>
      </c>
      <c r="M369" s="329"/>
      <c r="N369" s="323"/>
      <c r="O369" s="326"/>
    </row>
    <row r="370" ht="15.75" customHeight="1">
      <c r="A370" s="322"/>
      <c r="B370" s="327"/>
      <c r="C370" s="332" t="str">
        <f>C371/90000</f>
        <v>#REF!</v>
      </c>
      <c r="D370" s="332"/>
      <c r="E370" s="323"/>
      <c r="F370" s="326"/>
      <c r="J370" s="322"/>
      <c r="K370" s="327"/>
      <c r="L370" s="332" t="str">
        <f>L371/90000</f>
        <v>#REF!</v>
      </c>
      <c r="M370" s="332"/>
      <c r="N370" s="323"/>
      <c r="O370" s="326"/>
    </row>
    <row r="371" ht="15.75" customHeight="1">
      <c r="A371" s="322"/>
      <c r="B371" s="327" t="s">
        <v>939</v>
      </c>
      <c r="C371" s="333" t="str">
        <f>IF(SUM(E383,E398,E406)=0,"",SUM(E383,E398,E406))</f>
        <v>#REF!</v>
      </c>
      <c r="D371" s="321"/>
      <c r="E371" s="323"/>
      <c r="F371" s="326"/>
      <c r="J371" s="322"/>
      <c r="K371" s="327" t="s">
        <v>939</v>
      </c>
      <c r="L371" s="333" t="str">
        <f>IF(SUM(N383,N398,N406)=0,"",SUM(N383,N398,N406))</f>
        <v>#REF!</v>
      </c>
      <c r="M371" s="321"/>
      <c r="N371" s="323"/>
      <c r="O371" s="326"/>
    </row>
    <row r="372" ht="15.75" customHeight="1">
      <c r="A372" s="322"/>
      <c r="B372" s="327"/>
      <c r="C372" s="334"/>
      <c r="D372" s="334"/>
      <c r="E372" s="323"/>
      <c r="F372" s="326"/>
      <c r="J372" s="322"/>
      <c r="K372" s="327"/>
      <c r="L372" s="334"/>
      <c r="M372" s="334"/>
      <c r="N372" s="323"/>
      <c r="O372" s="326"/>
    </row>
    <row r="373" ht="15.75" customHeight="1">
      <c r="A373" s="322"/>
      <c r="B373" s="327" t="s">
        <v>946</v>
      </c>
      <c r="C373" s="335" t="str">
        <f>IF(C371="","",IF(ISBLANK(C369),"",C371/C369))</f>
        <v>#REF!</v>
      </c>
      <c r="D373" s="321"/>
      <c r="E373" s="323"/>
      <c r="F373" s="326"/>
      <c r="J373" s="322"/>
      <c r="K373" s="327" t="s">
        <v>946</v>
      </c>
      <c r="L373" s="335" t="str">
        <f>IF(L371="","",IF(ISBLANK(L369),"",L371/L369))</f>
        <v>#REF!</v>
      </c>
      <c r="M373" s="321"/>
      <c r="N373" s="323"/>
      <c r="O373" s="326"/>
    </row>
    <row r="374" ht="15.75" customHeight="1">
      <c r="A374" s="322"/>
      <c r="B374" s="327"/>
      <c r="C374" s="334"/>
      <c r="D374" s="334"/>
      <c r="E374" s="323"/>
      <c r="F374" s="326"/>
      <c r="J374" s="322"/>
      <c r="K374" s="327"/>
      <c r="L374" s="334"/>
      <c r="M374" s="334"/>
      <c r="N374" s="323"/>
      <c r="O374" s="326"/>
    </row>
    <row r="375" ht="15.75" customHeight="1">
      <c r="A375" s="322"/>
      <c r="B375" s="327" t="s">
        <v>950</v>
      </c>
      <c r="C375" s="333" t="str">
        <f>C369-C371</f>
        <v>#REF!</v>
      </c>
      <c r="D375" s="321"/>
      <c r="E375" s="323"/>
      <c r="F375" s="326"/>
      <c r="J375" s="322"/>
      <c r="K375" s="327" t="s">
        <v>950</v>
      </c>
      <c r="L375" s="333" t="str">
        <f>L369-L371</f>
        <v>#REF!</v>
      </c>
      <c r="M375" s="321"/>
      <c r="N375" s="323"/>
      <c r="O375" s="326"/>
    </row>
    <row r="376" ht="15.75" customHeight="1">
      <c r="A376" s="322"/>
      <c r="B376" s="322"/>
      <c r="C376" s="322"/>
      <c r="D376" s="322"/>
      <c r="E376" s="323"/>
      <c r="F376" s="324"/>
      <c r="J376" s="322"/>
      <c r="K376" s="322"/>
      <c r="L376" s="322"/>
      <c r="M376" s="322"/>
      <c r="N376" s="323"/>
      <c r="O376" s="324"/>
    </row>
    <row r="377" ht="15.75" customHeight="1">
      <c r="A377" s="322"/>
      <c r="B377" s="322"/>
      <c r="C377" s="322"/>
      <c r="D377" s="322"/>
      <c r="E377" s="337"/>
      <c r="F377" s="324"/>
      <c r="J377" s="322"/>
      <c r="K377" s="322"/>
      <c r="L377" s="322"/>
      <c r="M377" s="322"/>
      <c r="N377" s="337"/>
      <c r="O377" s="324"/>
    </row>
    <row r="378" ht="15.75" customHeight="1">
      <c r="A378" s="322"/>
      <c r="B378" s="338" t="s">
        <v>951</v>
      </c>
      <c r="C378" s="339"/>
      <c r="D378" s="339"/>
      <c r="E378" s="339"/>
      <c r="F378" s="324"/>
      <c r="J378" s="322"/>
      <c r="K378" s="338" t="s">
        <v>951</v>
      </c>
      <c r="L378" s="339"/>
      <c r="M378" s="339"/>
      <c r="N378" s="339"/>
      <c r="O378" s="324"/>
    </row>
    <row r="379" ht="15.75" customHeight="1">
      <c r="A379" s="322"/>
      <c r="B379" s="340" t="s">
        <v>953</v>
      </c>
      <c r="C379" s="341" t="s">
        <v>954</v>
      </c>
      <c r="D379" s="341" t="s">
        <v>955</v>
      </c>
      <c r="E379" s="341" t="s">
        <v>35</v>
      </c>
      <c r="F379" s="324"/>
      <c r="J379" s="322"/>
      <c r="K379" s="340" t="s">
        <v>953</v>
      </c>
      <c r="L379" s="341" t="s">
        <v>954</v>
      </c>
      <c r="M379" s="341" t="s">
        <v>955</v>
      </c>
      <c r="N379" s="341" t="s">
        <v>35</v>
      </c>
      <c r="O379" s="324"/>
    </row>
    <row r="380" ht="15.75" customHeight="1">
      <c r="A380" s="322"/>
      <c r="B380" s="139" t="s">
        <v>444</v>
      </c>
      <c r="C380" s="342">
        <v>0.16</v>
      </c>
      <c r="D380" s="343">
        <f>'F&amp;B'!F95/5</f>
        <v>27000</v>
      </c>
      <c r="E380" s="67">
        <f t="shared" ref="E380:E381" si="36">IF(OR(ISBLANK(C380),ISBLANK(D380)),"",D380*C380)</f>
        <v>4320</v>
      </c>
      <c r="F380" s="324"/>
      <c r="J380" s="322"/>
      <c r="K380" s="139" t="s">
        <v>444</v>
      </c>
      <c r="L380" s="342">
        <v>0.16</v>
      </c>
      <c r="M380" s="486">
        <f>'F&amp;B'!F95/5</f>
        <v>27000</v>
      </c>
      <c r="N380" s="67">
        <f t="shared" ref="N380:N381" si="37">IF(OR(ISBLANK(L380),ISBLANK(M380)),"",M380*L380)</f>
        <v>4320</v>
      </c>
      <c r="O380" s="324"/>
    </row>
    <row r="381" ht="15.75" customHeight="1">
      <c r="A381" s="322"/>
      <c r="B381" s="87" t="s">
        <v>200</v>
      </c>
      <c r="C381" s="355">
        <v>1.0</v>
      </c>
      <c r="D381" s="400">
        <f>SAUCES!$D$92</f>
        <v>900.9230769</v>
      </c>
      <c r="E381" s="67">
        <f t="shared" si="36"/>
        <v>900.9230769</v>
      </c>
      <c r="F381" s="324"/>
      <c r="J381" s="322"/>
      <c r="K381" s="87" t="s">
        <v>200</v>
      </c>
      <c r="L381" s="355">
        <v>1.0</v>
      </c>
      <c r="M381" s="400">
        <f>SAUCES!$D$92</f>
        <v>900.9230769</v>
      </c>
      <c r="N381" s="67">
        <f t="shared" si="37"/>
        <v>900.9230769</v>
      </c>
      <c r="O381" s="324"/>
    </row>
    <row r="382" ht="15.75" customHeight="1">
      <c r="A382" s="322"/>
      <c r="B382" s="87"/>
      <c r="C382" s="355"/>
      <c r="D382" s="400"/>
      <c r="E382" s="67"/>
      <c r="F382" s="324"/>
      <c r="J382" s="322"/>
      <c r="K382" s="406"/>
      <c r="L382" s="351"/>
      <c r="M382" s="400"/>
      <c r="N382" s="67"/>
      <c r="O382" s="324"/>
    </row>
    <row r="383" ht="15.75" customHeight="1">
      <c r="A383" s="322"/>
      <c r="B383" s="338" t="s">
        <v>84</v>
      </c>
      <c r="C383" s="358"/>
      <c r="D383" s="358"/>
      <c r="E383" s="359">
        <f>IF(SUM(E380:E382)=0,"",SUM(E380:E382))</f>
        <v>5220.923077</v>
      </c>
      <c r="F383" s="324"/>
      <c r="J383" s="322"/>
      <c r="K383" s="338" t="s">
        <v>84</v>
      </c>
      <c r="L383" s="358"/>
      <c r="M383" s="358"/>
      <c r="N383" s="359">
        <f>IF(SUM(N380:N382)=0,"",SUM(N380:N382))</f>
        <v>5220.923077</v>
      </c>
      <c r="O383" s="324"/>
    </row>
    <row r="384" ht="15.75" customHeight="1">
      <c r="A384" s="322"/>
      <c r="B384" s="360"/>
      <c r="C384" s="360"/>
      <c r="D384" s="360"/>
      <c r="E384" s="361"/>
      <c r="F384" s="324"/>
      <c r="J384" s="322"/>
      <c r="K384" s="360"/>
      <c r="L384" s="360"/>
      <c r="M384" s="360"/>
      <c r="N384" s="361"/>
      <c r="O384" s="324"/>
    </row>
    <row r="385" ht="15.75" customHeight="1">
      <c r="A385" s="322"/>
      <c r="B385" s="362" t="s">
        <v>972</v>
      </c>
      <c r="C385" s="363"/>
      <c r="D385" s="363"/>
      <c r="E385" s="363"/>
      <c r="F385" s="324"/>
      <c r="J385" s="322"/>
      <c r="K385" s="362" t="s">
        <v>972</v>
      </c>
      <c r="L385" s="363"/>
      <c r="M385" s="363"/>
      <c r="N385" s="363"/>
      <c r="O385" s="324"/>
    </row>
    <row r="386" ht="15.75" customHeight="1">
      <c r="A386" s="322"/>
      <c r="B386" s="365" t="s">
        <v>953</v>
      </c>
      <c r="C386" s="366" t="s">
        <v>3</v>
      </c>
      <c r="D386" s="366" t="s">
        <v>975</v>
      </c>
      <c r="E386" s="367" t="s">
        <v>35</v>
      </c>
      <c r="F386" s="324"/>
      <c r="J386" s="322"/>
      <c r="K386" s="365" t="s">
        <v>953</v>
      </c>
      <c r="L386" s="366" t="s">
        <v>3</v>
      </c>
      <c r="M386" s="366" t="s">
        <v>975</v>
      </c>
      <c r="N386" s="367" t="s">
        <v>35</v>
      </c>
      <c r="O386" s="324"/>
    </row>
    <row r="387" ht="15.75" customHeight="1">
      <c r="A387" s="322"/>
      <c r="B387" s="368"/>
      <c r="C387" s="366"/>
      <c r="D387" s="366"/>
      <c r="E387" s="368"/>
      <c r="F387" s="324"/>
      <c r="J387" s="322"/>
      <c r="K387" s="368"/>
      <c r="L387" s="366"/>
      <c r="M387" s="366"/>
      <c r="N387" s="368"/>
      <c r="O387" s="324"/>
    </row>
    <row r="388" ht="15.75" customHeight="1">
      <c r="A388" s="322"/>
      <c r="B388" s="60"/>
      <c r="C388" s="342"/>
      <c r="D388" s="343"/>
      <c r="E388" s="67">
        <f t="shared" ref="E388:E397" si="38">D388*C388</f>
        <v>0</v>
      </c>
      <c r="F388" s="324"/>
      <c r="J388" s="322"/>
      <c r="K388" s="60" t="s">
        <v>870</v>
      </c>
      <c r="L388" s="342">
        <v>0.04</v>
      </c>
      <c r="M388" s="343">
        <f>'F&amp;B'!$F$175</f>
        <v>51750</v>
      </c>
      <c r="N388" s="67">
        <f t="shared" ref="N388:N389" si="39">IF(OR(ISBLANK(L388),ISBLANK(M388)),"",M388*L388)</f>
        <v>2070</v>
      </c>
      <c r="O388" s="324"/>
    </row>
    <row r="389" ht="15.75" customHeight="1">
      <c r="A389" s="322"/>
      <c r="B389" s="75"/>
      <c r="C389" s="370"/>
      <c r="D389" s="371"/>
      <c r="E389" s="67">
        <f t="shared" si="38"/>
        <v>0</v>
      </c>
      <c r="F389" s="324"/>
      <c r="J389" s="322"/>
      <c r="K389" s="75" t="s">
        <v>54</v>
      </c>
      <c r="L389" s="370">
        <v>0.05</v>
      </c>
      <c r="M389" s="371">
        <f>'F&amp;B'!$F$57/15</f>
        <v>9900</v>
      </c>
      <c r="N389" s="67">
        <f t="shared" si="39"/>
        <v>495</v>
      </c>
      <c r="O389" s="324"/>
    </row>
    <row r="390" ht="15.75" customHeight="1">
      <c r="A390" s="322"/>
      <c r="B390" s="75"/>
      <c r="C390" s="370"/>
      <c r="D390" s="463"/>
      <c r="E390" s="67">
        <f t="shared" si="38"/>
        <v>0</v>
      </c>
      <c r="F390" s="324"/>
      <c r="J390" s="322"/>
      <c r="K390" s="75"/>
      <c r="L390" s="370"/>
      <c r="M390" s="463"/>
      <c r="N390" s="67">
        <f t="shared" ref="N390:N397" si="40">M390*L390</f>
        <v>0</v>
      </c>
      <c r="O390" s="324"/>
    </row>
    <row r="391" ht="15.75" customHeight="1">
      <c r="A391" s="322"/>
      <c r="B391" s="75"/>
      <c r="C391" s="346"/>
      <c r="D391" s="371"/>
      <c r="E391" s="67">
        <f t="shared" si="38"/>
        <v>0</v>
      </c>
      <c r="F391" s="324"/>
      <c r="J391" s="322"/>
      <c r="K391" s="75"/>
      <c r="L391" s="346"/>
      <c r="M391" s="371"/>
      <c r="N391" s="67">
        <f t="shared" si="40"/>
        <v>0</v>
      </c>
      <c r="O391" s="324"/>
    </row>
    <row r="392" ht="15.75" customHeight="1">
      <c r="A392" s="322"/>
      <c r="B392" s="75"/>
      <c r="C392" s="346"/>
      <c r="D392" s="371"/>
      <c r="E392" s="67">
        <f t="shared" si="38"/>
        <v>0</v>
      </c>
      <c r="F392" s="324"/>
      <c r="J392" s="322"/>
      <c r="K392" s="75"/>
      <c r="L392" s="346"/>
      <c r="M392" s="371"/>
      <c r="N392" s="67">
        <f t="shared" si="40"/>
        <v>0</v>
      </c>
      <c r="O392" s="324"/>
    </row>
    <row r="393" ht="15.75" customHeight="1">
      <c r="A393" s="322"/>
      <c r="B393" s="75"/>
      <c r="C393" s="346"/>
      <c r="D393" s="371"/>
      <c r="E393" s="67">
        <f t="shared" si="38"/>
        <v>0</v>
      </c>
      <c r="F393" s="324"/>
      <c r="J393" s="322"/>
      <c r="K393" s="75"/>
      <c r="L393" s="346"/>
      <c r="M393" s="371"/>
      <c r="N393" s="67">
        <f t="shared" si="40"/>
        <v>0</v>
      </c>
      <c r="O393" s="324"/>
    </row>
    <row r="394" ht="15.75" customHeight="1">
      <c r="A394" s="322"/>
      <c r="B394" s="75"/>
      <c r="C394" s="342"/>
      <c r="D394" s="343"/>
      <c r="E394" s="67">
        <f t="shared" si="38"/>
        <v>0</v>
      </c>
      <c r="F394" s="324"/>
      <c r="J394" s="322"/>
      <c r="K394" s="75"/>
      <c r="L394" s="342"/>
      <c r="M394" s="343"/>
      <c r="N394" s="67">
        <f t="shared" si="40"/>
        <v>0</v>
      </c>
      <c r="O394" s="324"/>
    </row>
    <row r="395" ht="15.75" customHeight="1">
      <c r="A395" s="322"/>
      <c r="B395" s="348"/>
      <c r="C395" s="346"/>
      <c r="D395" s="373"/>
      <c r="E395" s="67">
        <f t="shared" si="38"/>
        <v>0</v>
      </c>
      <c r="F395" s="324"/>
      <c r="J395" s="322"/>
      <c r="K395" s="348"/>
      <c r="L395" s="346"/>
      <c r="M395" s="373"/>
      <c r="N395" s="67">
        <f t="shared" si="40"/>
        <v>0</v>
      </c>
      <c r="O395" s="324"/>
    </row>
    <row r="396" ht="15.75" customHeight="1">
      <c r="A396" s="322"/>
      <c r="B396" s="348"/>
      <c r="C396" s="346"/>
      <c r="D396" s="373"/>
      <c r="E396" s="67">
        <f t="shared" si="38"/>
        <v>0</v>
      </c>
      <c r="F396" s="324"/>
      <c r="J396" s="322"/>
      <c r="K396" s="348"/>
      <c r="L396" s="346"/>
      <c r="M396" s="373"/>
      <c r="N396" s="67">
        <f t="shared" si="40"/>
        <v>0</v>
      </c>
      <c r="O396" s="324"/>
    </row>
    <row r="397" ht="15.75" customHeight="1">
      <c r="A397" s="322"/>
      <c r="B397" s="354"/>
      <c r="C397" s="355"/>
      <c r="D397" s="356"/>
      <c r="E397" s="67">
        <f t="shared" si="38"/>
        <v>0</v>
      </c>
      <c r="F397" s="324"/>
      <c r="J397" s="322"/>
      <c r="K397" s="354"/>
      <c r="L397" s="355"/>
      <c r="M397" s="356"/>
      <c r="N397" s="67">
        <f t="shared" si="40"/>
        <v>0</v>
      </c>
      <c r="O397" s="324"/>
    </row>
    <row r="398" ht="15.75" customHeight="1">
      <c r="A398" s="322"/>
      <c r="B398" s="362" t="s">
        <v>84</v>
      </c>
      <c r="C398" s="374"/>
      <c r="D398" s="374"/>
      <c r="E398" s="375" t="str">
        <f>IF(SUM(E388:E397)=0,"",SUM(E388:E397))</f>
        <v/>
      </c>
      <c r="F398" s="324"/>
      <c r="J398" s="322"/>
      <c r="K398" s="362" t="s">
        <v>84</v>
      </c>
      <c r="L398" s="374"/>
      <c r="M398" s="374"/>
      <c r="N398" s="375">
        <f>IF(SUM(N388:N397)=0,"",SUM(N388:N397))</f>
        <v>2565</v>
      </c>
      <c r="O398" s="324"/>
    </row>
    <row r="399" ht="15.75" customHeight="1">
      <c r="A399" s="322"/>
      <c r="B399" s="360"/>
      <c r="C399" s="360"/>
      <c r="D399" s="360"/>
      <c r="E399" s="361"/>
      <c r="F399" s="324"/>
      <c r="J399" s="322"/>
      <c r="K399" s="360"/>
      <c r="L399" s="360"/>
      <c r="M399" s="360"/>
      <c r="N399" s="361"/>
      <c r="O399" s="324"/>
    </row>
    <row r="400" ht="15.75" customHeight="1">
      <c r="A400" s="322"/>
      <c r="B400" s="34" t="s">
        <v>17</v>
      </c>
      <c r="C400" s="35"/>
      <c r="D400" s="35"/>
      <c r="E400" s="35"/>
      <c r="F400" s="324"/>
      <c r="J400" s="322"/>
      <c r="K400" s="34" t="s">
        <v>17</v>
      </c>
      <c r="L400" s="35"/>
      <c r="M400" s="35"/>
      <c r="N400" s="35"/>
      <c r="O400" s="324"/>
    </row>
    <row r="401" ht="15.75" customHeight="1">
      <c r="A401" s="322"/>
      <c r="B401" s="52" t="s">
        <v>42</v>
      </c>
      <c r="C401" s="54"/>
      <c r="D401" s="54"/>
      <c r="E401" s="56" t="s">
        <v>35</v>
      </c>
      <c r="F401" s="324"/>
      <c r="J401" s="322"/>
      <c r="K401" s="52" t="s">
        <v>42</v>
      </c>
      <c r="L401" s="54"/>
      <c r="M401" s="54"/>
      <c r="N401" s="56" t="s">
        <v>35</v>
      </c>
      <c r="O401" s="324"/>
    </row>
    <row r="402" ht="15.75" customHeight="1">
      <c r="A402" s="322"/>
      <c r="B402" s="60" t="s">
        <v>40</v>
      </c>
      <c r="C402" s="343">
        <f>'UTL COST'!$B$3</f>
        <v>369000</v>
      </c>
      <c r="D402" s="379">
        <f>'UTL COST'!$C$3</f>
        <v>0.0075</v>
      </c>
      <c r="E402" s="67">
        <v>0.0</v>
      </c>
      <c r="F402" s="324"/>
      <c r="J402" s="322"/>
      <c r="K402" s="60" t="s">
        <v>40</v>
      </c>
      <c r="L402" s="343">
        <f>'UTL COST'!$B$3</f>
        <v>369000</v>
      </c>
      <c r="M402" s="379">
        <f>'UTL COST'!$C$3</f>
        <v>0.0075</v>
      </c>
      <c r="N402" s="67">
        <v>0.0</v>
      </c>
      <c r="O402" s="324"/>
    </row>
    <row r="403" ht="15.75" customHeight="1">
      <c r="A403" s="322"/>
      <c r="B403" s="75" t="s">
        <v>51</v>
      </c>
      <c r="C403" s="371" t="str">
        <f>'UTL COST'!$B$4</f>
        <v>#REF!</v>
      </c>
      <c r="D403" s="382">
        <f>'UTL COST'!$C$4</f>
        <v>7000</v>
      </c>
      <c r="E403" s="76" t="str">
        <f>'UTL COST'!$D$4</f>
        <v>#REF!</v>
      </c>
      <c r="F403" s="324"/>
      <c r="J403" s="322"/>
      <c r="K403" s="75" t="s">
        <v>51</v>
      </c>
      <c r="L403" s="371" t="str">
        <f>'UTL COST'!$B$4</f>
        <v>#REF!</v>
      </c>
      <c r="M403" s="382">
        <f>'UTL COST'!$C$4</f>
        <v>7000</v>
      </c>
      <c r="N403" s="76" t="str">
        <f>'UTL COST'!$D$4</f>
        <v>#REF!</v>
      </c>
      <c r="O403" s="324"/>
    </row>
    <row r="404" ht="15.75" customHeight="1">
      <c r="A404" s="322"/>
      <c r="B404" s="75" t="s">
        <v>59</v>
      </c>
      <c r="C404" s="371" t="str">
        <f>'UTL COST'!$B$5</f>
        <v>#REF!</v>
      </c>
      <c r="D404" s="382">
        <f>'UTL COST'!$C$5</f>
        <v>45000</v>
      </c>
      <c r="E404" s="76" t="str">
        <f>'UTL COST'!$D$5</f>
        <v>#REF!</v>
      </c>
      <c r="F404" s="324"/>
      <c r="J404" s="322"/>
      <c r="K404" s="75" t="s">
        <v>59</v>
      </c>
      <c r="L404" s="371" t="str">
        <f>'UTL COST'!$B$5</f>
        <v>#REF!</v>
      </c>
      <c r="M404" s="382">
        <f>'UTL COST'!$C$5</f>
        <v>45000</v>
      </c>
      <c r="N404" s="76" t="str">
        <f>'UTL COST'!$D$5</f>
        <v>#REF!</v>
      </c>
      <c r="O404" s="324"/>
    </row>
    <row r="405" ht="15.75" customHeight="1">
      <c r="A405" s="322"/>
      <c r="B405" s="87" t="s">
        <v>78</v>
      </c>
      <c r="C405" s="371" t="str">
        <f>'UTL COST'!$B$6</f>
        <v>#REF!</v>
      </c>
      <c r="D405" s="383">
        <f>'UTL COST'!$C$6</f>
        <v>525</v>
      </c>
      <c r="E405" s="89">
        <v>0.1</v>
      </c>
      <c r="F405" s="324"/>
      <c r="J405" s="322"/>
      <c r="K405" s="87" t="s">
        <v>78</v>
      </c>
      <c r="L405" s="371" t="str">
        <f>'UTL COST'!$B$6</f>
        <v>#REF!</v>
      </c>
      <c r="M405" s="383">
        <f>'UTL COST'!$C$6</f>
        <v>525</v>
      </c>
      <c r="N405" s="89">
        <v>0.1</v>
      </c>
      <c r="O405" s="324"/>
    </row>
    <row r="406" ht="15.75" customHeight="1">
      <c r="A406" s="322"/>
      <c r="B406" s="34" t="s">
        <v>84</v>
      </c>
      <c r="C406" s="102"/>
      <c r="D406" s="102"/>
      <c r="E406" s="104" t="str">
        <f>IF(SUM(E402:E405)=0,"",SUM(E402:E405))</f>
        <v>#REF!</v>
      </c>
      <c r="F406" s="324"/>
      <c r="J406" s="322"/>
      <c r="K406" s="34" t="s">
        <v>84</v>
      </c>
      <c r="L406" s="102"/>
      <c r="M406" s="102"/>
      <c r="N406" s="104" t="str">
        <f>IF(SUM(N402:N405)=0,"",SUM(N402:N405))</f>
        <v>#REF!</v>
      </c>
      <c r="O406" s="324"/>
    </row>
    <row r="407" ht="15.75" customHeight="1">
      <c r="A407" s="322"/>
      <c r="B407" s="360"/>
      <c r="C407" s="360"/>
      <c r="D407" s="360"/>
      <c r="E407" s="361"/>
      <c r="F407" s="324"/>
      <c r="J407" s="322"/>
      <c r="K407" s="360"/>
      <c r="L407" s="360"/>
      <c r="M407" s="360"/>
      <c r="N407" s="361"/>
      <c r="O407" s="324"/>
    </row>
    <row r="408" ht="15.75" customHeight="1"/>
    <row r="409" ht="15.75" customHeight="1"/>
    <row r="410" ht="15.75" customHeight="1">
      <c r="A410" s="322"/>
      <c r="B410" s="322"/>
      <c r="C410" s="322"/>
      <c r="D410" s="322"/>
      <c r="E410" s="323"/>
      <c r="F410" s="324"/>
      <c r="J410" s="322"/>
      <c r="K410" s="322"/>
      <c r="L410" s="322"/>
      <c r="M410" s="322"/>
      <c r="N410" s="323"/>
      <c r="O410" s="324"/>
    </row>
    <row r="411" ht="15.75" customHeight="1">
      <c r="A411" s="322"/>
      <c r="B411" s="325"/>
      <c r="C411" s="322"/>
      <c r="D411" s="322"/>
      <c r="E411" s="323"/>
      <c r="F411" s="326"/>
      <c r="J411" s="322"/>
      <c r="K411" s="325"/>
      <c r="L411" s="322"/>
      <c r="M411" s="322"/>
      <c r="N411" s="323"/>
      <c r="O411" s="326"/>
    </row>
    <row r="412" ht="15.75" customHeight="1">
      <c r="A412" s="322"/>
      <c r="B412" s="327" t="s">
        <v>931</v>
      </c>
      <c r="C412" s="330" t="s">
        <v>1338</v>
      </c>
      <c r="D412" s="329"/>
      <c r="E412" s="323"/>
      <c r="F412" s="326"/>
      <c r="J412" s="322"/>
      <c r="K412" s="327" t="s">
        <v>931</v>
      </c>
      <c r="L412" s="330" t="s">
        <v>1340</v>
      </c>
      <c r="M412" s="329"/>
      <c r="N412" s="323"/>
      <c r="O412" s="326"/>
    </row>
    <row r="413" ht="15.75" customHeight="1">
      <c r="A413" s="322"/>
      <c r="B413" s="325"/>
      <c r="C413" s="322"/>
      <c r="D413" s="322"/>
      <c r="E413" s="323"/>
      <c r="F413" s="326"/>
      <c r="J413" s="322"/>
      <c r="K413" s="325"/>
      <c r="L413" s="322"/>
      <c r="M413" s="322"/>
      <c r="N413" s="323"/>
      <c r="O413" s="326"/>
    </row>
    <row r="414" ht="15.75" customHeight="1">
      <c r="A414" s="322"/>
      <c r="B414" s="327" t="s">
        <v>935</v>
      </c>
      <c r="C414" s="331">
        <f>E414*90000</f>
        <v>810000</v>
      </c>
      <c r="D414" s="329"/>
      <c r="E414" s="394">
        <v>9.0</v>
      </c>
      <c r="F414" s="326"/>
      <c r="J414" s="322"/>
      <c r="K414" s="327" t="s">
        <v>935</v>
      </c>
      <c r="L414" s="331">
        <f>N414*90000</f>
        <v>1350000</v>
      </c>
      <c r="M414" s="329"/>
      <c r="N414" s="394">
        <v>15.0</v>
      </c>
      <c r="O414" s="326"/>
    </row>
    <row r="415" ht="15.75" customHeight="1">
      <c r="A415" s="322"/>
      <c r="B415" s="327"/>
      <c r="C415" s="332"/>
      <c r="D415" s="332"/>
      <c r="E415" s="323"/>
      <c r="F415" s="326"/>
      <c r="J415" s="322"/>
      <c r="K415" s="327"/>
      <c r="L415" s="332"/>
      <c r="M415" s="332"/>
      <c r="N415" s="323"/>
      <c r="O415" s="326"/>
    </row>
    <row r="416" ht="15.75" customHeight="1">
      <c r="A416" s="322"/>
      <c r="B416" s="327" t="s">
        <v>939</v>
      </c>
      <c r="C416" s="333" t="str">
        <f>IF(SUM(E428,E443,E451)=0,"",SUM(E428,E443,E451))</f>
        <v>#REF!</v>
      </c>
      <c r="D416" s="321"/>
      <c r="E416" s="323" t="str">
        <f>C416/90000</f>
        <v>#REF!</v>
      </c>
      <c r="F416" s="326"/>
      <c r="J416" s="322"/>
      <c r="K416" s="327" t="s">
        <v>939</v>
      </c>
      <c r="L416" s="333" t="str">
        <f>IF(SUM(N428,N443,N451)=0,"",SUM(N428,N443,N451))</f>
        <v>#REF!</v>
      </c>
      <c r="M416" s="321"/>
      <c r="N416" s="323" t="str">
        <f>L416/90000</f>
        <v>#REF!</v>
      </c>
      <c r="O416" s="326"/>
    </row>
    <row r="417" ht="15.75" customHeight="1">
      <c r="A417" s="322"/>
      <c r="B417" s="327"/>
      <c r="C417" s="334"/>
      <c r="D417" s="334"/>
      <c r="E417" s="323"/>
      <c r="F417" s="326"/>
      <c r="J417" s="322"/>
      <c r="K417" s="327"/>
      <c r="L417" s="334"/>
      <c r="M417" s="334"/>
      <c r="N417" s="323"/>
      <c r="O417" s="326"/>
    </row>
    <row r="418" ht="15.75" customHeight="1">
      <c r="A418" s="322"/>
      <c r="B418" s="327" t="s">
        <v>946</v>
      </c>
      <c r="C418" s="335" t="str">
        <f>IF(C416="","",IF(ISBLANK(C414),"",C416/C414))</f>
        <v>#REF!</v>
      </c>
      <c r="D418" s="321"/>
      <c r="E418" s="323"/>
      <c r="F418" s="326"/>
      <c r="J418" s="322"/>
      <c r="K418" s="327" t="s">
        <v>946</v>
      </c>
      <c r="L418" s="335" t="str">
        <f>IF(L416="","",IF(ISBLANK(L414),"",L416/L414))</f>
        <v>#REF!</v>
      </c>
      <c r="M418" s="321"/>
      <c r="N418" s="323"/>
      <c r="O418" s="326"/>
    </row>
    <row r="419" ht="15.75" customHeight="1">
      <c r="A419" s="322"/>
      <c r="B419" s="327"/>
      <c r="C419" s="334"/>
      <c r="D419" s="334"/>
      <c r="E419" s="323"/>
      <c r="F419" s="326"/>
      <c r="J419" s="322"/>
      <c r="K419" s="327"/>
      <c r="L419" s="334"/>
      <c r="M419" s="334"/>
      <c r="N419" s="323"/>
      <c r="O419" s="326"/>
    </row>
    <row r="420" ht="15.75" customHeight="1">
      <c r="A420" s="322"/>
      <c r="B420" s="327" t="s">
        <v>950</v>
      </c>
      <c r="C420" s="333" t="str">
        <f>C414-C416</f>
        <v>#REF!</v>
      </c>
      <c r="D420" s="321"/>
      <c r="E420" s="323"/>
      <c r="F420" s="326"/>
      <c r="J420" s="322"/>
      <c r="K420" s="327" t="s">
        <v>950</v>
      </c>
      <c r="L420" s="333" t="str">
        <f>L414-L416</f>
        <v>#REF!</v>
      </c>
      <c r="M420" s="321"/>
      <c r="N420" s="323"/>
      <c r="O420" s="326"/>
    </row>
    <row r="421" ht="15.75" customHeight="1">
      <c r="A421" s="322"/>
      <c r="B421" s="322"/>
      <c r="C421" s="322"/>
      <c r="D421" s="322"/>
      <c r="E421" s="323"/>
      <c r="F421" s="324"/>
      <c r="J421" s="322"/>
      <c r="K421" s="322"/>
      <c r="L421" s="322"/>
      <c r="M421" s="322"/>
      <c r="N421" s="323"/>
      <c r="O421" s="324"/>
    </row>
    <row r="422" ht="15.75" customHeight="1">
      <c r="A422" s="322"/>
      <c r="B422" s="322"/>
      <c r="C422" s="322"/>
      <c r="D422" s="322"/>
      <c r="E422" s="337"/>
      <c r="F422" s="324"/>
      <c r="J422" s="322"/>
      <c r="K422" s="322"/>
      <c r="L422" s="322"/>
      <c r="M422" s="322"/>
      <c r="N422" s="337"/>
      <c r="O422" s="324"/>
    </row>
    <row r="423" ht="15.75" customHeight="1">
      <c r="A423" s="322"/>
      <c r="B423" s="338" t="s">
        <v>951</v>
      </c>
      <c r="C423" s="339"/>
      <c r="D423" s="339"/>
      <c r="E423" s="339"/>
      <c r="F423" s="324"/>
      <c r="J423" s="322"/>
      <c r="K423" s="338" t="s">
        <v>951</v>
      </c>
      <c r="L423" s="339"/>
      <c r="M423" s="339"/>
      <c r="N423" s="339"/>
      <c r="O423" s="324"/>
    </row>
    <row r="424" ht="15.75" customHeight="1">
      <c r="A424" s="322"/>
      <c r="B424" s="340" t="s">
        <v>953</v>
      </c>
      <c r="C424" s="341" t="s">
        <v>954</v>
      </c>
      <c r="D424" s="341" t="s">
        <v>955</v>
      </c>
      <c r="E424" s="341" t="s">
        <v>35</v>
      </c>
      <c r="F424" s="324"/>
      <c r="J424" s="322"/>
      <c r="K424" s="340" t="s">
        <v>953</v>
      </c>
      <c r="L424" s="341" t="s">
        <v>954</v>
      </c>
      <c r="M424" s="341" t="s">
        <v>955</v>
      </c>
      <c r="N424" s="341" t="s">
        <v>35</v>
      </c>
      <c r="O424" s="324"/>
    </row>
    <row r="425" ht="15.75" customHeight="1">
      <c r="A425" s="322"/>
      <c r="B425" s="60" t="s">
        <v>1147</v>
      </c>
      <c r="C425" s="344">
        <v>0.1</v>
      </c>
      <c r="D425" s="343">
        <f>'F&amp;B'!$F$90</f>
        <v>108000</v>
      </c>
      <c r="E425" s="67">
        <f t="shared" ref="E425:E427" si="41">IF(OR(ISBLANK(C425),ISBLANK(D425)),"",D425*C425)</f>
        <v>10800</v>
      </c>
      <c r="F425" s="324"/>
      <c r="J425" s="322"/>
      <c r="K425" s="139" t="s">
        <v>1342</v>
      </c>
      <c r="L425" s="344">
        <v>0.111</v>
      </c>
      <c r="M425" s="343">
        <f>'F&amp;B'!F89</f>
        <v>99990</v>
      </c>
      <c r="N425" s="67">
        <f t="shared" ref="N425:N427" si="42">IF(OR(ISBLANK(L425),ISBLANK(M425)),"",M425*L425)</f>
        <v>11098.89</v>
      </c>
      <c r="O425" s="324"/>
    </row>
    <row r="426" ht="15.75" customHeight="1">
      <c r="A426" s="322"/>
      <c r="B426" s="87" t="s">
        <v>1262</v>
      </c>
      <c r="C426" s="412">
        <v>1.0</v>
      </c>
      <c r="D426" s="408">
        <f>'F&amp;B'!$F$16/40</f>
        <v>11925</v>
      </c>
      <c r="E426" s="89">
        <f t="shared" si="41"/>
        <v>11925</v>
      </c>
      <c r="F426" s="324"/>
      <c r="J426" s="322"/>
      <c r="K426" s="406" t="s">
        <v>870</v>
      </c>
      <c r="L426" s="407">
        <v>0.1</v>
      </c>
      <c r="M426" s="408">
        <f>T27</f>
        <v>51750</v>
      </c>
      <c r="N426" s="89">
        <f t="shared" si="42"/>
        <v>5175</v>
      </c>
      <c r="O426" s="324"/>
    </row>
    <row r="427" ht="15.75" customHeight="1">
      <c r="A427" s="322"/>
      <c r="B427" s="406" t="s">
        <v>718</v>
      </c>
      <c r="C427" s="351">
        <v>0.03</v>
      </c>
      <c r="D427" s="400">
        <f>SAUCES!D172</f>
        <v>65027.16346</v>
      </c>
      <c r="E427" s="67">
        <f t="shared" si="41"/>
        <v>1950.814904</v>
      </c>
      <c r="F427" s="324"/>
      <c r="J427" s="322"/>
      <c r="K427" s="406" t="s">
        <v>225</v>
      </c>
      <c r="L427" s="407">
        <v>2.0</v>
      </c>
      <c r="M427" s="400">
        <f>D200</f>
        <v>1299</v>
      </c>
      <c r="N427" s="67">
        <f t="shared" si="42"/>
        <v>2598</v>
      </c>
      <c r="O427" s="324"/>
    </row>
    <row r="428" ht="15.75" customHeight="1">
      <c r="A428" s="322"/>
      <c r="B428" s="338" t="s">
        <v>84</v>
      </c>
      <c r="C428" s="358"/>
      <c r="D428" s="358"/>
      <c r="E428" s="359">
        <f>IF(SUM(E425:E427)=0,"",SUM(E425:E427))</f>
        <v>24675.8149</v>
      </c>
      <c r="F428" s="324"/>
      <c r="J428" s="322"/>
      <c r="K428" s="338" t="s">
        <v>84</v>
      </c>
      <c r="L428" s="358"/>
      <c r="M428" s="358"/>
      <c r="N428" s="359">
        <f>IF(SUM(N425:N427)=0,"",SUM(N425:N427))</f>
        <v>18871.89</v>
      </c>
      <c r="O428" s="324"/>
    </row>
    <row r="429" ht="15.75" customHeight="1">
      <c r="A429" s="322"/>
      <c r="B429" s="360"/>
      <c r="C429" s="360"/>
      <c r="D429" s="360"/>
      <c r="E429" s="361"/>
      <c r="F429" s="324"/>
      <c r="J429" s="322"/>
      <c r="K429" s="360"/>
      <c r="L429" s="360"/>
      <c r="M429" s="360"/>
      <c r="N429" s="361"/>
      <c r="O429" s="324"/>
    </row>
    <row r="430" ht="15.75" customHeight="1">
      <c r="A430" s="322"/>
      <c r="B430" s="362" t="s">
        <v>972</v>
      </c>
      <c r="C430" s="363"/>
      <c r="D430" s="363"/>
      <c r="E430" s="363"/>
      <c r="F430" s="324"/>
      <c r="J430" s="322"/>
      <c r="K430" s="362" t="s">
        <v>972</v>
      </c>
      <c r="L430" s="363"/>
      <c r="M430" s="363"/>
      <c r="N430" s="363"/>
      <c r="O430" s="324"/>
    </row>
    <row r="431" ht="15.75" customHeight="1">
      <c r="A431" s="322"/>
      <c r="B431" s="365" t="s">
        <v>953</v>
      </c>
      <c r="C431" s="366" t="s">
        <v>3</v>
      </c>
      <c r="D431" s="366" t="s">
        <v>975</v>
      </c>
      <c r="E431" s="367" t="s">
        <v>35</v>
      </c>
      <c r="F431" s="324"/>
      <c r="J431" s="322"/>
      <c r="K431" s="365" t="s">
        <v>953</v>
      </c>
      <c r="L431" s="366" t="s">
        <v>3</v>
      </c>
      <c r="M431" s="366" t="s">
        <v>975</v>
      </c>
      <c r="N431" s="367" t="s">
        <v>35</v>
      </c>
      <c r="O431" s="324"/>
    </row>
    <row r="432" ht="15.75" customHeight="1">
      <c r="A432" s="322"/>
      <c r="B432" s="368"/>
      <c r="C432" s="366"/>
      <c r="D432" s="366"/>
      <c r="E432" s="368"/>
      <c r="F432" s="324"/>
      <c r="J432" s="322"/>
      <c r="K432" s="368"/>
      <c r="L432" s="366"/>
      <c r="M432" s="366"/>
      <c r="N432" s="368"/>
      <c r="O432" s="324"/>
    </row>
    <row r="433" ht="15.75" customHeight="1">
      <c r="A433" s="322"/>
      <c r="B433" s="139" t="s">
        <v>1225</v>
      </c>
      <c r="C433" s="344">
        <v>0.03</v>
      </c>
      <c r="D433" s="343">
        <f>'F&amp;B'!$F$302</f>
        <v>10800</v>
      </c>
      <c r="E433" s="67">
        <f t="shared" ref="E433:E442" si="43">D433*C433</f>
        <v>324</v>
      </c>
      <c r="F433" s="324"/>
      <c r="J433" s="322"/>
      <c r="K433" s="139" t="s">
        <v>444</v>
      </c>
      <c r="L433" s="344">
        <v>0.16</v>
      </c>
      <c r="M433" s="343">
        <f>D380</f>
        <v>27000</v>
      </c>
      <c r="N433" s="67">
        <f t="shared" ref="N433:N442" si="44">M433*L433</f>
        <v>4320</v>
      </c>
      <c r="O433" s="324"/>
    </row>
    <row r="434" ht="15.75" customHeight="1">
      <c r="A434" s="322"/>
      <c r="B434" s="75" t="s">
        <v>1229</v>
      </c>
      <c r="C434" s="370">
        <v>0.06</v>
      </c>
      <c r="D434" s="371">
        <f>'F&amp;B'!$F$279</f>
        <v>7200</v>
      </c>
      <c r="E434" s="67">
        <f t="shared" si="43"/>
        <v>432</v>
      </c>
      <c r="F434" s="324"/>
      <c r="J434" s="322"/>
      <c r="K434" s="228" t="s">
        <v>1054</v>
      </c>
      <c r="L434" s="405">
        <v>0.5</v>
      </c>
      <c r="M434" s="371">
        <f>'F&amp;B'!F63</f>
        <v>8910</v>
      </c>
      <c r="N434" s="67">
        <f t="shared" si="44"/>
        <v>4455</v>
      </c>
      <c r="O434" s="324"/>
    </row>
    <row r="435" ht="15.75" customHeight="1">
      <c r="A435" s="322"/>
      <c r="B435" s="75"/>
      <c r="C435" s="370"/>
      <c r="D435" s="371"/>
      <c r="E435" s="67">
        <f t="shared" si="43"/>
        <v>0</v>
      </c>
      <c r="F435" s="324"/>
      <c r="J435" s="322"/>
      <c r="K435" s="228" t="s">
        <v>1348</v>
      </c>
      <c r="L435" s="405">
        <v>0.15</v>
      </c>
      <c r="M435" s="371">
        <f>D290</f>
        <v>44550</v>
      </c>
      <c r="N435" s="67">
        <f t="shared" si="44"/>
        <v>6682.5</v>
      </c>
      <c r="O435" s="324"/>
    </row>
    <row r="436" ht="15.75" customHeight="1">
      <c r="A436" s="322"/>
      <c r="B436" s="75"/>
      <c r="C436" s="346"/>
      <c r="D436" s="371"/>
      <c r="E436" s="67">
        <f t="shared" si="43"/>
        <v>0</v>
      </c>
      <c r="F436" s="324"/>
      <c r="J436" s="322"/>
      <c r="K436" s="228" t="s">
        <v>1349</v>
      </c>
      <c r="L436" s="405">
        <v>0.2</v>
      </c>
      <c r="M436" s="371">
        <f>D434</f>
        <v>7200</v>
      </c>
      <c r="N436" s="67">
        <f t="shared" si="44"/>
        <v>1440</v>
      </c>
      <c r="O436" s="324"/>
    </row>
    <row r="437" ht="15.75" customHeight="1">
      <c r="A437" s="322"/>
      <c r="B437" s="75"/>
      <c r="C437" s="346"/>
      <c r="D437" s="371"/>
      <c r="E437" s="67">
        <f t="shared" si="43"/>
        <v>0</v>
      </c>
      <c r="F437" s="324"/>
      <c r="J437" s="322"/>
      <c r="K437" s="228" t="s">
        <v>1062</v>
      </c>
      <c r="L437" s="405">
        <v>2.0</v>
      </c>
      <c r="M437" s="371">
        <f>D201</f>
        <v>1091.25</v>
      </c>
      <c r="N437" s="67">
        <f t="shared" si="44"/>
        <v>2182.5</v>
      </c>
      <c r="O437" s="324"/>
    </row>
    <row r="438" ht="15.75" customHeight="1">
      <c r="A438" s="322"/>
      <c r="B438" s="75"/>
      <c r="C438" s="370"/>
      <c r="D438" s="371"/>
      <c r="E438" s="67">
        <f t="shared" si="43"/>
        <v>0</v>
      </c>
      <c r="F438" s="324"/>
      <c r="J438" s="322"/>
      <c r="K438" s="75"/>
      <c r="L438" s="370"/>
      <c r="M438" s="371"/>
      <c r="N438" s="67">
        <f t="shared" si="44"/>
        <v>0</v>
      </c>
      <c r="O438" s="324"/>
    </row>
    <row r="439" ht="15.75" customHeight="1">
      <c r="A439" s="322"/>
      <c r="B439" s="75"/>
      <c r="C439" s="346"/>
      <c r="D439" s="371"/>
      <c r="E439" s="67">
        <f t="shared" si="43"/>
        <v>0</v>
      </c>
      <c r="F439" s="324"/>
      <c r="J439" s="322"/>
      <c r="K439" s="75"/>
      <c r="L439" s="346"/>
      <c r="M439" s="371"/>
      <c r="N439" s="67">
        <f t="shared" si="44"/>
        <v>0</v>
      </c>
      <c r="O439" s="324"/>
    </row>
    <row r="440" ht="15.75" customHeight="1">
      <c r="A440" s="322"/>
      <c r="B440" s="75"/>
      <c r="C440" s="342"/>
      <c r="D440" s="343"/>
      <c r="E440" s="67">
        <f t="shared" si="43"/>
        <v>0</v>
      </c>
      <c r="F440" s="324"/>
      <c r="J440" s="322"/>
      <c r="K440" s="75"/>
      <c r="L440" s="342"/>
      <c r="M440" s="343"/>
      <c r="N440" s="67">
        <f t="shared" si="44"/>
        <v>0</v>
      </c>
      <c r="O440" s="324"/>
    </row>
    <row r="441" ht="15.75" customHeight="1">
      <c r="A441" s="322"/>
      <c r="B441" s="348"/>
      <c r="C441" s="346"/>
      <c r="D441" s="373"/>
      <c r="E441" s="67">
        <f t="shared" si="43"/>
        <v>0</v>
      </c>
      <c r="F441" s="324"/>
      <c r="J441" s="322"/>
      <c r="K441" s="348"/>
      <c r="L441" s="346"/>
      <c r="M441" s="373"/>
      <c r="N441" s="67">
        <f t="shared" si="44"/>
        <v>0</v>
      </c>
      <c r="O441" s="324"/>
    </row>
    <row r="442" ht="15.75" customHeight="1">
      <c r="A442" s="322"/>
      <c r="B442" s="354"/>
      <c r="C442" s="355"/>
      <c r="D442" s="356"/>
      <c r="E442" s="67">
        <f t="shared" si="43"/>
        <v>0</v>
      </c>
      <c r="F442" s="324"/>
      <c r="J442" s="322"/>
      <c r="K442" s="354"/>
      <c r="L442" s="355"/>
      <c r="M442" s="356"/>
      <c r="N442" s="67">
        <f t="shared" si="44"/>
        <v>0</v>
      </c>
      <c r="O442" s="324"/>
    </row>
    <row r="443" ht="15.75" customHeight="1">
      <c r="A443" s="322"/>
      <c r="B443" s="362" t="s">
        <v>84</v>
      </c>
      <c r="C443" s="374"/>
      <c r="D443" s="374"/>
      <c r="E443" s="375">
        <f>IF(SUM(E433:E442)=0,"",SUM(E433:E442))</f>
        <v>756</v>
      </c>
      <c r="F443" s="324"/>
      <c r="J443" s="322"/>
      <c r="K443" s="362" t="s">
        <v>84</v>
      </c>
      <c r="L443" s="374"/>
      <c r="M443" s="374"/>
      <c r="N443" s="375">
        <f>IF(SUM(N433:N442)=0,"",SUM(N433:N442))</f>
        <v>19080</v>
      </c>
      <c r="O443" s="324"/>
    </row>
    <row r="444" ht="15.75" customHeight="1">
      <c r="A444" s="322"/>
      <c r="B444" s="360"/>
      <c r="C444" s="360"/>
      <c r="D444" s="360"/>
      <c r="E444" s="361"/>
      <c r="F444" s="324"/>
      <c r="J444" s="322"/>
      <c r="K444" s="360"/>
      <c r="L444" s="360"/>
      <c r="M444" s="360"/>
      <c r="N444" s="361"/>
      <c r="O444" s="324"/>
    </row>
    <row r="445" ht="15.75" customHeight="1">
      <c r="A445" s="322"/>
      <c r="B445" s="34" t="s">
        <v>17</v>
      </c>
      <c r="C445" s="35"/>
      <c r="D445" s="35"/>
      <c r="E445" s="35"/>
      <c r="F445" s="324"/>
      <c r="J445" s="322"/>
      <c r="K445" s="34" t="s">
        <v>17</v>
      </c>
      <c r="L445" s="35"/>
      <c r="M445" s="35"/>
      <c r="N445" s="35"/>
      <c r="O445" s="324"/>
    </row>
    <row r="446" ht="15.75" customHeight="1">
      <c r="A446" s="322"/>
      <c r="B446" s="52" t="s">
        <v>42</v>
      </c>
      <c r="C446" s="54"/>
      <c r="D446" s="54"/>
      <c r="E446" s="56" t="s">
        <v>35</v>
      </c>
      <c r="F446" s="324"/>
      <c r="J446" s="322"/>
      <c r="K446" s="52" t="s">
        <v>42</v>
      </c>
      <c r="L446" s="54"/>
      <c r="M446" s="54"/>
      <c r="N446" s="56" t="s">
        <v>35</v>
      </c>
      <c r="O446" s="324"/>
    </row>
    <row r="447" ht="15.75" customHeight="1">
      <c r="A447" s="322"/>
      <c r="B447" s="60" t="s">
        <v>40</v>
      </c>
      <c r="C447" s="343">
        <f>'UTL COST'!$B$3</f>
        <v>369000</v>
      </c>
      <c r="D447" s="379">
        <f>'UTL COST'!$C$3</f>
        <v>0.0075</v>
      </c>
      <c r="E447" s="67">
        <v>0.0</v>
      </c>
      <c r="F447" s="324"/>
      <c r="J447" s="322"/>
      <c r="K447" s="60" t="s">
        <v>40</v>
      </c>
      <c r="L447" s="343">
        <f>'UTL COST'!$B$3</f>
        <v>369000</v>
      </c>
      <c r="M447" s="379">
        <f>'UTL COST'!$C$3</f>
        <v>0.0075</v>
      </c>
      <c r="N447" s="67">
        <v>0.0</v>
      </c>
      <c r="O447" s="324"/>
    </row>
    <row r="448" ht="15.75" customHeight="1">
      <c r="A448" s="322"/>
      <c r="B448" s="75" t="s">
        <v>51</v>
      </c>
      <c r="C448" s="371" t="str">
        <f>'UTL COST'!$B$4</f>
        <v>#REF!</v>
      </c>
      <c r="D448" s="382">
        <f>'UTL COST'!$C$4</f>
        <v>7000</v>
      </c>
      <c r="E448" s="76" t="str">
        <f>'UTL COST'!$D$4</f>
        <v>#REF!</v>
      </c>
      <c r="F448" s="324"/>
      <c r="J448" s="322"/>
      <c r="K448" s="75" t="s">
        <v>51</v>
      </c>
      <c r="L448" s="371" t="str">
        <f>'UTL COST'!$B$4</f>
        <v>#REF!</v>
      </c>
      <c r="M448" s="382">
        <f>'UTL COST'!$C$4</f>
        <v>7000</v>
      </c>
      <c r="N448" s="76" t="str">
        <f>'UTL COST'!$D$4</f>
        <v>#REF!</v>
      </c>
      <c r="O448" s="324"/>
    </row>
    <row r="449" ht="15.75" customHeight="1">
      <c r="A449" s="322"/>
      <c r="B449" s="75" t="s">
        <v>59</v>
      </c>
      <c r="C449" s="371" t="str">
        <f>'UTL COST'!$B$5</f>
        <v>#REF!</v>
      </c>
      <c r="D449" s="382">
        <f>'UTL COST'!$C$5</f>
        <v>45000</v>
      </c>
      <c r="E449" s="76" t="str">
        <f>'UTL COST'!$D$5</f>
        <v>#REF!</v>
      </c>
      <c r="F449" s="324"/>
      <c r="J449" s="322"/>
      <c r="K449" s="75" t="s">
        <v>59</v>
      </c>
      <c r="L449" s="371" t="str">
        <f>'UTL COST'!$B$5</f>
        <v>#REF!</v>
      </c>
      <c r="M449" s="382">
        <f>'UTL COST'!$C$5</f>
        <v>45000</v>
      </c>
      <c r="N449" s="76" t="str">
        <f>'UTL COST'!$D$5</f>
        <v>#REF!</v>
      </c>
      <c r="O449" s="324"/>
    </row>
    <row r="450" ht="15.75" customHeight="1">
      <c r="A450" s="322"/>
      <c r="B450" s="87" t="s">
        <v>78</v>
      </c>
      <c r="C450" s="371" t="str">
        <f>'UTL COST'!$B$6</f>
        <v>#REF!</v>
      </c>
      <c r="D450" s="383">
        <f>'UTL COST'!$C$6</f>
        <v>525</v>
      </c>
      <c r="E450" s="89">
        <v>0.1</v>
      </c>
      <c r="F450" s="324"/>
      <c r="J450" s="322"/>
      <c r="K450" s="87" t="s">
        <v>78</v>
      </c>
      <c r="L450" s="371" t="str">
        <f>'UTL COST'!$B$6</f>
        <v>#REF!</v>
      </c>
      <c r="M450" s="383">
        <f>'UTL COST'!$C$6</f>
        <v>525</v>
      </c>
      <c r="N450" s="89">
        <v>0.1</v>
      </c>
      <c r="O450" s="324"/>
    </row>
    <row r="451" ht="15.75" customHeight="1">
      <c r="A451" s="322"/>
      <c r="B451" s="34" t="s">
        <v>84</v>
      </c>
      <c r="C451" s="102"/>
      <c r="D451" s="102"/>
      <c r="E451" s="104" t="str">
        <f>IF(SUM(E447:E450)=0,"",SUM(E447:E450))</f>
        <v>#REF!</v>
      </c>
      <c r="F451" s="324"/>
      <c r="J451" s="322"/>
      <c r="K451" s="34" t="s">
        <v>84</v>
      </c>
      <c r="L451" s="102"/>
      <c r="M451" s="102"/>
      <c r="N451" s="104" t="str">
        <f>IF(SUM(N447:N450)=0,"",SUM(N447:N450))</f>
        <v>#REF!</v>
      </c>
      <c r="O451" s="324"/>
    </row>
    <row r="452" ht="15.75" customHeight="1">
      <c r="A452" s="322"/>
      <c r="B452" s="360"/>
      <c r="C452" s="360"/>
      <c r="D452" s="360"/>
      <c r="E452" s="361"/>
      <c r="F452" s="324"/>
      <c r="J452" s="322"/>
      <c r="K452" s="360"/>
      <c r="L452" s="360"/>
      <c r="M452" s="360"/>
      <c r="N452" s="361"/>
      <c r="O452" s="324"/>
    </row>
    <row r="453" ht="15.75" customHeight="1"/>
    <row r="454" ht="15.75" customHeight="1"/>
    <row r="455" ht="15.75" customHeight="1">
      <c r="J455" s="322"/>
      <c r="K455" s="322"/>
      <c r="L455" s="322"/>
      <c r="M455" s="322"/>
      <c r="N455" s="323"/>
      <c r="O455" s="324"/>
    </row>
    <row r="456" ht="15.75" customHeight="1">
      <c r="J456" s="322"/>
      <c r="K456" s="325"/>
      <c r="L456" s="322"/>
      <c r="M456" s="322"/>
      <c r="N456" s="323"/>
      <c r="O456" s="326"/>
    </row>
    <row r="457" ht="15.75" customHeight="1">
      <c r="J457" s="322"/>
      <c r="K457" s="327" t="s">
        <v>931</v>
      </c>
      <c r="L457" s="330" t="s">
        <v>1358</v>
      </c>
      <c r="M457" s="329"/>
      <c r="N457" s="323"/>
      <c r="O457" s="326"/>
    </row>
    <row r="458" ht="15.75" customHeight="1">
      <c r="J458" s="322"/>
      <c r="K458" s="325"/>
      <c r="L458" s="322"/>
      <c r="M458" s="322"/>
      <c r="N458" s="323"/>
      <c r="O458" s="326"/>
    </row>
    <row r="459" ht="15.75" customHeight="1">
      <c r="J459" s="322"/>
      <c r="K459" s="327" t="s">
        <v>935</v>
      </c>
      <c r="L459" s="331">
        <f>N459*90000</f>
        <v>1350000</v>
      </c>
      <c r="M459" s="329"/>
      <c r="N459" s="394">
        <v>15.0</v>
      </c>
      <c r="O459" s="326"/>
    </row>
    <row r="460" ht="15.75" customHeight="1">
      <c r="J460" s="322"/>
      <c r="K460" s="327"/>
      <c r="L460" s="332"/>
      <c r="M460" s="332"/>
      <c r="N460" s="323"/>
      <c r="O460" s="326"/>
    </row>
    <row r="461" ht="15.75" customHeight="1">
      <c r="J461" s="322"/>
      <c r="K461" s="327" t="s">
        <v>939</v>
      </c>
      <c r="L461" s="333" t="str">
        <f>IF(SUM(N473,N488,N496)=0,"",SUM(N473,N488,N496))</f>
        <v>#REF!</v>
      </c>
      <c r="M461" s="321"/>
      <c r="N461" s="323" t="str">
        <f>L461/90000</f>
        <v>#REF!</v>
      </c>
      <c r="O461" s="326"/>
    </row>
    <row r="462" ht="15.75" customHeight="1">
      <c r="J462" s="322"/>
      <c r="K462" s="327"/>
      <c r="L462" s="334"/>
      <c r="M462" s="334"/>
      <c r="N462" s="323"/>
      <c r="O462" s="326"/>
    </row>
    <row r="463" ht="15.75" customHeight="1">
      <c r="J463" s="322"/>
      <c r="K463" s="327" t="s">
        <v>946</v>
      </c>
      <c r="L463" s="335" t="str">
        <f>IF(L461="","",IF(ISBLANK(L459),"",L461/L459))</f>
        <v>#REF!</v>
      </c>
      <c r="M463" s="321"/>
      <c r="N463" s="323"/>
      <c r="O463" s="326"/>
    </row>
    <row r="464" ht="15.75" customHeight="1">
      <c r="J464" s="322"/>
      <c r="K464" s="327"/>
      <c r="L464" s="334"/>
      <c r="M464" s="334"/>
      <c r="N464" s="323"/>
      <c r="O464" s="326"/>
    </row>
    <row r="465" ht="15.75" customHeight="1">
      <c r="J465" s="322"/>
      <c r="K465" s="327" t="s">
        <v>950</v>
      </c>
      <c r="L465" s="333" t="str">
        <f>L459-L461</f>
        <v>#REF!</v>
      </c>
      <c r="M465" s="321"/>
      <c r="N465" s="323"/>
      <c r="O465" s="326"/>
    </row>
    <row r="466" ht="15.75" customHeight="1">
      <c r="J466" s="322"/>
      <c r="K466" s="322"/>
      <c r="L466" s="322"/>
      <c r="M466" s="322"/>
      <c r="N466" s="323"/>
      <c r="O466" s="324"/>
    </row>
    <row r="467" ht="15.75" customHeight="1">
      <c r="J467" s="322"/>
      <c r="K467" s="322"/>
      <c r="L467" s="322"/>
      <c r="M467" s="322"/>
      <c r="N467" s="337"/>
      <c r="O467" s="324"/>
    </row>
    <row r="468" ht="15.75" customHeight="1">
      <c r="J468" s="322"/>
      <c r="K468" s="338" t="s">
        <v>951</v>
      </c>
      <c r="L468" s="339"/>
      <c r="M468" s="339"/>
      <c r="N468" s="339"/>
      <c r="O468" s="324"/>
    </row>
    <row r="469" ht="15.75" customHeight="1">
      <c r="J469" s="322"/>
      <c r="K469" s="340" t="s">
        <v>953</v>
      </c>
      <c r="L469" s="341" t="s">
        <v>954</v>
      </c>
      <c r="M469" s="341" t="s">
        <v>955</v>
      </c>
      <c r="N469" s="341" t="s">
        <v>35</v>
      </c>
      <c r="O469" s="324"/>
    </row>
    <row r="470" ht="15.75" customHeight="1">
      <c r="J470" s="322"/>
      <c r="K470" s="139" t="s">
        <v>1342</v>
      </c>
      <c r="L470" s="344">
        <v>0.111</v>
      </c>
      <c r="M470" s="343">
        <f t="shared" ref="M470:M472" si="45">M425</f>
        <v>99990</v>
      </c>
      <c r="N470" s="67">
        <f t="shared" ref="N470:N472" si="46">IF(OR(ISBLANK(L470),ISBLANK(M470)),"",M470*L470)</f>
        <v>11098.89</v>
      </c>
      <c r="O470" s="324"/>
    </row>
    <row r="471" ht="15.75" customHeight="1">
      <c r="J471" s="322"/>
      <c r="K471" s="406" t="s">
        <v>870</v>
      </c>
      <c r="L471" s="407">
        <v>0.0</v>
      </c>
      <c r="M471" s="343">
        <f t="shared" si="45"/>
        <v>51750</v>
      </c>
      <c r="N471" s="89">
        <f t="shared" si="46"/>
        <v>0</v>
      </c>
      <c r="O471" s="324"/>
    </row>
    <row r="472" ht="15.75" customHeight="1">
      <c r="J472" s="322"/>
      <c r="K472" s="406" t="s">
        <v>225</v>
      </c>
      <c r="L472" s="407">
        <v>2.0</v>
      </c>
      <c r="M472" s="343">
        <f t="shared" si="45"/>
        <v>1299</v>
      </c>
      <c r="N472" s="67">
        <f t="shared" si="46"/>
        <v>2598</v>
      </c>
      <c r="O472" s="324"/>
    </row>
    <row r="473" ht="15.75" customHeight="1">
      <c r="J473" s="322"/>
      <c r="K473" s="338" t="s">
        <v>84</v>
      </c>
      <c r="L473" s="358"/>
      <c r="M473" s="358"/>
      <c r="N473" s="359">
        <f>IF(SUM(N470:N472)=0,"",SUM(N470:N472))</f>
        <v>13696.89</v>
      </c>
      <c r="O473" s="324"/>
    </row>
    <row r="474" ht="15.75" customHeight="1">
      <c r="J474" s="322"/>
      <c r="K474" s="360"/>
      <c r="L474" s="360"/>
      <c r="M474" s="360"/>
      <c r="N474" s="361"/>
      <c r="O474" s="324"/>
    </row>
    <row r="475" ht="15.75" customHeight="1">
      <c r="J475" s="322"/>
      <c r="K475" s="362" t="s">
        <v>972</v>
      </c>
      <c r="L475" s="363"/>
      <c r="M475" s="363"/>
      <c r="N475" s="363"/>
      <c r="O475" s="324"/>
    </row>
    <row r="476" ht="15.75" customHeight="1">
      <c r="J476" s="322"/>
      <c r="K476" s="365" t="s">
        <v>953</v>
      </c>
      <c r="L476" s="366" t="s">
        <v>3</v>
      </c>
      <c r="M476" s="366" t="s">
        <v>975</v>
      </c>
      <c r="N476" s="367" t="s">
        <v>35</v>
      </c>
      <c r="O476" s="324"/>
    </row>
    <row r="477" ht="15.75" customHeight="1">
      <c r="J477" s="322"/>
      <c r="K477" s="368"/>
      <c r="L477" s="366"/>
      <c r="M477" s="366"/>
      <c r="N477" s="368"/>
      <c r="O477" s="324"/>
    </row>
    <row r="478" ht="15.75" customHeight="1">
      <c r="J478" s="322"/>
      <c r="K478" s="139" t="s">
        <v>444</v>
      </c>
      <c r="L478" s="344">
        <v>0.16</v>
      </c>
      <c r="M478" s="343">
        <f t="shared" ref="M478:M482" si="47">M433</f>
        <v>27000</v>
      </c>
      <c r="N478" s="67">
        <f t="shared" ref="N478:N487" si="48">M478*L478</f>
        <v>4320</v>
      </c>
      <c r="O478" s="324"/>
    </row>
    <row r="479" ht="15.75" customHeight="1">
      <c r="J479" s="322"/>
      <c r="K479" s="228" t="s">
        <v>1054</v>
      </c>
      <c r="L479" s="405">
        <v>0.5</v>
      </c>
      <c r="M479" s="343">
        <f t="shared" si="47"/>
        <v>8910</v>
      </c>
      <c r="N479" s="67">
        <f t="shared" si="48"/>
        <v>4455</v>
      </c>
      <c r="O479" s="324"/>
    </row>
    <row r="480" ht="15.75" customHeight="1">
      <c r="J480" s="322"/>
      <c r="K480" s="228" t="s">
        <v>1348</v>
      </c>
      <c r="L480" s="405">
        <v>0.0</v>
      </c>
      <c r="M480" s="343">
        <f t="shared" si="47"/>
        <v>44550</v>
      </c>
      <c r="N480" s="67">
        <f t="shared" si="48"/>
        <v>0</v>
      </c>
      <c r="O480" s="324"/>
    </row>
    <row r="481" ht="15.75" customHeight="1">
      <c r="J481" s="322"/>
      <c r="K481" s="228" t="s">
        <v>1349</v>
      </c>
      <c r="L481" s="405">
        <v>0.2</v>
      </c>
      <c r="M481" s="343">
        <f t="shared" si="47"/>
        <v>7200</v>
      </c>
      <c r="N481" s="67">
        <f t="shared" si="48"/>
        <v>1440</v>
      </c>
      <c r="O481" s="324"/>
    </row>
    <row r="482" ht="15.75" customHeight="1">
      <c r="J482" s="322"/>
      <c r="K482" s="228" t="s">
        <v>1062</v>
      </c>
      <c r="L482" s="405">
        <v>2.0</v>
      </c>
      <c r="M482" s="343">
        <f t="shared" si="47"/>
        <v>1091.25</v>
      </c>
      <c r="N482" s="67">
        <f t="shared" si="48"/>
        <v>2182.5</v>
      </c>
      <c r="O482" s="324"/>
    </row>
    <row r="483" ht="15.75" customHeight="1">
      <c r="J483" s="322"/>
      <c r="K483" s="228" t="s">
        <v>1368</v>
      </c>
      <c r="L483" s="405">
        <v>1.0</v>
      </c>
      <c r="M483" s="343">
        <f>S10</f>
        <v>6755.523077</v>
      </c>
      <c r="N483" s="67">
        <f t="shared" si="48"/>
        <v>6755.523077</v>
      </c>
      <c r="O483" s="324"/>
    </row>
    <row r="484" ht="15.75" customHeight="1">
      <c r="J484" s="322"/>
      <c r="K484" s="75"/>
      <c r="L484" s="346"/>
      <c r="M484" s="371"/>
      <c r="N484" s="67">
        <f t="shared" si="48"/>
        <v>0</v>
      </c>
      <c r="O484" s="324"/>
    </row>
    <row r="485" ht="15.75" customHeight="1">
      <c r="J485" s="322"/>
      <c r="K485" s="75"/>
      <c r="L485" s="342"/>
      <c r="M485" s="343"/>
      <c r="N485" s="67">
        <f t="shared" si="48"/>
        <v>0</v>
      </c>
      <c r="O485" s="324"/>
    </row>
    <row r="486" ht="15.75" customHeight="1">
      <c r="J486" s="322"/>
      <c r="K486" s="348"/>
      <c r="L486" s="346"/>
      <c r="M486" s="373"/>
      <c r="N486" s="67">
        <f t="shared" si="48"/>
        <v>0</v>
      </c>
      <c r="O486" s="324"/>
    </row>
    <row r="487" ht="15.75" customHeight="1">
      <c r="J487" s="322"/>
      <c r="K487" s="354"/>
      <c r="L487" s="355"/>
      <c r="M487" s="356"/>
      <c r="N487" s="67">
        <f t="shared" si="48"/>
        <v>0</v>
      </c>
      <c r="O487" s="324"/>
    </row>
    <row r="488" ht="15.75" customHeight="1">
      <c r="J488" s="322"/>
      <c r="K488" s="362" t="s">
        <v>84</v>
      </c>
      <c r="L488" s="374"/>
      <c r="M488" s="374"/>
      <c r="N488" s="375">
        <f>IF(SUM(N478:N487)=0,"",SUM(N478:N487))</f>
        <v>19153.02308</v>
      </c>
      <c r="O488" s="324"/>
    </row>
    <row r="489" ht="15.75" customHeight="1">
      <c r="J489" s="322"/>
      <c r="K489" s="360"/>
      <c r="L489" s="360"/>
      <c r="M489" s="360"/>
      <c r="N489" s="361"/>
      <c r="O489" s="324"/>
    </row>
    <row r="490" ht="15.75" customHeight="1">
      <c r="J490" s="322"/>
      <c r="K490" s="34" t="s">
        <v>17</v>
      </c>
      <c r="L490" s="35"/>
      <c r="M490" s="35"/>
      <c r="N490" s="35"/>
      <c r="O490" s="324"/>
    </row>
    <row r="491" ht="15.75" customHeight="1">
      <c r="J491" s="322"/>
      <c r="K491" s="52" t="s">
        <v>42</v>
      </c>
      <c r="L491" s="54"/>
      <c r="M491" s="54"/>
      <c r="N491" s="56" t="s">
        <v>35</v>
      </c>
      <c r="O491" s="324"/>
    </row>
    <row r="492" ht="15.75" customHeight="1">
      <c r="J492" s="322"/>
      <c r="K492" s="60" t="s">
        <v>40</v>
      </c>
      <c r="L492" s="343">
        <f>'UTL COST'!$B$3</f>
        <v>369000</v>
      </c>
      <c r="M492" s="379">
        <f>'UTL COST'!$C$3</f>
        <v>0.0075</v>
      </c>
      <c r="N492" s="67">
        <v>0.0</v>
      </c>
      <c r="O492" s="324"/>
    </row>
    <row r="493" ht="15.75" customHeight="1">
      <c r="J493" s="322"/>
      <c r="K493" s="75" t="s">
        <v>51</v>
      </c>
      <c r="L493" s="371" t="str">
        <f>'UTL COST'!$B$4</f>
        <v>#REF!</v>
      </c>
      <c r="M493" s="382">
        <f>'UTL COST'!$C$4</f>
        <v>7000</v>
      </c>
      <c r="N493" s="76" t="str">
        <f>'UTL COST'!$D$4</f>
        <v>#REF!</v>
      </c>
      <c r="O493" s="324"/>
    </row>
    <row r="494" ht="15.75" customHeight="1">
      <c r="J494" s="322"/>
      <c r="K494" s="75" t="s">
        <v>59</v>
      </c>
      <c r="L494" s="371" t="str">
        <f>'UTL COST'!$B$5</f>
        <v>#REF!</v>
      </c>
      <c r="M494" s="382">
        <f>'UTL COST'!$C$5</f>
        <v>45000</v>
      </c>
      <c r="N494" s="76" t="str">
        <f>'UTL COST'!$D$5</f>
        <v>#REF!</v>
      </c>
      <c r="O494" s="324"/>
    </row>
    <row r="495" ht="15.75" customHeight="1">
      <c r="J495" s="322"/>
      <c r="K495" s="87" t="s">
        <v>78</v>
      </c>
      <c r="L495" s="371" t="str">
        <f>'UTL COST'!$B$6</f>
        <v>#REF!</v>
      </c>
      <c r="M495" s="383">
        <f>'UTL COST'!$C$6</f>
        <v>525</v>
      </c>
      <c r="N495" s="89">
        <v>0.1</v>
      </c>
      <c r="O495" s="324"/>
    </row>
    <row r="496" ht="15.75" customHeight="1">
      <c r="J496" s="322"/>
      <c r="K496" s="34" t="s">
        <v>84</v>
      </c>
      <c r="L496" s="102"/>
      <c r="M496" s="102"/>
      <c r="N496" s="104" t="str">
        <f>IF(SUM(N492:N495)=0,"",SUM(N492:N495))</f>
        <v>#REF!</v>
      </c>
      <c r="O496" s="324"/>
    </row>
    <row r="497" ht="15.75" customHeight="1">
      <c r="J497" s="322"/>
      <c r="K497" s="360"/>
      <c r="L497" s="360"/>
      <c r="M497" s="360"/>
      <c r="N497" s="361"/>
      <c r="O497" s="324"/>
    </row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55">
    <mergeCell ref="C96:D96"/>
    <mergeCell ref="C98:D98"/>
    <mergeCell ref="C100:D100"/>
    <mergeCell ref="C102:D102"/>
    <mergeCell ref="C104:D104"/>
    <mergeCell ref="B115:B116"/>
    <mergeCell ref="E115:E116"/>
    <mergeCell ref="C141:D141"/>
    <mergeCell ref="C143:D143"/>
    <mergeCell ref="C145:D145"/>
    <mergeCell ref="C147:D147"/>
    <mergeCell ref="C149:D149"/>
    <mergeCell ref="B160:B161"/>
    <mergeCell ref="E160:E161"/>
    <mergeCell ref="C187:D187"/>
    <mergeCell ref="C189:D189"/>
    <mergeCell ref="C191:D191"/>
    <mergeCell ref="C193:D193"/>
    <mergeCell ref="C195:D195"/>
    <mergeCell ref="B206:B207"/>
    <mergeCell ref="E206:E207"/>
    <mergeCell ref="C232:D232"/>
    <mergeCell ref="C234:D234"/>
    <mergeCell ref="C236:D236"/>
    <mergeCell ref="C238:D238"/>
    <mergeCell ref="C240:D240"/>
    <mergeCell ref="B251:B252"/>
    <mergeCell ref="E251:E252"/>
    <mergeCell ref="C277:D277"/>
    <mergeCell ref="C279:D279"/>
    <mergeCell ref="C281:D281"/>
    <mergeCell ref="C283:D283"/>
    <mergeCell ref="C285:D285"/>
    <mergeCell ref="B296:B297"/>
    <mergeCell ref="E296:E297"/>
    <mergeCell ref="C322:D322"/>
    <mergeCell ref="C324:D324"/>
    <mergeCell ref="C326:D326"/>
    <mergeCell ref="C328:D328"/>
    <mergeCell ref="C330:D330"/>
    <mergeCell ref="B341:B342"/>
    <mergeCell ref="E341:E342"/>
    <mergeCell ref="C412:D412"/>
    <mergeCell ref="C414:D414"/>
    <mergeCell ref="C416:D416"/>
    <mergeCell ref="C418:D418"/>
    <mergeCell ref="C420:D420"/>
    <mergeCell ref="B431:B432"/>
    <mergeCell ref="E431:E432"/>
    <mergeCell ref="C367:D367"/>
    <mergeCell ref="C369:D369"/>
    <mergeCell ref="C371:D371"/>
    <mergeCell ref="C373:D373"/>
    <mergeCell ref="C375:D375"/>
    <mergeCell ref="B386:B387"/>
    <mergeCell ref="E386:E387"/>
    <mergeCell ref="L8:M8"/>
    <mergeCell ref="L10:M10"/>
    <mergeCell ref="L12:M12"/>
    <mergeCell ref="S12:T12"/>
    <mergeCell ref="L14:M14"/>
    <mergeCell ref="S14:T14"/>
    <mergeCell ref="A1:F1"/>
    <mergeCell ref="C6:D6"/>
    <mergeCell ref="L6:M6"/>
    <mergeCell ref="S6:T6"/>
    <mergeCell ref="C8:D8"/>
    <mergeCell ref="S8:T8"/>
    <mergeCell ref="S10:T10"/>
    <mergeCell ref="R25:R26"/>
    <mergeCell ref="U25:U26"/>
    <mergeCell ref="C10:D10"/>
    <mergeCell ref="C12:D12"/>
    <mergeCell ref="C14:D14"/>
    <mergeCell ref="B25:B26"/>
    <mergeCell ref="E25:E26"/>
    <mergeCell ref="K25:K26"/>
    <mergeCell ref="N25:N26"/>
    <mergeCell ref="C50:D50"/>
    <mergeCell ref="L50:M50"/>
    <mergeCell ref="C52:D52"/>
    <mergeCell ref="L52:M52"/>
    <mergeCell ref="C54:D54"/>
    <mergeCell ref="L54:M54"/>
    <mergeCell ref="L56:M56"/>
    <mergeCell ref="L58:M58"/>
    <mergeCell ref="C56:D56"/>
    <mergeCell ref="C58:D58"/>
    <mergeCell ref="B70:B71"/>
    <mergeCell ref="E70:E71"/>
    <mergeCell ref="K70:K71"/>
    <mergeCell ref="N70:N71"/>
    <mergeCell ref="L96:M96"/>
    <mergeCell ref="L189:M189"/>
    <mergeCell ref="L191:M191"/>
    <mergeCell ref="L373:M373"/>
    <mergeCell ref="L375:M375"/>
    <mergeCell ref="K386:K387"/>
    <mergeCell ref="N386:N387"/>
    <mergeCell ref="L412:M412"/>
    <mergeCell ref="L414:M414"/>
    <mergeCell ref="L416:M416"/>
    <mergeCell ref="L418:M418"/>
    <mergeCell ref="L420:M420"/>
    <mergeCell ref="K431:K432"/>
    <mergeCell ref="N431:N432"/>
    <mergeCell ref="L457:M457"/>
    <mergeCell ref="L459:M459"/>
    <mergeCell ref="L461:M461"/>
    <mergeCell ref="L98:M98"/>
    <mergeCell ref="L100:M100"/>
    <mergeCell ref="L102:M102"/>
    <mergeCell ref="L104:M104"/>
    <mergeCell ref="K115:K116"/>
    <mergeCell ref="N115:N116"/>
    <mergeCell ref="L141:M141"/>
    <mergeCell ref="L143:M143"/>
    <mergeCell ref="L145:M145"/>
    <mergeCell ref="L147:M147"/>
    <mergeCell ref="L149:M149"/>
    <mergeCell ref="K160:K161"/>
    <mergeCell ref="N160:N161"/>
    <mergeCell ref="L187:M187"/>
    <mergeCell ref="L193:M193"/>
    <mergeCell ref="L195:M195"/>
    <mergeCell ref="K206:K207"/>
    <mergeCell ref="N206:N207"/>
    <mergeCell ref="L232:M232"/>
    <mergeCell ref="L234:M234"/>
    <mergeCell ref="L236:M236"/>
    <mergeCell ref="L238:M238"/>
    <mergeCell ref="L240:M240"/>
    <mergeCell ref="K251:K252"/>
    <mergeCell ref="N251:N252"/>
    <mergeCell ref="L277:M277"/>
    <mergeCell ref="L279:M279"/>
    <mergeCell ref="L281:M281"/>
    <mergeCell ref="L283:M283"/>
    <mergeCell ref="L285:M285"/>
    <mergeCell ref="K296:K297"/>
    <mergeCell ref="N296:N297"/>
    <mergeCell ref="L322:M322"/>
    <mergeCell ref="L324:M324"/>
    <mergeCell ref="L326:M326"/>
    <mergeCell ref="L328:M328"/>
    <mergeCell ref="L330:M330"/>
    <mergeCell ref="K341:K342"/>
    <mergeCell ref="N341:N342"/>
    <mergeCell ref="L367:M367"/>
    <mergeCell ref="L369:M369"/>
    <mergeCell ref="L371:M371"/>
    <mergeCell ref="L463:M463"/>
    <mergeCell ref="L465:M465"/>
    <mergeCell ref="K476:K477"/>
    <mergeCell ref="N476:N477"/>
  </mergeCells>
  <printOptions/>
  <pageMargins bottom="0.75" footer="0.0" header="0.0" left="0.7" right="0.7" top="0.75"/>
  <pageSetup scale="99" orientation="portrait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75"/>
    <col customWidth="1" min="4" max="4" width="10.0"/>
    <col customWidth="1" min="5" max="5" width="12.63"/>
    <col customWidth="1" min="6" max="7" width="3.0"/>
    <col customWidth="1" min="8" max="10" width="7.75"/>
    <col customWidth="1" min="11" max="11" width="24.38"/>
    <col customWidth="1" min="12" max="12" width="12.75"/>
    <col customWidth="1" min="13" max="13" width="11.13"/>
    <col customWidth="1" min="14" max="14" width="9.88"/>
    <col customWidth="1" min="15" max="15" width="7.75"/>
    <col customWidth="1" min="16" max="26" width="14.38"/>
  </cols>
  <sheetData>
    <row r="1" ht="46.5" customHeight="1">
      <c r="A1" s="320" t="s">
        <v>1212</v>
      </c>
      <c r="B1" s="321"/>
      <c r="C1" s="321"/>
      <c r="D1" s="321"/>
      <c r="E1" s="321"/>
      <c r="F1" s="321"/>
      <c r="G1" s="402"/>
      <c r="H1" s="386"/>
      <c r="I1" s="387"/>
      <c r="J1" s="387"/>
      <c r="K1" s="387"/>
      <c r="L1" s="387"/>
      <c r="M1" s="387"/>
      <c r="N1" s="387"/>
      <c r="O1" s="387"/>
    </row>
    <row r="2" ht="18.0" customHeight="1">
      <c r="A2" s="388"/>
      <c r="B2" s="388"/>
      <c r="C2" s="388"/>
      <c r="D2" s="388"/>
      <c r="E2" s="389"/>
      <c r="F2" s="387"/>
      <c r="G2" s="387"/>
      <c r="H2" s="386"/>
      <c r="I2" s="387"/>
      <c r="J2" s="387"/>
      <c r="K2" s="387"/>
      <c r="L2" s="387"/>
      <c r="M2" s="387"/>
      <c r="N2" s="387"/>
      <c r="O2" s="387"/>
    </row>
    <row r="3" ht="6.75" customHeight="1">
      <c r="A3" s="388"/>
      <c r="B3" s="388"/>
      <c r="C3" s="388"/>
      <c r="D3" s="388"/>
      <c r="E3" s="389"/>
      <c r="F3" s="387"/>
      <c r="G3" s="387"/>
      <c r="H3" s="386"/>
      <c r="I3" s="387"/>
      <c r="J3" s="387"/>
      <c r="K3" s="387"/>
      <c r="L3" s="387"/>
      <c r="M3" s="387"/>
      <c r="N3" s="387"/>
      <c r="O3" s="387"/>
    </row>
    <row r="4" ht="15.0" customHeight="1">
      <c r="A4" s="322"/>
      <c r="B4" s="322"/>
      <c r="C4" s="322"/>
      <c r="D4" s="322"/>
      <c r="E4" s="323"/>
      <c r="F4" s="324"/>
      <c r="G4" s="324"/>
      <c r="H4" s="386"/>
      <c r="I4" s="388"/>
      <c r="J4" s="322"/>
      <c r="K4" s="322"/>
      <c r="L4" s="322"/>
      <c r="M4" s="322"/>
      <c r="N4" s="323"/>
      <c r="O4" s="324"/>
    </row>
    <row r="5" ht="4.5" customHeight="1">
      <c r="A5" s="322"/>
      <c r="B5" s="325"/>
      <c r="C5" s="322"/>
      <c r="D5" s="322"/>
      <c r="E5" s="323"/>
      <c r="F5" s="326"/>
      <c r="G5" s="326"/>
      <c r="H5" s="391"/>
      <c r="I5" s="388"/>
      <c r="J5" s="322"/>
      <c r="K5" s="325"/>
      <c r="L5" s="322"/>
      <c r="M5" s="322"/>
      <c r="N5" s="323"/>
      <c r="O5" s="326"/>
    </row>
    <row r="6" ht="18.0" customHeight="1">
      <c r="A6" s="322"/>
      <c r="B6" s="327" t="s">
        <v>931</v>
      </c>
      <c r="C6" s="330" t="s">
        <v>1213</v>
      </c>
      <c r="D6" s="329"/>
      <c r="E6" s="323"/>
      <c r="F6" s="326"/>
      <c r="G6" s="326"/>
      <c r="H6" s="391"/>
      <c r="I6" s="388"/>
      <c r="J6" s="322"/>
      <c r="K6" s="327" t="s">
        <v>931</v>
      </c>
      <c r="L6" s="330" t="s">
        <v>701</v>
      </c>
      <c r="M6" s="329"/>
      <c r="N6" s="323"/>
      <c r="O6" s="326"/>
    </row>
    <row r="7" ht="4.5" customHeight="1">
      <c r="A7" s="322"/>
      <c r="B7" s="325"/>
      <c r="C7" s="322"/>
      <c r="D7" s="322"/>
      <c r="E7" s="323"/>
      <c r="F7" s="326"/>
      <c r="G7" s="326"/>
      <c r="H7" s="391"/>
      <c r="I7" s="388"/>
      <c r="J7" s="322"/>
      <c r="K7" s="325"/>
      <c r="L7" s="322"/>
      <c r="M7" s="322"/>
      <c r="N7" s="323"/>
      <c r="O7" s="326"/>
    </row>
    <row r="8" ht="18.0" customHeight="1">
      <c r="A8" s="322"/>
      <c r="B8" s="327" t="s">
        <v>935</v>
      </c>
      <c r="C8" s="440">
        <f>E8*90000</f>
        <v>900000</v>
      </c>
      <c r="D8" s="329"/>
      <c r="E8" s="394">
        <v>10.0</v>
      </c>
      <c r="F8" s="326"/>
      <c r="G8" s="326"/>
      <c r="H8" s="391"/>
      <c r="I8" s="388"/>
      <c r="J8" s="322"/>
      <c r="K8" s="327" t="s">
        <v>935</v>
      </c>
      <c r="L8" s="440">
        <f>N8*90000</f>
        <v>900000</v>
      </c>
      <c r="M8" s="329"/>
      <c r="N8" s="394">
        <v>10.0</v>
      </c>
      <c r="O8" s="326"/>
    </row>
    <row r="9" ht="4.5" customHeight="1">
      <c r="A9" s="322"/>
      <c r="B9" s="327"/>
      <c r="C9" s="332"/>
      <c r="D9" s="332"/>
      <c r="E9" s="323"/>
      <c r="F9" s="326"/>
      <c r="G9" s="326"/>
      <c r="H9" s="391"/>
      <c r="I9" s="388"/>
      <c r="J9" s="322"/>
      <c r="K9" s="327"/>
      <c r="L9" s="332"/>
      <c r="M9" s="332"/>
      <c r="N9" s="323"/>
      <c r="O9" s="326"/>
    </row>
    <row r="10" ht="18.0" customHeight="1">
      <c r="A10" s="322"/>
      <c r="B10" s="327" t="s">
        <v>939</v>
      </c>
      <c r="C10" s="333" t="str">
        <f>IF(SUM(E22,E37,E45)=0,"",SUM(E22,E37,E45))</f>
        <v>#REF!</v>
      </c>
      <c r="D10" s="321"/>
      <c r="E10" s="323" t="str">
        <f>C10/90000</f>
        <v>#REF!</v>
      </c>
      <c r="F10" s="326"/>
      <c r="G10" s="326"/>
      <c r="H10" s="391"/>
      <c r="I10" s="388"/>
      <c r="J10" s="322"/>
      <c r="K10" s="327" t="s">
        <v>939</v>
      </c>
      <c r="L10" s="333" t="str">
        <f>IF(SUM(N22,N37,N45)=0,"",SUM(N22,N37,N45))</f>
        <v>#REF!</v>
      </c>
      <c r="M10" s="321"/>
      <c r="N10" s="323" t="str">
        <f>L10/90000</f>
        <v>#REF!</v>
      </c>
      <c r="O10" s="326"/>
    </row>
    <row r="11" ht="4.5" customHeight="1">
      <c r="A11" s="322"/>
      <c r="B11" s="327"/>
      <c r="C11" s="334"/>
      <c r="D11" s="334"/>
      <c r="E11" s="323"/>
      <c r="F11" s="326"/>
      <c r="G11" s="326"/>
      <c r="H11" s="391"/>
      <c r="I11" s="388"/>
      <c r="J11" s="322"/>
      <c r="K11" s="327"/>
      <c r="L11" s="334"/>
      <c r="M11" s="334"/>
      <c r="N11" s="323"/>
      <c r="O11" s="326"/>
    </row>
    <row r="12" ht="18.0" customHeight="1">
      <c r="A12" s="322"/>
      <c r="B12" s="327" t="s">
        <v>946</v>
      </c>
      <c r="C12" s="335" t="str">
        <f>IF(C10="","",IF(ISBLANK(C8),"",C10/C8))</f>
        <v>#REF!</v>
      </c>
      <c r="D12" s="321"/>
      <c r="E12" s="323"/>
      <c r="F12" s="326"/>
      <c r="G12" s="326"/>
      <c r="H12" s="391"/>
      <c r="I12" s="388"/>
      <c r="J12" s="322"/>
      <c r="K12" s="327" t="s">
        <v>946</v>
      </c>
      <c r="L12" s="335" t="str">
        <f>IF(L10="","",IF(ISBLANK(L8),"",L10/L8))</f>
        <v>#REF!</v>
      </c>
      <c r="M12" s="321"/>
      <c r="N12" s="323"/>
      <c r="O12" s="326"/>
    </row>
    <row r="13" ht="4.5" customHeight="1">
      <c r="A13" s="322"/>
      <c r="B13" s="327"/>
      <c r="C13" s="334"/>
      <c r="D13" s="334"/>
      <c r="E13" s="323"/>
      <c r="F13" s="326"/>
      <c r="G13" s="326"/>
      <c r="H13" s="391"/>
      <c r="I13" s="388"/>
      <c r="J13" s="322"/>
      <c r="K13" s="327"/>
      <c r="L13" s="334"/>
      <c r="M13" s="334"/>
      <c r="N13" s="323"/>
      <c r="O13" s="326"/>
    </row>
    <row r="14" ht="18.0" customHeight="1">
      <c r="A14" s="322"/>
      <c r="B14" s="327" t="s">
        <v>950</v>
      </c>
      <c r="C14" s="333" t="str">
        <f>C8-C10</f>
        <v>#REF!</v>
      </c>
      <c r="D14" s="321"/>
      <c r="E14" s="323"/>
      <c r="F14" s="326"/>
      <c r="G14" s="326"/>
      <c r="H14" s="391"/>
      <c r="I14" s="388"/>
      <c r="J14" s="322"/>
      <c r="K14" s="327" t="s">
        <v>950</v>
      </c>
      <c r="L14" s="333" t="str">
        <f>L8-L10</f>
        <v>#REF!</v>
      </c>
      <c r="M14" s="321"/>
      <c r="N14" s="323"/>
      <c r="O14" s="326"/>
    </row>
    <row r="15" ht="15.0" customHeight="1">
      <c r="A15" s="322"/>
      <c r="B15" s="322"/>
      <c r="C15" s="322"/>
      <c r="D15" s="322"/>
      <c r="E15" s="323"/>
      <c r="F15" s="324"/>
      <c r="G15" s="324"/>
      <c r="H15" s="391"/>
      <c r="I15" s="388"/>
      <c r="J15" s="322"/>
      <c r="K15" s="322"/>
      <c r="L15" s="322"/>
      <c r="M15" s="322"/>
      <c r="N15" s="323"/>
      <c r="O15" s="324"/>
    </row>
    <row r="16" ht="12.75" customHeight="1">
      <c r="A16" s="322"/>
      <c r="B16" s="322"/>
      <c r="C16" s="322"/>
      <c r="D16" s="322"/>
      <c r="E16" s="337"/>
      <c r="F16" s="324"/>
      <c r="G16" s="324"/>
      <c r="H16" s="386"/>
      <c r="I16" s="388"/>
      <c r="J16" s="322"/>
      <c r="K16" s="322"/>
      <c r="L16" s="322"/>
      <c r="M16" s="322"/>
      <c r="N16" s="337"/>
      <c r="O16" s="324"/>
    </row>
    <row r="17" ht="15.0" customHeight="1">
      <c r="A17" s="322"/>
      <c r="B17" s="338" t="s">
        <v>951</v>
      </c>
      <c r="C17" s="339"/>
      <c r="D17" s="339"/>
      <c r="E17" s="339"/>
      <c r="F17" s="324"/>
      <c r="G17" s="324"/>
      <c r="H17" s="401"/>
      <c r="I17" s="388"/>
      <c r="J17" s="322"/>
      <c r="K17" s="338" t="s">
        <v>951</v>
      </c>
      <c r="L17" s="339"/>
      <c r="M17" s="339"/>
      <c r="N17" s="339"/>
      <c r="O17" s="324"/>
    </row>
    <row r="18" ht="12.75" customHeight="1">
      <c r="A18" s="322"/>
      <c r="B18" s="340" t="s">
        <v>953</v>
      </c>
      <c r="C18" s="341" t="s">
        <v>954</v>
      </c>
      <c r="D18" s="341" t="s">
        <v>955</v>
      </c>
      <c r="E18" s="341" t="s">
        <v>35</v>
      </c>
      <c r="F18" s="324"/>
      <c r="G18" s="324"/>
      <c r="H18" s="386"/>
      <c r="I18" s="388"/>
      <c r="J18" s="322"/>
      <c r="K18" s="340" t="s">
        <v>953</v>
      </c>
      <c r="L18" s="341" t="s">
        <v>954</v>
      </c>
      <c r="M18" s="341" t="s">
        <v>955</v>
      </c>
      <c r="N18" s="341" t="s">
        <v>35</v>
      </c>
      <c r="O18" s="324"/>
    </row>
    <row r="19" ht="12.75" customHeight="1">
      <c r="A19" s="322"/>
      <c r="B19" s="139" t="s">
        <v>684</v>
      </c>
      <c r="C19" s="344">
        <v>0.3</v>
      </c>
      <c r="D19" s="403">
        <f>'F&amp;B'!F312</f>
        <v>16200</v>
      </c>
      <c r="E19" s="67">
        <f t="shared" ref="E19:E20" si="1">IF(OR(ISBLANK(C19),ISBLANK(D19)),"",D19*C19)</f>
        <v>4860</v>
      </c>
      <c r="F19" s="324"/>
      <c r="G19" s="324"/>
      <c r="H19" s="386"/>
      <c r="I19" s="388"/>
      <c r="J19" s="322"/>
      <c r="K19" s="60" t="s">
        <v>1160</v>
      </c>
      <c r="L19" s="342">
        <v>0.15</v>
      </c>
      <c r="M19" s="343">
        <f>'F&amp;B'!$F$270</f>
        <v>15840</v>
      </c>
      <c r="N19" s="67">
        <f t="shared" ref="N19:N21" si="2">IF(OR(ISBLANK(L19),ISBLANK(M19)),"",M19*L19)</f>
        <v>2376</v>
      </c>
      <c r="O19" s="324"/>
    </row>
    <row r="20" ht="12.75" customHeight="1">
      <c r="A20" s="322"/>
      <c r="B20" s="228" t="s">
        <v>1218</v>
      </c>
      <c r="C20" s="398">
        <v>0.7</v>
      </c>
      <c r="D20" s="403">
        <v>100000.0</v>
      </c>
      <c r="E20" s="67">
        <f t="shared" si="1"/>
        <v>70000</v>
      </c>
      <c r="F20" s="324"/>
      <c r="G20" s="324"/>
      <c r="H20" s="386"/>
      <c r="I20" s="388"/>
      <c r="J20" s="322"/>
      <c r="K20" s="75" t="s">
        <v>1220</v>
      </c>
      <c r="L20" s="370">
        <v>1.0</v>
      </c>
      <c r="M20" s="371">
        <f>'F&amp;B'!F16/40</f>
        <v>11925</v>
      </c>
      <c r="N20" s="67">
        <f t="shared" si="2"/>
        <v>11925</v>
      </c>
      <c r="O20" s="324"/>
    </row>
    <row r="21" ht="12.75" customHeight="1">
      <c r="A21" s="322"/>
      <c r="B21" s="406"/>
      <c r="C21" s="351"/>
      <c r="D21" s="356"/>
      <c r="E21" s="67"/>
      <c r="F21" s="324"/>
      <c r="G21" s="324"/>
      <c r="H21" s="386"/>
      <c r="I21" s="388"/>
      <c r="J21" s="322"/>
      <c r="K21" s="406" t="s">
        <v>1223</v>
      </c>
      <c r="L21" s="407">
        <v>1.0</v>
      </c>
      <c r="M21" s="408">
        <f>SAUCES!L16</f>
        <v>629.9629934</v>
      </c>
      <c r="N21" s="67">
        <f t="shared" si="2"/>
        <v>629.9629934</v>
      </c>
      <c r="O21" s="324"/>
    </row>
    <row r="22" ht="12.75" customHeight="1">
      <c r="A22" s="322"/>
      <c r="B22" s="338" t="s">
        <v>84</v>
      </c>
      <c r="C22" s="358"/>
      <c r="D22" s="358"/>
      <c r="E22" s="359">
        <f>IF(SUM(E19:E21)=0,"",SUM(E19:E21))</f>
        <v>74860</v>
      </c>
      <c r="F22" s="324"/>
      <c r="G22" s="324"/>
      <c r="H22" s="386"/>
      <c r="I22" s="388"/>
      <c r="J22" s="322"/>
      <c r="K22" s="338" t="s">
        <v>84</v>
      </c>
      <c r="L22" s="358"/>
      <c r="M22" s="358"/>
      <c r="N22" s="359">
        <f>IF(SUM(N19:N21)=0,"",SUM(N19:N21))</f>
        <v>14930.96299</v>
      </c>
      <c r="O22" s="324"/>
    </row>
    <row r="23" ht="12.75" customHeight="1">
      <c r="A23" s="322"/>
      <c r="B23" s="360"/>
      <c r="C23" s="360"/>
      <c r="D23" s="360"/>
      <c r="E23" s="361"/>
      <c r="F23" s="324"/>
      <c r="G23" s="324"/>
      <c r="H23" s="386"/>
      <c r="I23" s="388"/>
      <c r="J23" s="322"/>
      <c r="K23" s="360"/>
      <c r="L23" s="360"/>
      <c r="M23" s="360"/>
      <c r="N23" s="361"/>
      <c r="O23" s="324"/>
    </row>
    <row r="24" ht="18.0" customHeight="1">
      <c r="A24" s="322"/>
      <c r="B24" s="362" t="s">
        <v>972</v>
      </c>
      <c r="C24" s="363"/>
      <c r="D24" s="363"/>
      <c r="E24" s="363"/>
      <c r="F24" s="324"/>
      <c r="G24" s="324"/>
      <c r="H24" s="386"/>
      <c r="I24" s="388"/>
      <c r="J24" s="322"/>
      <c r="K24" s="362" t="s">
        <v>972</v>
      </c>
      <c r="L24" s="363"/>
      <c r="M24" s="363"/>
      <c r="N24" s="363"/>
      <c r="O24" s="324"/>
    </row>
    <row r="25" ht="12.75" customHeight="1">
      <c r="A25" s="322"/>
      <c r="B25" s="365" t="s">
        <v>953</v>
      </c>
      <c r="C25" s="366" t="s">
        <v>3</v>
      </c>
      <c r="D25" s="366" t="s">
        <v>975</v>
      </c>
      <c r="E25" s="367" t="s">
        <v>35</v>
      </c>
      <c r="F25" s="324"/>
      <c r="G25" s="324"/>
      <c r="H25" s="386"/>
      <c r="I25" s="388"/>
      <c r="J25" s="322"/>
      <c r="K25" s="365" t="s">
        <v>953</v>
      </c>
      <c r="L25" s="366" t="s">
        <v>3</v>
      </c>
      <c r="M25" s="366" t="s">
        <v>975</v>
      </c>
      <c r="N25" s="367" t="s">
        <v>35</v>
      </c>
      <c r="O25" s="324"/>
    </row>
    <row r="26" ht="12.75" customHeight="1">
      <c r="A26" s="322"/>
      <c r="B26" s="368"/>
      <c r="C26" s="366"/>
      <c r="D26" s="366"/>
      <c r="E26" s="368"/>
      <c r="F26" s="324"/>
      <c r="G26" s="324"/>
      <c r="H26" s="386"/>
      <c r="I26" s="388"/>
      <c r="J26" s="322"/>
      <c r="K26" s="368"/>
      <c r="L26" s="366"/>
      <c r="M26" s="366"/>
      <c r="N26" s="368"/>
      <c r="O26" s="324"/>
    </row>
    <row r="27" ht="12.75" customHeight="1">
      <c r="A27" s="322"/>
      <c r="B27" s="139" t="s">
        <v>1228</v>
      </c>
      <c r="C27" s="344">
        <v>0.75</v>
      </c>
      <c r="D27" s="403">
        <v>120000.0</v>
      </c>
      <c r="E27" s="67">
        <f>D27*C27</f>
        <v>90000</v>
      </c>
      <c r="F27" s="324"/>
      <c r="G27" s="324"/>
      <c r="H27" s="386"/>
      <c r="I27" s="388"/>
      <c r="J27" s="322"/>
      <c r="K27" s="60" t="s">
        <v>1000</v>
      </c>
      <c r="L27" s="342">
        <v>0.03</v>
      </c>
      <c r="M27" s="343">
        <f>'F&amp;B'!$F$277</f>
        <v>13500</v>
      </c>
      <c r="N27" s="67">
        <f t="shared" ref="N27:N36" si="3">M27*L27</f>
        <v>405</v>
      </c>
      <c r="O27" s="324"/>
    </row>
    <row r="28" ht="12.75" customHeight="1">
      <c r="A28" s="322"/>
      <c r="B28" s="228"/>
      <c r="C28" s="405"/>
      <c r="D28" s="371"/>
      <c r="E28" s="67"/>
      <c r="F28" s="324"/>
      <c r="G28" s="324"/>
      <c r="H28" s="386"/>
      <c r="I28" s="388"/>
      <c r="J28" s="322"/>
      <c r="K28" s="75" t="s">
        <v>1080</v>
      </c>
      <c r="L28" s="370">
        <v>0.04</v>
      </c>
      <c r="M28" s="371">
        <f>'F&amp;B'!$F$60*3</f>
        <v>29700</v>
      </c>
      <c r="N28" s="67">
        <f t="shared" si="3"/>
        <v>1188</v>
      </c>
      <c r="O28" s="324"/>
    </row>
    <row r="29" ht="12.75" customHeight="1">
      <c r="A29" s="322"/>
      <c r="B29" s="75"/>
      <c r="C29" s="370"/>
      <c r="D29" s="371"/>
      <c r="E29" s="67">
        <f t="shared" ref="E29:E36" si="4">D29*C29</f>
        <v>0</v>
      </c>
      <c r="F29" s="324"/>
      <c r="G29" s="324"/>
      <c r="H29" s="386"/>
      <c r="I29" s="388"/>
      <c r="J29" s="322"/>
      <c r="K29" s="75" t="s">
        <v>205</v>
      </c>
      <c r="L29" s="370">
        <v>1.0</v>
      </c>
      <c r="M29" s="371"/>
      <c r="N29" s="67">
        <f t="shared" si="3"/>
        <v>0</v>
      </c>
      <c r="O29" s="324"/>
    </row>
    <row r="30" ht="12.75" customHeight="1">
      <c r="A30" s="322"/>
      <c r="B30" s="75"/>
      <c r="C30" s="342"/>
      <c r="D30" s="343"/>
      <c r="E30" s="67">
        <f t="shared" si="4"/>
        <v>0</v>
      </c>
      <c r="F30" s="324"/>
      <c r="G30" s="324"/>
      <c r="H30" s="386"/>
      <c r="I30" s="388"/>
      <c r="J30" s="322"/>
      <c r="K30" s="75" t="s">
        <v>155</v>
      </c>
      <c r="L30" s="346">
        <v>1.0</v>
      </c>
      <c r="M30" s="371"/>
      <c r="N30" s="67">
        <f t="shared" si="3"/>
        <v>0</v>
      </c>
      <c r="O30" s="324"/>
    </row>
    <row r="31" ht="12.75" customHeight="1">
      <c r="A31" s="322"/>
      <c r="B31" s="75"/>
      <c r="C31" s="346"/>
      <c r="D31" s="371"/>
      <c r="E31" s="67">
        <f t="shared" si="4"/>
        <v>0</v>
      </c>
      <c r="F31" s="324"/>
      <c r="G31" s="324"/>
      <c r="H31" s="386"/>
      <c r="I31" s="388"/>
      <c r="J31" s="322"/>
      <c r="K31" s="75" t="s">
        <v>765</v>
      </c>
      <c r="L31" s="370">
        <v>0.03</v>
      </c>
      <c r="M31" s="371">
        <f>'F&amp;B'!$F$288</f>
        <v>54000</v>
      </c>
      <c r="N31" s="67">
        <f t="shared" si="3"/>
        <v>1620</v>
      </c>
      <c r="O31" s="324"/>
    </row>
    <row r="32" ht="12.75" customHeight="1">
      <c r="A32" s="322"/>
      <c r="B32" s="75"/>
      <c r="C32" s="346"/>
      <c r="D32" s="373"/>
      <c r="E32" s="67">
        <f t="shared" si="4"/>
        <v>0</v>
      </c>
      <c r="F32" s="324"/>
      <c r="G32" s="324"/>
      <c r="H32" s="386"/>
      <c r="I32" s="388"/>
      <c r="J32" s="322"/>
      <c r="K32" s="75" t="s">
        <v>934</v>
      </c>
      <c r="L32" s="342">
        <v>0.2</v>
      </c>
      <c r="M32" s="343">
        <f>'F&amp;B'!$F$68/10</f>
        <v>19665</v>
      </c>
      <c r="N32" s="67">
        <f t="shared" si="3"/>
        <v>3933</v>
      </c>
      <c r="O32" s="324"/>
    </row>
    <row r="33" ht="12.75" customHeight="1">
      <c r="A33" s="322"/>
      <c r="B33" s="348"/>
      <c r="C33" s="346"/>
      <c r="D33" s="373"/>
      <c r="E33" s="67">
        <f t="shared" si="4"/>
        <v>0</v>
      </c>
      <c r="F33" s="324"/>
      <c r="G33" s="324"/>
      <c r="H33" s="386"/>
      <c r="I33" s="388"/>
      <c r="J33" s="322"/>
      <c r="K33" s="348"/>
      <c r="L33" s="346"/>
      <c r="M33" s="373"/>
      <c r="N33" s="67">
        <f t="shared" si="3"/>
        <v>0</v>
      </c>
      <c r="O33" s="324"/>
    </row>
    <row r="34" ht="12.75" customHeight="1">
      <c r="A34" s="322"/>
      <c r="B34" s="348"/>
      <c r="C34" s="346"/>
      <c r="D34" s="373"/>
      <c r="E34" s="67">
        <f t="shared" si="4"/>
        <v>0</v>
      </c>
      <c r="F34" s="324"/>
      <c r="G34" s="324"/>
      <c r="H34" s="386"/>
      <c r="I34" s="388"/>
      <c r="J34" s="322"/>
      <c r="K34" s="348"/>
      <c r="L34" s="346"/>
      <c r="M34" s="373"/>
      <c r="N34" s="67">
        <f t="shared" si="3"/>
        <v>0</v>
      </c>
      <c r="O34" s="324"/>
    </row>
    <row r="35" ht="12.75" customHeight="1">
      <c r="A35" s="322"/>
      <c r="B35" s="348"/>
      <c r="C35" s="346"/>
      <c r="D35" s="373"/>
      <c r="E35" s="67">
        <f t="shared" si="4"/>
        <v>0</v>
      </c>
      <c r="F35" s="324"/>
      <c r="G35" s="324"/>
      <c r="H35" s="386"/>
      <c r="I35" s="388"/>
      <c r="J35" s="322"/>
      <c r="K35" s="348"/>
      <c r="L35" s="346"/>
      <c r="M35" s="373"/>
      <c r="N35" s="67">
        <f t="shared" si="3"/>
        <v>0</v>
      </c>
      <c r="O35" s="324"/>
    </row>
    <row r="36" ht="12.75" customHeight="1">
      <c r="A36" s="322"/>
      <c r="B36" s="354"/>
      <c r="C36" s="355"/>
      <c r="D36" s="356"/>
      <c r="E36" s="67">
        <f t="shared" si="4"/>
        <v>0</v>
      </c>
      <c r="F36" s="324"/>
      <c r="G36" s="324"/>
      <c r="H36" s="386"/>
      <c r="I36" s="388"/>
      <c r="J36" s="322"/>
      <c r="K36" s="354"/>
      <c r="L36" s="355"/>
      <c r="M36" s="356"/>
      <c r="N36" s="67">
        <f t="shared" si="3"/>
        <v>0</v>
      </c>
      <c r="O36" s="324"/>
    </row>
    <row r="37" ht="12.75" customHeight="1">
      <c r="A37" s="322"/>
      <c r="B37" s="362" t="s">
        <v>84</v>
      </c>
      <c r="C37" s="374"/>
      <c r="D37" s="374"/>
      <c r="E37" s="375">
        <f>IF(SUM(E27:E36)=0,"",SUM(E27:E36))</f>
        <v>90000</v>
      </c>
      <c r="F37" s="324"/>
      <c r="G37" s="324"/>
      <c r="H37" s="386"/>
      <c r="I37" s="388"/>
      <c r="J37" s="322"/>
      <c r="K37" s="362" t="s">
        <v>84</v>
      </c>
      <c r="L37" s="374"/>
      <c r="M37" s="374"/>
      <c r="N37" s="375">
        <f>IF(SUM(N27:N36)=0,"",SUM(N27:N36))</f>
        <v>7146</v>
      </c>
      <c r="O37" s="324"/>
    </row>
    <row r="38" ht="12.75" customHeight="1">
      <c r="A38" s="322"/>
      <c r="B38" s="360"/>
      <c r="C38" s="360"/>
      <c r="D38" s="360"/>
      <c r="E38" s="361"/>
      <c r="F38" s="324"/>
      <c r="G38" s="324"/>
      <c r="H38" s="386"/>
      <c r="I38" s="388"/>
      <c r="J38" s="322"/>
      <c r="K38" s="360"/>
      <c r="L38" s="360"/>
      <c r="M38" s="360"/>
      <c r="N38" s="361"/>
      <c r="O38" s="324"/>
    </row>
    <row r="39" ht="12.75" customHeight="1">
      <c r="A39" s="322"/>
      <c r="B39" s="34" t="s">
        <v>17</v>
      </c>
      <c r="C39" s="35"/>
      <c r="D39" s="35"/>
      <c r="E39" s="35"/>
      <c r="F39" s="324"/>
      <c r="G39" s="324"/>
      <c r="H39" s="386"/>
      <c r="I39" s="388"/>
      <c r="J39" s="322"/>
      <c r="K39" s="34" t="s">
        <v>17</v>
      </c>
      <c r="L39" s="35"/>
      <c r="M39" s="35"/>
      <c r="N39" s="35"/>
      <c r="O39" s="324"/>
    </row>
    <row r="40" ht="12.75" customHeight="1">
      <c r="A40" s="322"/>
      <c r="B40" s="52" t="s">
        <v>42</v>
      </c>
      <c r="C40" s="54"/>
      <c r="D40" s="54"/>
      <c r="E40" s="56" t="s">
        <v>35</v>
      </c>
      <c r="F40" s="324"/>
      <c r="G40" s="324"/>
      <c r="H40" s="386"/>
      <c r="I40" s="388"/>
      <c r="J40" s="322"/>
      <c r="K40" s="52" t="s">
        <v>42</v>
      </c>
      <c r="L40" s="54"/>
      <c r="M40" s="54"/>
      <c r="N40" s="56" t="s">
        <v>35</v>
      </c>
      <c r="O40" s="324"/>
    </row>
    <row r="41" ht="12.75" customHeight="1">
      <c r="A41" s="322"/>
      <c r="B41" s="60" t="s">
        <v>40</v>
      </c>
      <c r="C41" s="343">
        <f>'UTL COST'!$B$3</f>
        <v>369000</v>
      </c>
      <c r="D41" s="379">
        <f>'UTL COST'!$C$3</f>
        <v>0.0075</v>
      </c>
      <c r="E41" s="67">
        <f>'UTL COST'!$D$3</f>
        <v>2767.5</v>
      </c>
      <c r="F41" s="324"/>
      <c r="G41" s="324"/>
      <c r="H41" s="386"/>
      <c r="I41" s="388"/>
      <c r="J41" s="322"/>
      <c r="K41" s="60" t="s">
        <v>40</v>
      </c>
      <c r="L41" s="343">
        <f>'UTL COST'!$B$3</f>
        <v>369000</v>
      </c>
      <c r="M41" s="379">
        <f>'UTL COST'!$C$3</f>
        <v>0.0075</v>
      </c>
      <c r="N41" s="67">
        <f>'UTL COST'!$D$3</f>
        <v>2767.5</v>
      </c>
      <c r="O41" s="324"/>
    </row>
    <row r="42" ht="12.75" customHeight="1">
      <c r="A42" s="322"/>
      <c r="B42" s="75" t="s">
        <v>51</v>
      </c>
      <c r="C42" s="371" t="str">
        <f>'UTL COST'!$B$4</f>
        <v>#REF!</v>
      </c>
      <c r="D42" s="382">
        <f>'UTL COST'!$C$4</f>
        <v>7000</v>
      </c>
      <c r="E42" s="76" t="str">
        <f>'UTL COST'!$D$4</f>
        <v>#REF!</v>
      </c>
      <c r="F42" s="324"/>
      <c r="G42" s="324"/>
      <c r="H42" s="386"/>
      <c r="I42" s="388"/>
      <c r="J42" s="322"/>
      <c r="K42" s="75" t="s">
        <v>51</v>
      </c>
      <c r="L42" s="371" t="str">
        <f>'UTL COST'!$B$4</f>
        <v>#REF!</v>
      </c>
      <c r="M42" s="382">
        <f>'UTL COST'!$C$4</f>
        <v>7000</v>
      </c>
      <c r="N42" s="76" t="str">
        <f>'UTL COST'!$D$4</f>
        <v>#REF!</v>
      </c>
      <c r="O42" s="324"/>
    </row>
    <row r="43" ht="12.75" customHeight="1">
      <c r="A43" s="322"/>
      <c r="B43" s="75" t="s">
        <v>59</v>
      </c>
      <c r="C43" s="371" t="str">
        <f>'UTL COST'!$B$5</f>
        <v>#REF!</v>
      </c>
      <c r="D43" s="382">
        <f>'UTL COST'!$C$5</f>
        <v>45000</v>
      </c>
      <c r="E43" s="76" t="str">
        <f>'UTL COST'!$D$5</f>
        <v>#REF!</v>
      </c>
      <c r="F43" s="324"/>
      <c r="G43" s="324"/>
      <c r="H43" s="386"/>
      <c r="I43" s="388"/>
      <c r="J43" s="322"/>
      <c r="K43" s="75" t="s">
        <v>59</v>
      </c>
      <c r="L43" s="371" t="str">
        <f>'UTL COST'!$B$5</f>
        <v>#REF!</v>
      </c>
      <c r="M43" s="382">
        <f>'UTL COST'!$C$5</f>
        <v>45000</v>
      </c>
      <c r="N43" s="76" t="str">
        <f>'UTL COST'!$D$5</f>
        <v>#REF!</v>
      </c>
      <c r="O43" s="324"/>
    </row>
    <row r="44" ht="12.75" customHeight="1">
      <c r="A44" s="322"/>
      <c r="B44" s="87" t="s">
        <v>78</v>
      </c>
      <c r="C44" s="371" t="str">
        <f>'UTL COST'!$B$6</f>
        <v>#REF!</v>
      </c>
      <c r="D44" s="383">
        <f>'UTL COST'!$C$6</f>
        <v>525</v>
      </c>
      <c r="E44" s="89">
        <v>0.1</v>
      </c>
      <c r="F44" s="324"/>
      <c r="G44" s="324"/>
      <c r="H44" s="386"/>
      <c r="I44" s="388"/>
      <c r="J44" s="322"/>
      <c r="K44" s="87" t="s">
        <v>78</v>
      </c>
      <c r="L44" s="371" t="str">
        <f>'UTL COST'!$B$6</f>
        <v>#REF!</v>
      </c>
      <c r="M44" s="383">
        <f>'UTL COST'!$C$6</f>
        <v>525</v>
      </c>
      <c r="N44" s="89">
        <v>0.1</v>
      </c>
      <c r="O44" s="324"/>
    </row>
    <row r="45" ht="12.75" customHeight="1">
      <c r="A45" s="322"/>
      <c r="B45" s="34" t="s">
        <v>84</v>
      </c>
      <c r="C45" s="102"/>
      <c r="D45" s="102"/>
      <c r="E45" s="104" t="str">
        <f>IF(SUM(E41:E44)=0,"",SUM(E41:E44))</f>
        <v>#REF!</v>
      </c>
      <c r="F45" s="324"/>
      <c r="G45" s="324"/>
      <c r="H45" s="386"/>
      <c r="I45" s="388"/>
      <c r="J45" s="322"/>
      <c r="K45" s="34" t="s">
        <v>84</v>
      </c>
      <c r="L45" s="102"/>
      <c r="M45" s="102"/>
      <c r="N45" s="104" t="str">
        <f>IF(SUM(N41:N44)=0,"",SUM(N41:N44))</f>
        <v>#REF!</v>
      </c>
      <c r="O45" s="324"/>
    </row>
    <row r="46" ht="12.75" customHeight="1">
      <c r="A46" s="322"/>
      <c r="B46" s="360"/>
      <c r="C46" s="360"/>
      <c r="D46" s="360"/>
      <c r="E46" s="361"/>
      <c r="F46" s="324"/>
      <c r="G46" s="324"/>
      <c r="H46" s="386"/>
      <c r="I46" s="388"/>
      <c r="J46" s="322"/>
      <c r="K46" s="360"/>
      <c r="L46" s="360"/>
      <c r="M46" s="360"/>
      <c r="N46" s="361"/>
      <c r="O46" s="324"/>
    </row>
    <row r="47" ht="12.75" customHeight="1">
      <c r="A47" s="387"/>
      <c r="B47" s="387"/>
      <c r="C47" s="387"/>
      <c r="D47" s="387"/>
      <c r="E47" s="418"/>
      <c r="F47" s="387"/>
      <c r="G47" s="387"/>
      <c r="H47" s="386"/>
      <c r="I47" s="387"/>
      <c r="J47" s="387"/>
      <c r="K47" s="387"/>
      <c r="L47" s="387"/>
      <c r="M47" s="387"/>
      <c r="N47" s="387"/>
      <c r="O47" s="387"/>
    </row>
    <row r="48" ht="12.75" customHeight="1">
      <c r="A48" s="322"/>
      <c r="B48" s="322"/>
      <c r="C48" s="322"/>
      <c r="D48" s="322"/>
      <c r="E48" s="323"/>
      <c r="F48" s="324"/>
      <c r="G48" s="324"/>
      <c r="H48" s="386"/>
      <c r="I48" s="388"/>
      <c r="J48" s="322"/>
      <c r="K48" s="322"/>
      <c r="L48" s="322"/>
      <c r="M48" s="322"/>
      <c r="N48" s="323"/>
      <c r="O48" s="324"/>
    </row>
    <row r="49" ht="12.75" customHeight="1">
      <c r="A49" s="322"/>
      <c r="B49" s="325"/>
      <c r="C49" s="322"/>
      <c r="D49" s="322"/>
      <c r="E49" s="323"/>
      <c r="F49" s="326"/>
      <c r="G49" s="326"/>
      <c r="H49" s="391"/>
      <c r="I49" s="388"/>
      <c r="J49" s="322"/>
      <c r="K49" s="325"/>
      <c r="L49" s="322"/>
      <c r="M49" s="322"/>
      <c r="N49" s="323"/>
      <c r="O49" s="326"/>
    </row>
    <row r="50" ht="12.75" customHeight="1">
      <c r="A50" s="322"/>
      <c r="B50" s="327" t="s">
        <v>931</v>
      </c>
      <c r="C50" s="330" t="s">
        <v>1232</v>
      </c>
      <c r="D50" s="329"/>
      <c r="E50" s="323"/>
      <c r="F50" s="326"/>
      <c r="G50" s="326"/>
      <c r="H50" s="391"/>
      <c r="I50" s="388"/>
      <c r="J50" s="322"/>
      <c r="K50" s="327" t="s">
        <v>931</v>
      </c>
      <c r="L50" s="330" t="s">
        <v>741</v>
      </c>
      <c r="M50" s="329"/>
      <c r="N50" s="323"/>
      <c r="O50" s="326"/>
    </row>
    <row r="51" ht="12.75" customHeight="1">
      <c r="A51" s="322"/>
      <c r="B51" s="325"/>
      <c r="C51" s="464"/>
      <c r="D51" s="464"/>
      <c r="E51" s="394"/>
      <c r="F51" s="326"/>
      <c r="G51" s="326"/>
      <c r="H51" s="391"/>
      <c r="I51" s="388"/>
      <c r="J51" s="322"/>
      <c r="K51" s="325"/>
      <c r="L51" s="322"/>
      <c r="M51" s="322"/>
      <c r="N51" s="323"/>
      <c r="O51" s="326"/>
    </row>
    <row r="52" ht="12.75" customHeight="1">
      <c r="A52" s="322"/>
      <c r="B52" s="465" t="s">
        <v>935</v>
      </c>
      <c r="C52" s="440">
        <f>E52*90000</f>
        <v>540000</v>
      </c>
      <c r="D52" s="329"/>
      <c r="E52" s="394">
        <v>6.0</v>
      </c>
      <c r="F52" s="326"/>
      <c r="G52" s="326"/>
      <c r="H52" s="391"/>
      <c r="I52" s="388"/>
      <c r="J52" s="322"/>
      <c r="K52" s="327" t="s">
        <v>935</v>
      </c>
      <c r="L52" s="331">
        <v>125000.0</v>
      </c>
      <c r="M52" s="329"/>
      <c r="N52" s="323"/>
      <c r="O52" s="326"/>
    </row>
    <row r="53" ht="12.75" customHeight="1">
      <c r="A53" s="322"/>
      <c r="B53" s="327"/>
      <c r="C53" s="332"/>
      <c r="D53" s="332"/>
      <c r="E53" s="323"/>
      <c r="F53" s="326"/>
      <c r="G53" s="326"/>
      <c r="H53" s="391"/>
      <c r="I53" s="388"/>
      <c r="J53" s="322"/>
      <c r="K53" s="327"/>
      <c r="L53" s="332"/>
      <c r="M53" s="332"/>
      <c r="N53" s="323"/>
      <c r="O53" s="326"/>
    </row>
    <row r="54" ht="12.75" customHeight="1">
      <c r="A54" s="322"/>
      <c r="B54" s="327" t="s">
        <v>939</v>
      </c>
      <c r="C54" s="333" t="str">
        <f>IF(SUM(E66,E81,E89)=0,"",SUM(E66,E81,E89))</f>
        <v>#REF!</v>
      </c>
      <c r="D54" s="321"/>
      <c r="E54" s="323" t="str">
        <f>C54/90000</f>
        <v>#REF!</v>
      </c>
      <c r="F54" s="326"/>
      <c r="G54" s="326"/>
      <c r="H54" s="391"/>
      <c r="I54" s="388"/>
      <c r="J54" s="322"/>
      <c r="K54" s="327" t="s">
        <v>939</v>
      </c>
      <c r="L54" s="333" t="str">
        <f>IF(SUM(N66,N81,N89)=0,"",SUM(N66,N81,N89))</f>
        <v>#REF!</v>
      </c>
      <c r="M54" s="321"/>
      <c r="N54" s="323"/>
      <c r="O54" s="326"/>
    </row>
    <row r="55" ht="12.75" customHeight="1">
      <c r="A55" s="322"/>
      <c r="B55" s="327"/>
      <c r="C55" s="334"/>
      <c r="D55" s="334"/>
      <c r="E55" s="323"/>
      <c r="F55" s="326"/>
      <c r="G55" s="326"/>
      <c r="H55" s="391"/>
      <c r="I55" s="388"/>
      <c r="J55" s="322"/>
      <c r="K55" s="327"/>
      <c r="L55" s="334"/>
      <c r="M55" s="334"/>
      <c r="N55" s="323"/>
      <c r="O55" s="326"/>
    </row>
    <row r="56" ht="12.75" customHeight="1">
      <c r="A56" s="322"/>
      <c r="B56" s="327" t="s">
        <v>946</v>
      </c>
      <c r="C56" s="335" t="str">
        <f>IF(C54="","",IF(ISBLANK(C52),"",C54/C52))</f>
        <v>#REF!</v>
      </c>
      <c r="D56" s="321"/>
      <c r="E56" s="323"/>
      <c r="F56" s="326"/>
      <c r="G56" s="326"/>
      <c r="H56" s="391"/>
      <c r="I56" s="388"/>
      <c r="J56" s="322"/>
      <c r="K56" s="327" t="s">
        <v>946</v>
      </c>
      <c r="L56" s="335" t="str">
        <f>IF(L54="","",IF(ISBLANK(L52),"",L54/L52))</f>
        <v>#REF!</v>
      </c>
      <c r="M56" s="321"/>
      <c r="N56" s="323"/>
      <c r="O56" s="326"/>
    </row>
    <row r="57" ht="12.75" customHeight="1">
      <c r="A57" s="322"/>
      <c r="B57" s="327"/>
      <c r="C57" s="334"/>
      <c r="D57" s="334"/>
      <c r="E57" s="323"/>
      <c r="F57" s="326"/>
      <c r="G57" s="326"/>
      <c r="H57" s="391"/>
      <c r="I57" s="388"/>
      <c r="J57" s="322"/>
      <c r="K57" s="327"/>
      <c r="L57" s="334"/>
      <c r="M57" s="334"/>
      <c r="N57" s="323"/>
      <c r="O57" s="326"/>
    </row>
    <row r="58" ht="12.75" customHeight="1">
      <c r="A58" s="322"/>
      <c r="B58" s="327" t="s">
        <v>950</v>
      </c>
      <c r="C58" s="333" t="str">
        <f>C52-C54</f>
        <v>#REF!</v>
      </c>
      <c r="D58" s="321"/>
      <c r="E58" s="323"/>
      <c r="F58" s="326"/>
      <c r="G58" s="326"/>
      <c r="H58" s="391"/>
      <c r="I58" s="388"/>
      <c r="J58" s="322"/>
      <c r="K58" s="327" t="s">
        <v>950</v>
      </c>
      <c r="L58" s="333" t="str">
        <f>L52-L54</f>
        <v>#REF!</v>
      </c>
      <c r="M58" s="321"/>
      <c r="N58" s="323"/>
      <c r="O58" s="326"/>
    </row>
    <row r="59" ht="12.75" customHeight="1">
      <c r="A59" s="322"/>
      <c r="B59" s="322"/>
      <c r="C59" s="322"/>
      <c r="D59" s="322"/>
      <c r="E59" s="323"/>
      <c r="F59" s="324"/>
      <c r="G59" s="324"/>
      <c r="H59" s="391"/>
      <c r="I59" s="388"/>
      <c r="J59" s="322"/>
      <c r="K59" s="322"/>
      <c r="L59" s="322"/>
      <c r="M59" s="322"/>
      <c r="N59" s="323"/>
      <c r="O59" s="324"/>
    </row>
    <row r="60" ht="12.75" customHeight="1">
      <c r="A60" s="322"/>
      <c r="B60" s="322"/>
      <c r="C60" s="322"/>
      <c r="D60" s="322"/>
      <c r="E60" s="337"/>
      <c r="F60" s="324"/>
      <c r="G60" s="324"/>
      <c r="H60" s="386"/>
      <c r="I60" s="388"/>
      <c r="J60" s="322"/>
      <c r="K60" s="322"/>
      <c r="L60" s="322"/>
      <c r="M60" s="322"/>
      <c r="N60" s="337"/>
      <c r="O60" s="324"/>
    </row>
    <row r="61" ht="12.75" customHeight="1">
      <c r="A61" s="322"/>
      <c r="B61" s="338" t="s">
        <v>951</v>
      </c>
      <c r="C61" s="339"/>
      <c r="D61" s="339"/>
      <c r="E61" s="339"/>
      <c r="F61" s="324"/>
      <c r="G61" s="324"/>
      <c r="H61" s="401"/>
      <c r="I61" s="388"/>
      <c r="J61" s="322"/>
      <c r="K61" s="338" t="s">
        <v>951</v>
      </c>
      <c r="L61" s="339"/>
      <c r="M61" s="339"/>
      <c r="N61" s="339"/>
      <c r="O61" s="324"/>
    </row>
    <row r="62" ht="12.75" customHeight="1">
      <c r="A62" s="322"/>
      <c r="B62" s="340" t="s">
        <v>953</v>
      </c>
      <c r="C62" s="341" t="s">
        <v>954</v>
      </c>
      <c r="D62" s="341" t="s">
        <v>955</v>
      </c>
      <c r="E62" s="341" t="s">
        <v>35</v>
      </c>
      <c r="F62" s="324"/>
      <c r="G62" s="324"/>
      <c r="H62" s="386"/>
      <c r="I62" s="388"/>
      <c r="J62" s="322"/>
      <c r="K62" s="340" t="s">
        <v>953</v>
      </c>
      <c r="L62" s="341" t="s">
        <v>954</v>
      </c>
      <c r="M62" s="341" t="s">
        <v>955</v>
      </c>
      <c r="N62" s="341" t="s">
        <v>35</v>
      </c>
      <c r="O62" s="324"/>
    </row>
    <row r="63" ht="12.75" customHeight="1">
      <c r="A63" s="322"/>
      <c r="B63" s="139" t="s">
        <v>1232</v>
      </c>
      <c r="C63" s="344">
        <v>0.75</v>
      </c>
      <c r="D63" s="343">
        <f>1.4*90000</f>
        <v>126000</v>
      </c>
      <c r="E63" s="67">
        <f t="shared" ref="E63:E64" si="5">IF(OR(ISBLANK(C63),ISBLANK(D63)),"",D63*C63)</f>
        <v>94500</v>
      </c>
      <c r="F63" s="324"/>
      <c r="G63" s="324"/>
      <c r="H63" s="386"/>
      <c r="I63" s="388"/>
      <c r="J63" s="322"/>
      <c r="K63" s="60" t="s">
        <v>842</v>
      </c>
      <c r="L63" s="344">
        <v>0.1</v>
      </c>
      <c r="M63" s="343">
        <f>'F&amp;B'!$F$281</f>
        <v>5400</v>
      </c>
      <c r="N63" s="67">
        <f t="shared" ref="N63:N65" si="6">IF(OR(ISBLANK(L63),ISBLANK(M63)),"",M63*L63)</f>
        <v>540</v>
      </c>
      <c r="O63" s="324"/>
    </row>
    <row r="64" ht="12.75" customHeight="1">
      <c r="A64" s="322"/>
      <c r="B64" s="228" t="s">
        <v>214</v>
      </c>
      <c r="C64" s="398">
        <v>0.2</v>
      </c>
      <c r="D64" s="371">
        <f>'F&amp;B'!F290</f>
        <v>6300</v>
      </c>
      <c r="E64" s="67">
        <f t="shared" si="5"/>
        <v>1260</v>
      </c>
      <c r="F64" s="324"/>
      <c r="G64" s="324"/>
      <c r="H64" s="386"/>
      <c r="I64" s="388"/>
      <c r="J64" s="322"/>
      <c r="K64" s="75"/>
      <c r="L64" s="346"/>
      <c r="M64" s="371"/>
      <c r="N64" s="67" t="str">
        <f t="shared" si="6"/>
        <v/>
      </c>
      <c r="O64" s="324"/>
    </row>
    <row r="65" ht="12.75" customHeight="1">
      <c r="A65" s="322"/>
      <c r="B65" s="75" t="s">
        <v>453</v>
      </c>
      <c r="C65" s="370">
        <f t="shared" ref="C65:E65" si="7">L73</f>
        <v>0.02</v>
      </c>
      <c r="D65" s="466">
        <f t="shared" si="7"/>
        <v>8100</v>
      </c>
      <c r="E65" s="466">
        <f t="shared" si="7"/>
        <v>162</v>
      </c>
      <c r="F65" s="324"/>
      <c r="G65" s="324"/>
      <c r="H65" s="386"/>
      <c r="I65" s="388"/>
      <c r="J65" s="322"/>
      <c r="K65" s="87"/>
      <c r="L65" s="355"/>
      <c r="M65" s="352"/>
      <c r="N65" s="67" t="str">
        <f t="shared" si="6"/>
        <v/>
      </c>
      <c r="O65" s="324"/>
    </row>
    <row r="66" ht="12.75" customHeight="1">
      <c r="A66" s="322"/>
      <c r="B66" s="338" t="s">
        <v>84</v>
      </c>
      <c r="C66" s="358"/>
      <c r="D66" s="358"/>
      <c r="E66" s="359">
        <f>IF(SUM(E63:E65)=0,"",SUM(E63:E65))</f>
        <v>95922</v>
      </c>
      <c r="F66" s="324"/>
      <c r="G66" s="324"/>
      <c r="H66" s="386"/>
      <c r="I66" s="388"/>
      <c r="J66" s="322"/>
      <c r="K66" s="338" t="s">
        <v>84</v>
      </c>
      <c r="L66" s="358"/>
      <c r="M66" s="358"/>
      <c r="N66" s="359">
        <f>IF(SUM(N63:N65)=0,"",SUM(N63:N65))</f>
        <v>540</v>
      </c>
      <c r="O66" s="324"/>
    </row>
    <row r="67" ht="12.75" customHeight="1">
      <c r="A67" s="322"/>
      <c r="B67" s="360"/>
      <c r="C67" s="360"/>
      <c r="D67" s="360"/>
      <c r="E67" s="361"/>
      <c r="F67" s="324"/>
      <c r="G67" s="324"/>
      <c r="H67" s="386"/>
      <c r="I67" s="388"/>
      <c r="J67" s="322"/>
      <c r="K67" s="360"/>
      <c r="L67" s="360"/>
      <c r="M67" s="360"/>
      <c r="N67" s="361"/>
      <c r="O67" s="324"/>
    </row>
    <row r="68" ht="12.75" customHeight="1">
      <c r="A68" s="322"/>
      <c r="B68" s="362" t="s">
        <v>972</v>
      </c>
      <c r="C68" s="363"/>
      <c r="D68" s="363"/>
      <c r="E68" s="363"/>
      <c r="F68" s="324"/>
      <c r="G68" s="324"/>
      <c r="H68" s="386"/>
      <c r="I68" s="388"/>
      <c r="J68" s="322"/>
      <c r="K68" s="362" t="s">
        <v>972</v>
      </c>
      <c r="L68" s="363"/>
      <c r="M68" s="363"/>
      <c r="N68" s="363"/>
      <c r="O68" s="324"/>
    </row>
    <row r="69" ht="12.75" customHeight="1">
      <c r="A69" s="322"/>
      <c r="B69" s="365" t="s">
        <v>953</v>
      </c>
      <c r="C69" s="366" t="s">
        <v>3</v>
      </c>
      <c r="D69" s="366" t="s">
        <v>975</v>
      </c>
      <c r="E69" s="367" t="s">
        <v>35</v>
      </c>
      <c r="F69" s="324"/>
      <c r="G69" s="324"/>
      <c r="H69" s="386"/>
      <c r="I69" s="388"/>
      <c r="J69" s="322"/>
      <c r="K69" s="365" t="s">
        <v>953</v>
      </c>
      <c r="L69" s="366" t="s">
        <v>3</v>
      </c>
      <c r="M69" s="366" t="s">
        <v>975</v>
      </c>
      <c r="N69" s="367" t="s">
        <v>35</v>
      </c>
      <c r="O69" s="324"/>
    </row>
    <row r="70" ht="12.75" customHeight="1">
      <c r="A70" s="322"/>
      <c r="B70" s="368"/>
      <c r="C70" s="366"/>
      <c r="D70" s="366"/>
      <c r="E70" s="368"/>
      <c r="F70" s="324"/>
      <c r="G70" s="324"/>
      <c r="H70" s="386"/>
      <c r="I70" s="388"/>
      <c r="J70" s="322"/>
      <c r="K70" s="368"/>
      <c r="L70" s="366"/>
      <c r="M70" s="366"/>
      <c r="N70" s="368"/>
      <c r="O70" s="324"/>
    </row>
    <row r="71" ht="12.75" customHeight="1">
      <c r="A71" s="322"/>
      <c r="B71" s="139" t="s">
        <v>54</v>
      </c>
      <c r="C71" s="344">
        <v>0.04</v>
      </c>
      <c r="D71" s="343">
        <f>M71</f>
        <v>18562.5</v>
      </c>
      <c r="E71" s="67">
        <f t="shared" ref="E71:E80" si="8">D71*C71</f>
        <v>742.5</v>
      </c>
      <c r="F71" s="324"/>
      <c r="G71" s="324"/>
      <c r="H71" s="386"/>
      <c r="I71" s="388"/>
      <c r="J71" s="322"/>
      <c r="K71" s="60" t="s">
        <v>54</v>
      </c>
      <c r="L71" s="342">
        <v>0.11</v>
      </c>
      <c r="M71" s="467">
        <f>'F&amp;B'!F57/8</f>
        <v>18562.5</v>
      </c>
      <c r="N71" s="67">
        <f t="shared" ref="N71:N80" si="9">M71*L71</f>
        <v>2041.875</v>
      </c>
      <c r="O71" s="324"/>
    </row>
    <row r="72" ht="12.75" customHeight="1">
      <c r="A72" s="322"/>
      <c r="B72" s="75"/>
      <c r="C72" s="370"/>
      <c r="D72" s="371"/>
      <c r="E72" s="67">
        <f t="shared" si="8"/>
        <v>0</v>
      </c>
      <c r="F72" s="324"/>
      <c r="G72" s="324"/>
      <c r="H72" s="386"/>
      <c r="I72" s="388"/>
      <c r="J72" s="322"/>
      <c r="K72" s="75" t="s">
        <v>457</v>
      </c>
      <c r="L72" s="370">
        <v>0.25</v>
      </c>
      <c r="M72" s="468">
        <f>'F&amp;B'!F311</f>
        <v>2970</v>
      </c>
      <c r="N72" s="67">
        <f t="shared" si="9"/>
        <v>742.5</v>
      </c>
      <c r="O72" s="324"/>
    </row>
    <row r="73" ht="12.75" customHeight="1">
      <c r="A73" s="322"/>
      <c r="B73" s="75"/>
      <c r="C73" s="370"/>
      <c r="D73" s="371"/>
      <c r="E73" s="67">
        <f t="shared" si="8"/>
        <v>0</v>
      </c>
      <c r="F73" s="324"/>
      <c r="G73" s="324"/>
      <c r="H73" s="386"/>
      <c r="I73" s="388"/>
      <c r="J73" s="322"/>
      <c r="K73" s="75" t="s">
        <v>66</v>
      </c>
      <c r="L73" s="370">
        <v>0.02</v>
      </c>
      <c r="M73" s="468">
        <f>'F&amp;B'!F287</f>
        <v>8100</v>
      </c>
      <c r="N73" s="67">
        <f t="shared" si="9"/>
        <v>162</v>
      </c>
      <c r="O73" s="324"/>
    </row>
    <row r="74" ht="12.75" customHeight="1">
      <c r="A74" s="322"/>
      <c r="B74" s="75"/>
      <c r="C74" s="342"/>
      <c r="D74" s="343"/>
      <c r="E74" s="67">
        <f t="shared" si="8"/>
        <v>0</v>
      </c>
      <c r="F74" s="324"/>
      <c r="G74" s="324"/>
      <c r="H74" s="386"/>
      <c r="I74" s="388"/>
      <c r="J74" s="322"/>
      <c r="K74" s="75"/>
      <c r="L74" s="346"/>
      <c r="M74" s="75"/>
      <c r="N74" s="67">
        <f t="shared" si="9"/>
        <v>0</v>
      </c>
      <c r="O74" s="324"/>
    </row>
    <row r="75" ht="12.75" customHeight="1">
      <c r="A75" s="322"/>
      <c r="B75" s="75"/>
      <c r="C75" s="346"/>
      <c r="D75" s="371"/>
      <c r="E75" s="67">
        <f t="shared" si="8"/>
        <v>0</v>
      </c>
      <c r="F75" s="324"/>
      <c r="G75" s="324"/>
      <c r="H75" s="386"/>
      <c r="I75" s="388"/>
      <c r="J75" s="322"/>
      <c r="K75" s="75"/>
      <c r="L75" s="346"/>
      <c r="M75" s="371"/>
      <c r="N75" s="67">
        <f t="shared" si="9"/>
        <v>0</v>
      </c>
      <c r="O75" s="324"/>
    </row>
    <row r="76" ht="12.75" customHeight="1">
      <c r="A76" s="322"/>
      <c r="B76" s="75"/>
      <c r="C76" s="346"/>
      <c r="D76" s="435"/>
      <c r="E76" s="67">
        <f t="shared" si="8"/>
        <v>0</v>
      </c>
      <c r="F76" s="324"/>
      <c r="G76" s="324"/>
      <c r="H76" s="386"/>
      <c r="I76" s="388"/>
      <c r="J76" s="322"/>
      <c r="K76" s="75"/>
      <c r="L76" s="346"/>
      <c r="M76" s="373"/>
      <c r="N76" s="67">
        <f t="shared" si="9"/>
        <v>0</v>
      </c>
      <c r="O76" s="324"/>
    </row>
    <row r="77" ht="12.75" customHeight="1">
      <c r="A77" s="322"/>
      <c r="B77" s="436"/>
      <c r="C77" s="346"/>
      <c r="D77" s="435"/>
      <c r="E77" s="67">
        <f t="shared" si="8"/>
        <v>0</v>
      </c>
      <c r="F77" s="324"/>
      <c r="G77" s="324"/>
      <c r="H77" s="386"/>
      <c r="I77" s="388"/>
      <c r="J77" s="322"/>
      <c r="K77" s="348"/>
      <c r="L77" s="346"/>
      <c r="M77" s="373"/>
      <c r="N77" s="67">
        <f t="shared" si="9"/>
        <v>0</v>
      </c>
      <c r="O77" s="324"/>
    </row>
    <row r="78" ht="12.75" customHeight="1">
      <c r="A78" s="322"/>
      <c r="B78" s="348"/>
      <c r="C78" s="346"/>
      <c r="D78" s="373"/>
      <c r="E78" s="67">
        <f t="shared" si="8"/>
        <v>0</v>
      </c>
      <c r="F78" s="324"/>
      <c r="G78" s="324"/>
      <c r="H78" s="386"/>
      <c r="I78" s="388"/>
      <c r="J78" s="322"/>
      <c r="K78" s="348"/>
      <c r="L78" s="346"/>
      <c r="M78" s="373"/>
      <c r="N78" s="67">
        <f t="shared" si="9"/>
        <v>0</v>
      </c>
      <c r="O78" s="324"/>
    </row>
    <row r="79" ht="12.75" customHeight="1">
      <c r="A79" s="322"/>
      <c r="B79" s="348"/>
      <c r="C79" s="346"/>
      <c r="D79" s="373"/>
      <c r="E79" s="67">
        <f t="shared" si="8"/>
        <v>0</v>
      </c>
      <c r="F79" s="324"/>
      <c r="G79" s="324"/>
      <c r="H79" s="386"/>
      <c r="I79" s="388"/>
      <c r="J79" s="322"/>
      <c r="K79" s="348"/>
      <c r="L79" s="346"/>
      <c r="M79" s="373"/>
      <c r="N79" s="67">
        <f t="shared" si="9"/>
        <v>0</v>
      </c>
      <c r="O79" s="324"/>
    </row>
    <row r="80" ht="12.75" customHeight="1">
      <c r="A80" s="322"/>
      <c r="B80" s="354"/>
      <c r="C80" s="355"/>
      <c r="D80" s="356"/>
      <c r="E80" s="67">
        <f t="shared" si="8"/>
        <v>0</v>
      </c>
      <c r="F80" s="324"/>
      <c r="G80" s="324"/>
      <c r="H80" s="386"/>
      <c r="I80" s="388"/>
      <c r="J80" s="322"/>
      <c r="K80" s="354"/>
      <c r="L80" s="355"/>
      <c r="M80" s="356"/>
      <c r="N80" s="67">
        <f t="shared" si="9"/>
        <v>0</v>
      </c>
      <c r="O80" s="324"/>
    </row>
    <row r="81" ht="12.75" customHeight="1">
      <c r="A81" s="322"/>
      <c r="B81" s="362" t="s">
        <v>84</v>
      </c>
      <c r="C81" s="374"/>
      <c r="D81" s="374"/>
      <c r="E81" s="375">
        <f>IF(SUM(E71:E80)=0,"",SUM(E71:E80))</f>
        <v>742.5</v>
      </c>
      <c r="F81" s="324"/>
      <c r="G81" s="324"/>
      <c r="H81" s="386"/>
      <c r="I81" s="388"/>
      <c r="J81" s="322"/>
      <c r="K81" s="362" t="s">
        <v>84</v>
      </c>
      <c r="L81" s="374"/>
      <c r="M81" s="374"/>
      <c r="N81" s="375">
        <f>IF(SUM(N71:N80)=0,"",SUM(N71:N80))</f>
        <v>2946.375</v>
      </c>
      <c r="O81" s="324"/>
    </row>
    <row r="82" ht="12.75" customHeight="1">
      <c r="A82" s="322"/>
      <c r="B82" s="360"/>
      <c r="C82" s="360"/>
      <c r="D82" s="360"/>
      <c r="E82" s="361"/>
      <c r="F82" s="324"/>
      <c r="G82" s="324"/>
      <c r="H82" s="386"/>
      <c r="I82" s="388"/>
      <c r="J82" s="322"/>
      <c r="K82" s="360"/>
      <c r="L82" s="360"/>
      <c r="M82" s="360"/>
      <c r="N82" s="361"/>
      <c r="O82" s="324"/>
    </row>
    <row r="83" ht="12.75" customHeight="1">
      <c r="A83" s="322"/>
      <c r="B83" s="34" t="s">
        <v>17</v>
      </c>
      <c r="C83" s="35"/>
      <c r="D83" s="35"/>
      <c r="E83" s="35"/>
      <c r="F83" s="324"/>
      <c r="G83" s="324"/>
      <c r="H83" s="386"/>
      <c r="I83" s="388"/>
      <c r="J83" s="322"/>
      <c r="K83" s="34" t="s">
        <v>17</v>
      </c>
      <c r="L83" s="35"/>
      <c r="M83" s="35"/>
      <c r="N83" s="35"/>
      <c r="O83" s="324"/>
    </row>
    <row r="84" ht="12.75" customHeight="1">
      <c r="A84" s="322"/>
      <c r="B84" s="52" t="s">
        <v>42</v>
      </c>
      <c r="C84" s="54"/>
      <c r="D84" s="54"/>
      <c r="E84" s="56" t="s">
        <v>35</v>
      </c>
      <c r="F84" s="324"/>
      <c r="G84" s="324"/>
      <c r="H84" s="386"/>
      <c r="I84" s="388"/>
      <c r="J84" s="322"/>
      <c r="K84" s="52" t="s">
        <v>42</v>
      </c>
      <c r="L84" s="54"/>
      <c r="M84" s="54"/>
      <c r="N84" s="56" t="s">
        <v>35</v>
      </c>
      <c r="O84" s="324"/>
    </row>
    <row r="85" ht="12.75" customHeight="1">
      <c r="A85" s="322"/>
      <c r="B85" s="60" t="s">
        <v>40</v>
      </c>
      <c r="C85" s="343">
        <f>'UTL COST'!$B$3</f>
        <v>369000</v>
      </c>
      <c r="D85" s="379">
        <f>'UTL COST'!$C$3</f>
        <v>0.0075</v>
      </c>
      <c r="E85" s="67">
        <f>'UTL COST'!$D$3</f>
        <v>2767.5</v>
      </c>
      <c r="F85" s="324"/>
      <c r="G85" s="324"/>
      <c r="H85" s="386"/>
      <c r="I85" s="388"/>
      <c r="J85" s="322"/>
      <c r="K85" s="60" t="s">
        <v>40</v>
      </c>
      <c r="L85" s="343">
        <f>'UTL COST'!$B$3</f>
        <v>369000</v>
      </c>
      <c r="M85" s="379">
        <f>'UTL COST'!$C$3</f>
        <v>0.0075</v>
      </c>
      <c r="N85" s="67">
        <f>'UTL COST'!$D$3</f>
        <v>2767.5</v>
      </c>
      <c r="O85" s="324"/>
    </row>
    <row r="86" ht="12.75" customHeight="1">
      <c r="A86" s="322"/>
      <c r="B86" s="75" t="s">
        <v>51</v>
      </c>
      <c r="C86" s="371" t="str">
        <f>'UTL COST'!$B$4</f>
        <v>#REF!</v>
      </c>
      <c r="D86" s="382">
        <f>'UTL COST'!$C$4</f>
        <v>7000</v>
      </c>
      <c r="E86" s="76" t="str">
        <f>'UTL COST'!$D$4</f>
        <v>#REF!</v>
      </c>
      <c r="F86" s="324"/>
      <c r="G86" s="324"/>
      <c r="H86" s="386"/>
      <c r="I86" s="388"/>
      <c r="J86" s="322"/>
      <c r="K86" s="75" t="s">
        <v>51</v>
      </c>
      <c r="L86" s="371" t="str">
        <f>'UTL COST'!$B$4</f>
        <v>#REF!</v>
      </c>
      <c r="M86" s="382">
        <f>'UTL COST'!$C$4</f>
        <v>7000</v>
      </c>
      <c r="N86" s="76" t="str">
        <f>'UTL COST'!$D$4</f>
        <v>#REF!</v>
      </c>
      <c r="O86" s="324"/>
    </row>
    <row r="87" ht="12.75" customHeight="1">
      <c r="A87" s="322"/>
      <c r="B87" s="75" t="s">
        <v>59</v>
      </c>
      <c r="C87" s="371" t="str">
        <f>'UTL COST'!$B$5</f>
        <v>#REF!</v>
      </c>
      <c r="D87" s="382">
        <f>'UTL COST'!$C$5</f>
        <v>45000</v>
      </c>
      <c r="E87" s="76" t="str">
        <f>'UTL COST'!$D$5</f>
        <v>#REF!</v>
      </c>
      <c r="F87" s="324"/>
      <c r="G87" s="324"/>
      <c r="H87" s="386"/>
      <c r="I87" s="388"/>
      <c r="J87" s="322"/>
      <c r="K87" s="75" t="s">
        <v>59</v>
      </c>
      <c r="L87" s="371" t="str">
        <f>'UTL COST'!$B$5</f>
        <v>#REF!</v>
      </c>
      <c r="M87" s="382">
        <f>'UTL COST'!$C$5</f>
        <v>45000</v>
      </c>
      <c r="N87" s="76" t="str">
        <f>'UTL COST'!$D$5</f>
        <v>#REF!</v>
      </c>
      <c r="O87" s="324"/>
    </row>
    <row r="88" ht="12.75" customHeight="1">
      <c r="A88" s="322"/>
      <c r="B88" s="87" t="s">
        <v>78</v>
      </c>
      <c r="C88" s="371" t="str">
        <f>'UTL COST'!$B$6</f>
        <v>#REF!</v>
      </c>
      <c r="D88" s="383">
        <f>'UTL COST'!$C$6</f>
        <v>525</v>
      </c>
      <c r="E88" s="89">
        <v>0.1</v>
      </c>
      <c r="F88" s="324"/>
      <c r="G88" s="324"/>
      <c r="H88" s="386"/>
      <c r="I88" s="388"/>
      <c r="J88" s="322"/>
      <c r="K88" s="87" t="s">
        <v>78</v>
      </c>
      <c r="L88" s="371" t="str">
        <f>'UTL COST'!$B$6</f>
        <v>#REF!</v>
      </c>
      <c r="M88" s="383">
        <f>'UTL COST'!$C$6</f>
        <v>525</v>
      </c>
      <c r="N88" s="89">
        <v>0.1</v>
      </c>
      <c r="O88" s="324"/>
    </row>
    <row r="89" ht="12.75" customHeight="1">
      <c r="A89" s="322"/>
      <c r="B89" s="34" t="s">
        <v>84</v>
      </c>
      <c r="C89" s="102"/>
      <c r="D89" s="102"/>
      <c r="E89" s="104" t="str">
        <f>IF(SUM(E85:E88)=0,"",SUM(E85:E88))</f>
        <v>#REF!</v>
      </c>
      <c r="F89" s="324"/>
      <c r="G89" s="324"/>
      <c r="H89" s="386"/>
      <c r="I89" s="388"/>
      <c r="J89" s="322"/>
      <c r="K89" s="34" t="s">
        <v>84</v>
      </c>
      <c r="L89" s="102"/>
      <c r="M89" s="102"/>
      <c r="N89" s="104" t="str">
        <f>IF(SUM(N85:N88)=0,"",SUM(N85:N88))</f>
        <v>#REF!</v>
      </c>
      <c r="O89" s="324"/>
    </row>
    <row r="90" ht="12.75" customHeight="1">
      <c r="A90" s="322"/>
      <c r="B90" s="360"/>
      <c r="C90" s="360"/>
      <c r="D90" s="360"/>
      <c r="E90" s="361"/>
      <c r="F90" s="324"/>
      <c r="G90" s="324"/>
      <c r="H90" s="386"/>
      <c r="I90" s="388"/>
      <c r="J90" s="322"/>
      <c r="K90" s="360"/>
      <c r="L90" s="360"/>
      <c r="M90" s="360"/>
      <c r="N90" s="361"/>
      <c r="O90" s="324"/>
    </row>
    <row r="91" ht="12.75" customHeight="1">
      <c r="A91" s="388"/>
      <c r="B91" s="432"/>
      <c r="C91" s="432"/>
      <c r="D91" s="432"/>
      <c r="E91" s="433"/>
      <c r="F91" s="387"/>
      <c r="G91" s="387"/>
      <c r="H91" s="386"/>
      <c r="I91" s="388"/>
      <c r="J91" s="388"/>
      <c r="K91" s="432"/>
      <c r="L91" s="432"/>
      <c r="M91" s="432"/>
      <c r="N91" s="433"/>
      <c r="O91" s="387"/>
    </row>
    <row r="92" ht="12.75" customHeight="1">
      <c r="A92" s="387"/>
      <c r="B92" s="387"/>
      <c r="C92" s="387"/>
      <c r="D92" s="387"/>
      <c r="E92" s="418"/>
      <c r="F92" s="387"/>
      <c r="G92" s="387"/>
      <c r="H92" s="386"/>
      <c r="I92" s="387"/>
      <c r="J92" s="387"/>
      <c r="K92" s="387"/>
      <c r="L92" s="387"/>
      <c r="M92" s="387"/>
      <c r="N92" s="387"/>
      <c r="O92" s="387"/>
    </row>
    <row r="93" ht="12.75" customHeight="1">
      <c r="A93" s="387"/>
      <c r="B93" s="387"/>
      <c r="C93" s="387"/>
      <c r="D93" s="387"/>
      <c r="E93" s="418"/>
      <c r="F93" s="387"/>
      <c r="G93" s="387"/>
      <c r="H93" s="386"/>
      <c r="I93" s="387"/>
      <c r="J93" s="387"/>
      <c r="K93" s="387"/>
      <c r="L93" s="387"/>
      <c r="M93" s="387"/>
      <c r="N93" s="387"/>
      <c r="O93" s="387"/>
    </row>
    <row r="94" ht="12.75" customHeight="1">
      <c r="A94" s="387"/>
      <c r="B94" s="387"/>
      <c r="C94" s="387"/>
      <c r="D94" s="387"/>
      <c r="E94" s="418"/>
      <c r="F94" s="387"/>
      <c r="G94" s="387"/>
      <c r="H94" s="386"/>
      <c r="I94" s="387"/>
      <c r="J94" s="387"/>
      <c r="K94" s="387"/>
      <c r="L94" s="387"/>
      <c r="M94" s="387"/>
      <c r="N94" s="387"/>
      <c r="O94" s="387"/>
    </row>
    <row r="95" ht="12.75" customHeight="1">
      <c r="A95" s="387"/>
      <c r="B95" s="387"/>
      <c r="C95" s="387"/>
      <c r="D95" s="387"/>
      <c r="E95" s="387"/>
      <c r="F95" s="387"/>
      <c r="G95" s="387"/>
      <c r="H95" s="386"/>
      <c r="I95" s="387"/>
      <c r="J95" s="387"/>
      <c r="K95" s="387"/>
      <c r="L95" s="387"/>
      <c r="M95" s="387"/>
      <c r="N95" s="387"/>
      <c r="O95" s="387"/>
    </row>
    <row r="96" ht="12.75" customHeight="1">
      <c r="A96" s="322"/>
      <c r="B96" s="322"/>
      <c r="C96" s="322"/>
      <c r="D96" s="322"/>
      <c r="E96" s="323"/>
      <c r="F96" s="324"/>
      <c r="G96" s="324"/>
      <c r="H96" s="386"/>
      <c r="I96" s="388"/>
      <c r="J96" s="322"/>
      <c r="K96" s="322"/>
      <c r="L96" s="322"/>
      <c r="M96" s="322"/>
      <c r="N96" s="323"/>
      <c r="O96" s="324"/>
    </row>
    <row r="97" ht="12.75" customHeight="1">
      <c r="A97" s="322"/>
      <c r="B97" s="325"/>
      <c r="C97" s="322"/>
      <c r="D97" s="322"/>
      <c r="E97" s="323"/>
      <c r="F97" s="326"/>
      <c r="G97" s="326"/>
      <c r="H97" s="391"/>
      <c r="I97" s="388"/>
      <c r="J97" s="322"/>
      <c r="K97" s="325"/>
      <c r="L97" s="322"/>
      <c r="M97" s="322"/>
      <c r="N97" s="323"/>
      <c r="O97" s="326"/>
    </row>
    <row r="98" ht="12.75" customHeight="1">
      <c r="A98" s="322"/>
      <c r="B98" s="327" t="s">
        <v>931</v>
      </c>
      <c r="C98" s="330" t="s">
        <v>1246</v>
      </c>
      <c r="D98" s="329"/>
      <c r="E98" s="323"/>
      <c r="F98" s="326"/>
      <c r="G98" s="326"/>
      <c r="H98" s="391"/>
      <c r="I98" s="388"/>
      <c r="J98" s="322"/>
      <c r="K98" s="327" t="s">
        <v>931</v>
      </c>
      <c r="L98" s="330" t="s">
        <v>1247</v>
      </c>
      <c r="M98" s="329"/>
      <c r="N98" s="323"/>
      <c r="O98" s="326"/>
    </row>
    <row r="99" ht="12.75" customHeight="1">
      <c r="A99" s="322"/>
      <c r="B99" s="325"/>
      <c r="C99" s="322"/>
      <c r="D99" s="322"/>
      <c r="E99" s="323"/>
      <c r="F99" s="326"/>
      <c r="G99" s="326"/>
      <c r="H99" s="391"/>
      <c r="I99" s="388"/>
      <c r="J99" s="322"/>
      <c r="K99" s="325"/>
      <c r="L99" s="322"/>
      <c r="M99" s="322"/>
      <c r="N99" s="323"/>
      <c r="O99" s="326"/>
    </row>
    <row r="100" ht="12.75" customHeight="1">
      <c r="A100" s="322"/>
      <c r="B100" s="327" t="s">
        <v>935</v>
      </c>
      <c r="C100" s="440">
        <f>E100*90000</f>
        <v>990000</v>
      </c>
      <c r="D100" s="329"/>
      <c r="E100" s="394">
        <v>11.0</v>
      </c>
      <c r="F100" s="326"/>
      <c r="G100" s="326"/>
      <c r="H100" s="391"/>
      <c r="I100" s="388"/>
      <c r="J100" s="322"/>
      <c r="K100" s="327" t="s">
        <v>935</v>
      </c>
      <c r="L100" s="440">
        <f>N100*90000</f>
        <v>1080000</v>
      </c>
      <c r="M100" s="329"/>
      <c r="N100" s="394">
        <v>12.0</v>
      </c>
      <c r="O100" s="326"/>
    </row>
    <row r="101" ht="12.75" customHeight="1">
      <c r="A101" s="322"/>
      <c r="B101" s="327"/>
      <c r="C101" s="332"/>
      <c r="D101" s="332"/>
      <c r="E101" s="323"/>
      <c r="F101" s="326"/>
      <c r="G101" s="326"/>
      <c r="H101" s="391"/>
      <c r="I101" s="388"/>
      <c r="J101" s="322"/>
      <c r="K101" s="327"/>
      <c r="L101" s="332"/>
      <c r="M101" s="332"/>
      <c r="N101" s="323"/>
      <c r="O101" s="326"/>
    </row>
    <row r="102" ht="12.75" customHeight="1">
      <c r="A102" s="322"/>
      <c r="B102" s="327" t="s">
        <v>939</v>
      </c>
      <c r="C102" s="333" t="str">
        <f>IF(SUM(E114,E129,E137)=0,"",SUM(E114,E129,E137))</f>
        <v>#REF!</v>
      </c>
      <c r="D102" s="321"/>
      <c r="E102" s="323" t="str">
        <f>C102/90000</f>
        <v>#REF!</v>
      </c>
      <c r="F102" s="326"/>
      <c r="G102" s="326"/>
      <c r="H102" s="391"/>
      <c r="I102" s="388"/>
      <c r="J102" s="322"/>
      <c r="K102" s="327" t="s">
        <v>939</v>
      </c>
      <c r="L102" s="333" t="str">
        <f>IF(SUM(N114,N129,N137)=0,"",SUM(N114,N129,N137))</f>
        <v>#REF!</v>
      </c>
      <c r="M102" s="321"/>
      <c r="N102" s="323" t="str">
        <f>L102/90000</f>
        <v>#REF!</v>
      </c>
      <c r="O102" s="326"/>
    </row>
    <row r="103" ht="12.75" customHeight="1">
      <c r="A103" s="322"/>
      <c r="B103" s="327"/>
      <c r="C103" s="334"/>
      <c r="D103" s="334"/>
      <c r="E103" s="323"/>
      <c r="F103" s="326"/>
      <c r="G103" s="326"/>
      <c r="H103" s="391"/>
      <c r="I103" s="388"/>
      <c r="J103" s="322"/>
      <c r="K103" s="327"/>
      <c r="L103" s="334"/>
      <c r="M103" s="334"/>
      <c r="N103" s="323"/>
      <c r="O103" s="326"/>
    </row>
    <row r="104" ht="12.75" customHeight="1">
      <c r="A104" s="322"/>
      <c r="B104" s="327" t="s">
        <v>946</v>
      </c>
      <c r="C104" s="335" t="str">
        <f>IF(C102="","",IF(ISBLANK(C100),"",C102/C100))</f>
        <v>#REF!</v>
      </c>
      <c r="D104" s="321"/>
      <c r="E104" s="323"/>
      <c r="F104" s="326"/>
      <c r="G104" s="326"/>
      <c r="H104" s="391"/>
      <c r="I104" s="388"/>
      <c r="J104" s="322"/>
      <c r="K104" s="327" t="s">
        <v>946</v>
      </c>
      <c r="L104" s="335" t="str">
        <f>IF(L102="","",IF(ISBLANK(L100),"",L102/L100))</f>
        <v>#REF!</v>
      </c>
      <c r="M104" s="321"/>
      <c r="N104" s="323"/>
      <c r="O104" s="326"/>
    </row>
    <row r="105" ht="12.75" customHeight="1">
      <c r="A105" s="322"/>
      <c r="B105" s="327"/>
      <c r="C105" s="334"/>
      <c r="D105" s="334"/>
      <c r="E105" s="323"/>
      <c r="F105" s="326"/>
      <c r="G105" s="326"/>
      <c r="H105" s="391"/>
      <c r="I105" s="388"/>
      <c r="J105" s="322"/>
      <c r="K105" s="327"/>
      <c r="L105" s="334"/>
      <c r="M105" s="334"/>
      <c r="N105" s="323"/>
      <c r="O105" s="326"/>
    </row>
    <row r="106" ht="12.75" customHeight="1">
      <c r="A106" s="322"/>
      <c r="B106" s="327" t="s">
        <v>950</v>
      </c>
      <c r="C106" s="333" t="str">
        <f>C100-C102</f>
        <v>#REF!</v>
      </c>
      <c r="D106" s="321"/>
      <c r="E106" s="323"/>
      <c r="F106" s="326"/>
      <c r="G106" s="326"/>
      <c r="H106" s="391"/>
      <c r="I106" s="388"/>
      <c r="J106" s="322"/>
      <c r="K106" s="327" t="s">
        <v>950</v>
      </c>
      <c r="L106" s="333" t="str">
        <f>L100-L102</f>
        <v>#REF!</v>
      </c>
      <c r="M106" s="321"/>
      <c r="N106" s="323"/>
      <c r="O106" s="326"/>
    </row>
    <row r="107" ht="12.75" customHeight="1">
      <c r="A107" s="322"/>
      <c r="B107" s="322"/>
      <c r="C107" s="322"/>
      <c r="D107" s="322"/>
      <c r="E107" s="323"/>
      <c r="F107" s="324"/>
      <c r="G107" s="324"/>
      <c r="H107" s="391"/>
      <c r="I107" s="388"/>
      <c r="J107" s="322"/>
      <c r="K107" s="322"/>
      <c r="L107" s="322"/>
      <c r="M107" s="322"/>
      <c r="N107" s="323"/>
      <c r="O107" s="324"/>
    </row>
    <row r="108" ht="12.75" customHeight="1">
      <c r="A108" s="322"/>
      <c r="B108" s="322"/>
      <c r="C108" s="322"/>
      <c r="D108" s="322"/>
      <c r="E108" s="337"/>
      <c r="F108" s="324"/>
      <c r="G108" s="324"/>
      <c r="H108" s="386"/>
      <c r="I108" s="388"/>
      <c r="J108" s="322"/>
      <c r="K108" s="322"/>
      <c r="L108" s="322"/>
      <c r="M108" s="322"/>
      <c r="N108" s="337"/>
      <c r="O108" s="324"/>
    </row>
    <row r="109" ht="12.75" customHeight="1">
      <c r="A109" s="322"/>
      <c r="B109" s="338" t="s">
        <v>951</v>
      </c>
      <c r="C109" s="339"/>
      <c r="D109" s="339"/>
      <c r="E109" s="339"/>
      <c r="F109" s="324"/>
      <c r="G109" s="324"/>
      <c r="H109" s="401"/>
      <c r="I109" s="388"/>
      <c r="J109" s="322"/>
      <c r="K109" s="338" t="s">
        <v>951</v>
      </c>
      <c r="L109" s="339"/>
      <c r="M109" s="339"/>
      <c r="N109" s="339"/>
      <c r="O109" s="324"/>
    </row>
    <row r="110" ht="12.75" customHeight="1">
      <c r="A110" s="322"/>
      <c r="B110" s="340" t="s">
        <v>953</v>
      </c>
      <c r="C110" s="341" t="s">
        <v>954</v>
      </c>
      <c r="D110" s="341" t="s">
        <v>955</v>
      </c>
      <c r="E110" s="341" t="s">
        <v>35</v>
      </c>
      <c r="F110" s="324"/>
      <c r="G110" s="324"/>
      <c r="H110" s="386"/>
      <c r="I110" s="388"/>
      <c r="J110" s="322"/>
      <c r="K110" s="340" t="s">
        <v>953</v>
      </c>
      <c r="L110" s="341" t="s">
        <v>954</v>
      </c>
      <c r="M110" s="341" t="s">
        <v>955</v>
      </c>
      <c r="N110" s="341" t="s">
        <v>35</v>
      </c>
      <c r="O110" s="324"/>
    </row>
    <row r="111" ht="12.75" customHeight="1">
      <c r="A111" s="322"/>
      <c r="B111" s="139" t="s">
        <v>1249</v>
      </c>
      <c r="C111" s="344">
        <v>1.0</v>
      </c>
      <c r="D111" s="470">
        <f>'F&amp;B'!E65*90000</f>
        <v>99000</v>
      </c>
      <c r="E111" s="67">
        <f t="shared" ref="E111:E113" si="10">IF(OR(ISBLANK(C111),ISBLANK(D111)),"",D111*C111)</f>
        <v>99000</v>
      </c>
      <c r="F111" s="324"/>
      <c r="G111" s="324"/>
      <c r="H111" s="386"/>
      <c r="I111" s="388"/>
      <c r="J111" s="322"/>
      <c r="K111" s="139" t="s">
        <v>1251</v>
      </c>
      <c r="L111" s="344">
        <v>0.2</v>
      </c>
      <c r="M111" s="371">
        <f>D156</f>
        <v>53910</v>
      </c>
      <c r="N111" s="67">
        <f t="shared" ref="N111:N113" si="11">IF(OR(ISBLANK(L111),ISBLANK(M111)),"",M111*L111)</f>
        <v>10782</v>
      </c>
      <c r="O111" s="324"/>
    </row>
    <row r="112" ht="12.75" customHeight="1">
      <c r="A112" s="322"/>
      <c r="B112" s="75" t="s">
        <v>1220</v>
      </c>
      <c r="C112" s="370">
        <v>1.0</v>
      </c>
      <c r="D112" s="371">
        <f t="shared" ref="D112:D113" si="12">M20</f>
        <v>11925</v>
      </c>
      <c r="E112" s="67">
        <f t="shared" si="10"/>
        <v>11925</v>
      </c>
      <c r="F112" s="324"/>
      <c r="G112" s="324"/>
      <c r="H112" s="386"/>
      <c r="I112" s="388"/>
      <c r="J112" s="322"/>
      <c r="K112" s="228" t="s">
        <v>1253</v>
      </c>
      <c r="L112" s="346">
        <v>1.0</v>
      </c>
      <c r="M112" s="371">
        <f>'F&amp;B'!F13/6</f>
        <v>5550</v>
      </c>
      <c r="N112" s="67">
        <f t="shared" si="11"/>
        <v>5550</v>
      </c>
      <c r="O112" s="324"/>
    </row>
    <row r="113" ht="12.75" customHeight="1">
      <c r="A113" s="322"/>
      <c r="B113" s="406" t="s">
        <v>1223</v>
      </c>
      <c r="C113" s="407">
        <v>1.0</v>
      </c>
      <c r="D113" s="408">
        <f t="shared" si="12"/>
        <v>629.9629934</v>
      </c>
      <c r="E113" s="67">
        <f t="shared" si="10"/>
        <v>629.9629934</v>
      </c>
      <c r="F113" s="324"/>
      <c r="G113" s="324"/>
      <c r="H113" s="386"/>
      <c r="I113" s="388"/>
      <c r="J113" s="322"/>
      <c r="K113" s="228" t="s">
        <v>1042</v>
      </c>
      <c r="L113" s="370">
        <v>1.0</v>
      </c>
      <c r="M113" s="371">
        <f>D158</f>
        <v>629.9629934</v>
      </c>
      <c r="N113" s="67">
        <f t="shared" si="11"/>
        <v>629.9629934</v>
      </c>
      <c r="O113" s="324"/>
    </row>
    <row r="114" ht="12.75" customHeight="1">
      <c r="A114" s="322"/>
      <c r="B114" s="338" t="s">
        <v>84</v>
      </c>
      <c r="C114" s="358"/>
      <c r="D114" s="358"/>
      <c r="E114" s="359">
        <f>IF(SUM(E111:E113)=0,"",SUM(E111:E113))</f>
        <v>111554.963</v>
      </c>
      <c r="F114" s="324"/>
      <c r="G114" s="324"/>
      <c r="H114" s="386"/>
      <c r="I114" s="388"/>
      <c r="J114" s="322"/>
      <c r="K114" s="338" t="s">
        <v>84</v>
      </c>
      <c r="L114" s="358"/>
      <c r="M114" s="358"/>
      <c r="N114" s="359">
        <f>IF(SUM(N111:N113)=0,"",SUM(N111:N113))</f>
        <v>16961.96299</v>
      </c>
      <c r="O114" s="324"/>
    </row>
    <row r="115" ht="12.75" customHeight="1">
      <c r="A115" s="322"/>
      <c r="B115" s="360"/>
      <c r="C115" s="360"/>
      <c r="D115" s="360"/>
      <c r="E115" s="361"/>
      <c r="F115" s="324"/>
      <c r="G115" s="324"/>
      <c r="H115" s="386"/>
      <c r="I115" s="388"/>
      <c r="J115" s="322"/>
      <c r="K115" s="360"/>
      <c r="L115" s="360"/>
      <c r="M115" s="360"/>
      <c r="N115" s="361"/>
      <c r="O115" s="324"/>
    </row>
    <row r="116" ht="12.75" customHeight="1">
      <c r="A116" s="322"/>
      <c r="B116" s="362" t="s">
        <v>972</v>
      </c>
      <c r="C116" s="363"/>
      <c r="D116" s="363"/>
      <c r="E116" s="363"/>
      <c r="F116" s="324"/>
      <c r="G116" s="324"/>
      <c r="H116" s="386"/>
      <c r="I116" s="388"/>
      <c r="J116" s="322"/>
      <c r="K116" s="362" t="s">
        <v>972</v>
      </c>
      <c r="L116" s="363"/>
      <c r="M116" s="363"/>
      <c r="N116" s="363"/>
      <c r="O116" s="324"/>
    </row>
    <row r="117" ht="12.75" customHeight="1">
      <c r="A117" s="322"/>
      <c r="B117" s="365" t="s">
        <v>953</v>
      </c>
      <c r="C117" s="366" t="s">
        <v>3</v>
      </c>
      <c r="D117" s="366" t="s">
        <v>975</v>
      </c>
      <c r="E117" s="367" t="s">
        <v>35</v>
      </c>
      <c r="F117" s="324"/>
      <c r="G117" s="324"/>
      <c r="H117" s="386"/>
      <c r="I117" s="388"/>
      <c r="J117" s="322"/>
      <c r="K117" s="365" t="s">
        <v>953</v>
      </c>
      <c r="L117" s="366" t="s">
        <v>3</v>
      </c>
      <c r="M117" s="366" t="s">
        <v>975</v>
      </c>
      <c r="N117" s="367" t="s">
        <v>35</v>
      </c>
      <c r="O117" s="324"/>
    </row>
    <row r="118" ht="12.75" customHeight="1">
      <c r="A118" s="322"/>
      <c r="B118" s="368"/>
      <c r="C118" s="366"/>
      <c r="D118" s="366"/>
      <c r="E118" s="368"/>
      <c r="F118" s="324"/>
      <c r="G118" s="324"/>
      <c r="H118" s="386"/>
      <c r="I118" s="388"/>
      <c r="J118" s="322"/>
      <c r="K118" s="368"/>
      <c r="L118" s="366"/>
      <c r="M118" s="366"/>
      <c r="N118" s="368"/>
      <c r="O118" s="324"/>
    </row>
    <row r="119" ht="12.75" customHeight="1">
      <c r="A119" s="322"/>
      <c r="B119" s="60" t="s">
        <v>1000</v>
      </c>
      <c r="C119" s="342">
        <v>0.03</v>
      </c>
      <c r="D119" s="343">
        <f>'F&amp;B'!$F$277</f>
        <v>13500</v>
      </c>
      <c r="E119" s="67">
        <f t="shared" ref="E119:E122" si="13">D119*C119</f>
        <v>405</v>
      </c>
      <c r="F119" s="324"/>
      <c r="G119" s="324"/>
      <c r="H119" s="386"/>
      <c r="I119" s="388"/>
      <c r="J119" s="322"/>
      <c r="K119" s="60"/>
      <c r="L119" s="342"/>
      <c r="M119" s="343"/>
      <c r="N119" s="67"/>
      <c r="O119" s="324"/>
    </row>
    <row r="120" ht="12.75" customHeight="1">
      <c r="A120" s="322"/>
      <c r="B120" s="75" t="s">
        <v>1080</v>
      </c>
      <c r="C120" s="370">
        <v>0.04</v>
      </c>
      <c r="D120" s="371">
        <f>'F&amp;B'!$F$60*3</f>
        <v>29700</v>
      </c>
      <c r="E120" s="67">
        <f t="shared" si="13"/>
        <v>1188</v>
      </c>
      <c r="F120" s="324"/>
      <c r="G120" s="324"/>
      <c r="H120" s="386"/>
      <c r="I120" s="388"/>
      <c r="J120" s="322"/>
      <c r="K120" s="228" t="s">
        <v>1000</v>
      </c>
      <c r="L120" s="405">
        <v>0.09</v>
      </c>
      <c r="M120" s="371">
        <f>'F&amp;B'!F277</f>
        <v>13500</v>
      </c>
      <c r="N120" s="67">
        <f t="shared" ref="N120:N128" si="14">M120*L120</f>
        <v>1215</v>
      </c>
      <c r="O120" s="324"/>
    </row>
    <row r="121" ht="12.75" customHeight="1">
      <c r="A121" s="322"/>
      <c r="B121" s="75" t="s">
        <v>205</v>
      </c>
      <c r="C121" s="370">
        <v>1.0</v>
      </c>
      <c r="D121" s="371"/>
      <c r="E121" s="67">
        <f t="shared" si="13"/>
        <v>0</v>
      </c>
      <c r="F121" s="324"/>
      <c r="G121" s="324"/>
      <c r="H121" s="386"/>
      <c r="I121" s="388"/>
      <c r="J121" s="322"/>
      <c r="K121" s="75" t="s">
        <v>256</v>
      </c>
      <c r="L121" s="346">
        <v>1.0</v>
      </c>
      <c r="M121" s="371">
        <f>SAUCES!$D$68</f>
        <v>3768.104768</v>
      </c>
      <c r="N121" s="67">
        <f t="shared" si="14"/>
        <v>3768.104768</v>
      </c>
      <c r="O121" s="324"/>
    </row>
    <row r="122" ht="12.75" customHeight="1">
      <c r="A122" s="322"/>
      <c r="B122" s="75" t="s">
        <v>155</v>
      </c>
      <c r="C122" s="346">
        <v>1.0</v>
      </c>
      <c r="D122" s="371"/>
      <c r="E122" s="67">
        <f t="shared" si="13"/>
        <v>0</v>
      </c>
      <c r="F122" s="324"/>
      <c r="G122" s="324"/>
      <c r="H122" s="386"/>
      <c r="I122" s="388"/>
      <c r="J122" s="322"/>
      <c r="K122" s="75" t="s">
        <v>934</v>
      </c>
      <c r="L122" s="342">
        <v>0.16</v>
      </c>
      <c r="M122" s="343">
        <f>'F&amp;B'!$F$68/10</f>
        <v>19665</v>
      </c>
      <c r="N122" s="67">
        <f t="shared" si="14"/>
        <v>3146.4</v>
      </c>
      <c r="O122" s="324"/>
    </row>
    <row r="123" ht="12.75" customHeight="1">
      <c r="A123" s="322"/>
      <c r="B123" s="75" t="s">
        <v>1261</v>
      </c>
      <c r="C123" s="370">
        <v>0.015</v>
      </c>
      <c r="D123" s="371">
        <v>81000.0</v>
      </c>
      <c r="E123" s="67">
        <v>1215.0</v>
      </c>
      <c r="F123" s="324"/>
      <c r="G123" s="324"/>
      <c r="H123" s="386"/>
      <c r="I123" s="388"/>
      <c r="J123" s="322"/>
      <c r="K123" s="139" t="s">
        <v>1263</v>
      </c>
      <c r="L123" s="344">
        <v>1.0</v>
      </c>
      <c r="M123" s="343">
        <f>D164</f>
        <v>1364.138053</v>
      </c>
      <c r="N123" s="67">
        <f t="shared" si="14"/>
        <v>1364.138053</v>
      </c>
      <c r="O123" s="324"/>
    </row>
    <row r="124" ht="12.75" customHeight="1">
      <c r="A124" s="322"/>
      <c r="B124" s="75" t="s">
        <v>934</v>
      </c>
      <c r="C124" s="342">
        <v>0.2</v>
      </c>
      <c r="D124" s="343">
        <f>'F&amp;B'!$F$68/10</f>
        <v>19665</v>
      </c>
      <c r="E124" s="67">
        <f t="shared" ref="E124:E128" si="15">D124*C124</f>
        <v>3933</v>
      </c>
      <c r="F124" s="324"/>
      <c r="G124" s="324"/>
      <c r="H124" s="386"/>
      <c r="I124" s="388"/>
      <c r="J124" s="322"/>
      <c r="K124" s="75"/>
      <c r="L124" s="346"/>
      <c r="M124" s="373"/>
      <c r="N124" s="67">
        <f t="shared" si="14"/>
        <v>0</v>
      </c>
      <c r="O124" s="324"/>
    </row>
    <row r="125" ht="12.75" customHeight="1">
      <c r="A125" s="322"/>
      <c r="B125" s="348"/>
      <c r="C125" s="346"/>
      <c r="D125" s="373"/>
      <c r="E125" s="67">
        <f t="shared" si="15"/>
        <v>0</v>
      </c>
      <c r="F125" s="324"/>
      <c r="G125" s="324"/>
      <c r="H125" s="386"/>
      <c r="I125" s="388"/>
      <c r="J125" s="322"/>
      <c r="K125" s="348"/>
      <c r="L125" s="346"/>
      <c r="M125" s="373"/>
      <c r="N125" s="67">
        <f t="shared" si="14"/>
        <v>0</v>
      </c>
      <c r="O125" s="324"/>
    </row>
    <row r="126" ht="12.75" customHeight="1">
      <c r="A126" s="322"/>
      <c r="B126" s="348"/>
      <c r="C126" s="346"/>
      <c r="D126" s="373"/>
      <c r="E126" s="67">
        <f t="shared" si="15"/>
        <v>0</v>
      </c>
      <c r="F126" s="324"/>
      <c r="G126" s="324"/>
      <c r="H126" s="386"/>
      <c r="I126" s="388"/>
      <c r="J126" s="322"/>
      <c r="K126" s="348"/>
      <c r="L126" s="346"/>
      <c r="M126" s="373"/>
      <c r="N126" s="67">
        <f t="shared" si="14"/>
        <v>0</v>
      </c>
      <c r="O126" s="324"/>
    </row>
    <row r="127" ht="12.75" customHeight="1">
      <c r="A127" s="322"/>
      <c r="B127" s="348"/>
      <c r="C127" s="346"/>
      <c r="D127" s="373"/>
      <c r="E127" s="67">
        <f t="shared" si="15"/>
        <v>0</v>
      </c>
      <c r="F127" s="324"/>
      <c r="G127" s="324"/>
      <c r="H127" s="386"/>
      <c r="I127" s="388"/>
      <c r="J127" s="322"/>
      <c r="K127" s="348"/>
      <c r="L127" s="346"/>
      <c r="M127" s="373"/>
      <c r="N127" s="67">
        <f t="shared" si="14"/>
        <v>0</v>
      </c>
      <c r="O127" s="324"/>
    </row>
    <row r="128" ht="12.75" customHeight="1">
      <c r="A128" s="322"/>
      <c r="B128" s="354"/>
      <c r="C128" s="355"/>
      <c r="D128" s="356"/>
      <c r="E128" s="67">
        <f t="shared" si="15"/>
        <v>0</v>
      </c>
      <c r="F128" s="324"/>
      <c r="G128" s="324"/>
      <c r="H128" s="386"/>
      <c r="I128" s="388"/>
      <c r="J128" s="322"/>
      <c r="K128" s="354"/>
      <c r="L128" s="355"/>
      <c r="M128" s="356"/>
      <c r="N128" s="67">
        <f t="shared" si="14"/>
        <v>0</v>
      </c>
      <c r="O128" s="324"/>
    </row>
    <row r="129" ht="12.75" customHeight="1">
      <c r="A129" s="322"/>
      <c r="B129" s="362" t="s">
        <v>84</v>
      </c>
      <c r="C129" s="374"/>
      <c r="D129" s="374"/>
      <c r="E129" s="375">
        <f>IF(SUM(E119:E128)=0,"",SUM(E119:E128))</f>
        <v>6741</v>
      </c>
      <c r="F129" s="324"/>
      <c r="G129" s="324"/>
      <c r="H129" s="386"/>
      <c r="I129" s="388"/>
      <c r="J129" s="322"/>
      <c r="K129" s="362" t="s">
        <v>84</v>
      </c>
      <c r="L129" s="374"/>
      <c r="M129" s="374"/>
      <c r="N129" s="375">
        <f>IF(SUM(N119:N128)=0,"",SUM(N119:N128))</f>
        <v>9493.64282</v>
      </c>
      <c r="O129" s="324"/>
    </row>
    <row r="130" ht="12.75" customHeight="1">
      <c r="A130" s="322"/>
      <c r="B130" s="360"/>
      <c r="C130" s="360"/>
      <c r="D130" s="360"/>
      <c r="E130" s="361"/>
      <c r="F130" s="324"/>
      <c r="G130" s="324"/>
      <c r="H130" s="386"/>
      <c r="I130" s="388"/>
      <c r="J130" s="322"/>
      <c r="K130" s="360"/>
      <c r="L130" s="360"/>
      <c r="M130" s="360"/>
      <c r="N130" s="361"/>
      <c r="O130" s="324"/>
    </row>
    <row r="131" ht="12.75" customHeight="1">
      <c r="A131" s="322"/>
      <c r="B131" s="34" t="s">
        <v>17</v>
      </c>
      <c r="C131" s="35"/>
      <c r="D131" s="35"/>
      <c r="E131" s="35"/>
      <c r="F131" s="324"/>
      <c r="G131" s="324"/>
      <c r="H131" s="386"/>
      <c r="I131" s="388"/>
      <c r="J131" s="322"/>
      <c r="K131" s="34" t="s">
        <v>17</v>
      </c>
      <c r="L131" s="35"/>
      <c r="M131" s="35"/>
      <c r="N131" s="35"/>
      <c r="O131" s="324"/>
    </row>
    <row r="132" ht="12.75" customHeight="1">
      <c r="A132" s="322"/>
      <c r="B132" s="52" t="s">
        <v>42</v>
      </c>
      <c r="C132" s="54"/>
      <c r="D132" s="54"/>
      <c r="E132" s="56" t="s">
        <v>35</v>
      </c>
      <c r="F132" s="324"/>
      <c r="G132" s="324"/>
      <c r="H132" s="386"/>
      <c r="I132" s="388"/>
      <c r="J132" s="322"/>
      <c r="K132" s="52" t="s">
        <v>42</v>
      </c>
      <c r="L132" s="54"/>
      <c r="M132" s="54"/>
      <c r="N132" s="56" t="s">
        <v>35</v>
      </c>
      <c r="O132" s="324"/>
    </row>
    <row r="133" ht="12.75" customHeight="1">
      <c r="A133" s="322"/>
      <c r="B133" s="60" t="s">
        <v>40</v>
      </c>
      <c r="C133" s="343">
        <f>'UTL COST'!$B$3</f>
        <v>369000</v>
      </c>
      <c r="D133" s="379">
        <f>'UTL COST'!$C$3</f>
        <v>0.0075</v>
      </c>
      <c r="E133" s="67">
        <f>'UTL COST'!$D$3</f>
        <v>2767.5</v>
      </c>
      <c r="F133" s="324"/>
      <c r="G133" s="324"/>
      <c r="H133" s="386"/>
      <c r="I133" s="388"/>
      <c r="J133" s="322"/>
      <c r="K133" s="60" t="s">
        <v>40</v>
      </c>
      <c r="L133" s="343">
        <f>'UTL COST'!$B$3</f>
        <v>369000</v>
      </c>
      <c r="M133" s="379">
        <f>'UTL COST'!$C$3</f>
        <v>0.0075</v>
      </c>
      <c r="N133" s="67">
        <f>'UTL COST'!$D$3</f>
        <v>2767.5</v>
      </c>
      <c r="O133" s="324"/>
    </row>
    <row r="134" ht="12.75" customHeight="1">
      <c r="A134" s="322"/>
      <c r="B134" s="75" t="s">
        <v>51</v>
      </c>
      <c r="C134" s="371" t="str">
        <f>'UTL COST'!$B$4</f>
        <v>#REF!</v>
      </c>
      <c r="D134" s="382">
        <f>'UTL COST'!$C$4</f>
        <v>7000</v>
      </c>
      <c r="E134" s="76" t="str">
        <f>'UTL COST'!$D$4</f>
        <v>#REF!</v>
      </c>
      <c r="F134" s="324"/>
      <c r="G134" s="324"/>
      <c r="H134" s="386"/>
      <c r="I134" s="388"/>
      <c r="J134" s="322"/>
      <c r="K134" s="75" t="s">
        <v>51</v>
      </c>
      <c r="L134" s="371" t="str">
        <f>'UTL COST'!$B$4</f>
        <v>#REF!</v>
      </c>
      <c r="M134" s="382">
        <f>'UTL COST'!$C$4</f>
        <v>7000</v>
      </c>
      <c r="N134" s="76" t="str">
        <f>'UTL COST'!$D$4</f>
        <v>#REF!</v>
      </c>
      <c r="O134" s="324"/>
    </row>
    <row r="135" ht="12.75" customHeight="1">
      <c r="A135" s="322"/>
      <c r="B135" s="75" t="s">
        <v>59</v>
      </c>
      <c r="C135" s="371" t="str">
        <f>'UTL COST'!$B$5</f>
        <v>#REF!</v>
      </c>
      <c r="D135" s="382">
        <f>'UTL COST'!$C$5</f>
        <v>45000</v>
      </c>
      <c r="E135" s="76" t="str">
        <f>'UTL COST'!$D$5</f>
        <v>#REF!</v>
      </c>
      <c r="F135" s="324"/>
      <c r="G135" s="324"/>
      <c r="H135" s="386"/>
      <c r="I135" s="388"/>
      <c r="J135" s="322"/>
      <c r="K135" s="75" t="s">
        <v>59</v>
      </c>
      <c r="L135" s="371" t="str">
        <f>'UTL COST'!$B$5</f>
        <v>#REF!</v>
      </c>
      <c r="M135" s="382">
        <f>'UTL COST'!$C$5</f>
        <v>45000</v>
      </c>
      <c r="N135" s="76" t="str">
        <f>'UTL COST'!$D$5</f>
        <v>#REF!</v>
      </c>
      <c r="O135" s="324"/>
    </row>
    <row r="136" ht="12.75" customHeight="1">
      <c r="A136" s="322"/>
      <c r="B136" s="87" t="s">
        <v>78</v>
      </c>
      <c r="C136" s="371" t="str">
        <f>'UTL COST'!$B$6</f>
        <v>#REF!</v>
      </c>
      <c r="D136" s="383">
        <f>'UTL COST'!$C$6</f>
        <v>525</v>
      </c>
      <c r="E136" s="89">
        <v>0.1</v>
      </c>
      <c r="F136" s="324"/>
      <c r="G136" s="324"/>
      <c r="H136" s="386"/>
      <c r="I136" s="388"/>
      <c r="J136" s="322"/>
      <c r="K136" s="87" t="s">
        <v>78</v>
      </c>
      <c r="L136" s="371" t="str">
        <f>'UTL COST'!$B$6</f>
        <v>#REF!</v>
      </c>
      <c r="M136" s="383">
        <f>'UTL COST'!$C$6</f>
        <v>525</v>
      </c>
      <c r="N136" s="89">
        <v>0.1</v>
      </c>
      <c r="O136" s="324"/>
    </row>
    <row r="137" ht="12.75" customHeight="1">
      <c r="A137" s="322"/>
      <c r="B137" s="34" t="s">
        <v>84</v>
      </c>
      <c r="C137" s="102"/>
      <c r="D137" s="102"/>
      <c r="E137" s="104" t="str">
        <f>IF(SUM(E133:E136)=0,"",SUM(E133:E136))</f>
        <v>#REF!</v>
      </c>
      <c r="F137" s="324"/>
      <c r="G137" s="324"/>
      <c r="H137" s="386"/>
      <c r="I137" s="388"/>
      <c r="J137" s="322"/>
      <c r="K137" s="34" t="s">
        <v>84</v>
      </c>
      <c r="L137" s="102"/>
      <c r="M137" s="102"/>
      <c r="N137" s="104" t="str">
        <f>IF(SUM(N133:N136)=0,"",SUM(N133:N136))</f>
        <v>#REF!</v>
      </c>
      <c r="O137" s="324"/>
    </row>
    <row r="138" ht="12.75" customHeight="1">
      <c r="A138" s="322"/>
      <c r="B138" s="360"/>
      <c r="C138" s="360"/>
      <c r="D138" s="360"/>
      <c r="E138" s="361"/>
      <c r="F138" s="324"/>
      <c r="G138" s="324"/>
      <c r="H138" s="386"/>
      <c r="I138" s="388"/>
      <c r="J138" s="322"/>
      <c r="K138" s="360"/>
      <c r="L138" s="360"/>
      <c r="M138" s="360"/>
      <c r="N138" s="361"/>
      <c r="O138" s="324"/>
    </row>
    <row r="139" ht="15.75" customHeight="1">
      <c r="H139" s="177"/>
    </row>
    <row r="140" ht="15.75" customHeight="1">
      <c r="H140" s="177"/>
    </row>
    <row r="141" ht="15.75" customHeight="1">
      <c r="A141" s="322"/>
      <c r="B141" s="322"/>
      <c r="C141" s="322"/>
      <c r="D141" s="322"/>
      <c r="E141" s="323"/>
      <c r="F141" s="324"/>
      <c r="G141" s="324"/>
      <c r="H141" s="177"/>
      <c r="J141" s="322"/>
      <c r="K141" s="322"/>
      <c r="L141" s="322"/>
      <c r="M141" s="322"/>
      <c r="N141" s="323"/>
      <c r="O141" s="324"/>
    </row>
    <row r="142" ht="15.75" customHeight="1">
      <c r="A142" s="322"/>
      <c r="B142" s="325"/>
      <c r="C142" s="322"/>
      <c r="D142" s="322"/>
      <c r="E142" s="323"/>
      <c r="F142" s="326"/>
      <c r="G142" s="326"/>
      <c r="H142" s="177"/>
      <c r="J142" s="322"/>
      <c r="K142" s="325"/>
      <c r="L142" s="322"/>
      <c r="M142" s="322"/>
      <c r="N142" s="323"/>
      <c r="O142" s="326"/>
    </row>
    <row r="143" ht="15.75" customHeight="1">
      <c r="A143" s="322"/>
      <c r="B143" s="327" t="s">
        <v>931</v>
      </c>
      <c r="C143" s="330" t="s">
        <v>1264</v>
      </c>
      <c r="D143" s="329"/>
      <c r="E143" s="323"/>
      <c r="F143" s="326"/>
      <c r="G143" s="326"/>
      <c r="H143" s="177"/>
      <c r="J143" s="322"/>
      <c r="K143" s="327" t="s">
        <v>931</v>
      </c>
      <c r="L143" s="330" t="s">
        <v>1265</v>
      </c>
      <c r="M143" s="329"/>
      <c r="N143" s="323"/>
      <c r="O143" s="326"/>
    </row>
    <row r="144" ht="15.75" customHeight="1">
      <c r="A144" s="322"/>
      <c r="B144" s="325"/>
      <c r="C144" s="322"/>
      <c r="D144" s="322"/>
      <c r="E144" s="323"/>
      <c r="F144" s="326"/>
      <c r="G144" s="326"/>
      <c r="H144" s="177"/>
      <c r="J144" s="322"/>
      <c r="K144" s="325"/>
      <c r="L144" s="322"/>
      <c r="M144" s="322"/>
      <c r="N144" s="323"/>
      <c r="O144" s="326"/>
    </row>
    <row r="145" ht="15.75" customHeight="1">
      <c r="A145" s="322"/>
      <c r="B145" s="327" t="s">
        <v>935</v>
      </c>
      <c r="C145" s="440">
        <f>E145*90000</f>
        <v>1170000</v>
      </c>
      <c r="D145" s="329"/>
      <c r="E145" s="394">
        <v>13.0</v>
      </c>
      <c r="F145" s="326"/>
      <c r="G145" s="326"/>
      <c r="H145" s="177"/>
      <c r="J145" s="322"/>
      <c r="K145" s="327" t="s">
        <v>935</v>
      </c>
      <c r="L145" s="440">
        <v>850000.0</v>
      </c>
      <c r="M145" s="329"/>
      <c r="N145" s="323"/>
      <c r="O145" s="326"/>
    </row>
    <row r="146" ht="15.75" customHeight="1">
      <c r="A146" s="322"/>
      <c r="B146" s="327"/>
      <c r="C146" s="332"/>
      <c r="D146" s="332"/>
      <c r="E146" s="323"/>
      <c r="F146" s="326"/>
      <c r="G146" s="326"/>
      <c r="H146" s="177"/>
      <c r="J146" s="322"/>
      <c r="K146" s="327"/>
      <c r="L146" s="332"/>
      <c r="M146" s="332"/>
      <c r="N146" s="323"/>
      <c r="O146" s="326"/>
    </row>
    <row r="147" ht="15.75" customHeight="1">
      <c r="A147" s="322"/>
      <c r="B147" s="327" t="s">
        <v>939</v>
      </c>
      <c r="C147" s="333" t="str">
        <f>IF(SUM(E159,E174,E182)=0,"",SUM(E159,E174,E182))</f>
        <v>#REF!</v>
      </c>
      <c r="D147" s="321"/>
      <c r="E147" s="323" t="str">
        <f>C147/90000</f>
        <v>#REF!</v>
      </c>
      <c r="F147" s="326"/>
      <c r="G147" s="326"/>
      <c r="H147" s="177"/>
      <c r="J147" s="322"/>
      <c r="K147" s="327" t="s">
        <v>939</v>
      </c>
      <c r="L147" s="333" t="str">
        <f>IF(SUM(N159,N174,N182)=0,"",SUM(N159,N174,N182))</f>
        <v>#REF!</v>
      </c>
      <c r="M147" s="321"/>
      <c r="N147" s="323"/>
      <c r="O147" s="326"/>
    </row>
    <row r="148" ht="15.75" customHeight="1">
      <c r="A148" s="322"/>
      <c r="B148" s="327"/>
      <c r="C148" s="334"/>
      <c r="D148" s="334"/>
      <c r="E148" s="323"/>
      <c r="F148" s="326"/>
      <c r="G148" s="326"/>
      <c r="H148" s="177"/>
      <c r="J148" s="322"/>
      <c r="K148" s="327"/>
      <c r="L148" s="334"/>
      <c r="M148" s="334"/>
      <c r="N148" s="323"/>
      <c r="O148" s="326"/>
    </row>
    <row r="149" ht="15.75" customHeight="1">
      <c r="A149" s="322"/>
      <c r="B149" s="327" t="s">
        <v>946</v>
      </c>
      <c r="C149" s="335" t="str">
        <f>IF(C147="","",IF(ISBLANK(C145),"",C147/C145))</f>
        <v>#REF!</v>
      </c>
      <c r="D149" s="321"/>
      <c r="E149" s="323"/>
      <c r="F149" s="326"/>
      <c r="G149" s="326"/>
      <c r="H149" s="177"/>
      <c r="J149" s="322"/>
      <c r="K149" s="327" t="s">
        <v>946</v>
      </c>
      <c r="L149" s="335" t="str">
        <f>IF(L147="","",IF(ISBLANK(L145),"",L147/L145))</f>
        <v>#REF!</v>
      </c>
      <c r="M149" s="321"/>
      <c r="N149" s="323"/>
      <c r="O149" s="326"/>
    </row>
    <row r="150" ht="15.75" customHeight="1">
      <c r="A150" s="322"/>
      <c r="B150" s="327"/>
      <c r="C150" s="334"/>
      <c r="D150" s="334"/>
      <c r="E150" s="323"/>
      <c r="F150" s="326"/>
      <c r="G150" s="326"/>
      <c r="H150" s="177"/>
      <c r="J150" s="322"/>
      <c r="K150" s="327"/>
      <c r="L150" s="334"/>
      <c r="M150" s="334"/>
      <c r="N150" s="323"/>
      <c r="O150" s="326"/>
    </row>
    <row r="151" ht="15.75" customHeight="1">
      <c r="A151" s="322"/>
      <c r="B151" s="327" t="s">
        <v>950</v>
      </c>
      <c r="C151" s="333" t="str">
        <f>C145-C147</f>
        <v>#REF!</v>
      </c>
      <c r="D151" s="321"/>
      <c r="E151" s="323"/>
      <c r="F151" s="326"/>
      <c r="G151" s="326"/>
      <c r="H151" s="177"/>
      <c r="J151" s="322"/>
      <c r="K151" s="327" t="s">
        <v>950</v>
      </c>
      <c r="L151" s="333" t="str">
        <f>L145-L147</f>
        <v>#REF!</v>
      </c>
      <c r="M151" s="321"/>
      <c r="N151" s="323"/>
      <c r="O151" s="326"/>
    </row>
    <row r="152" ht="15.75" customHeight="1">
      <c r="A152" s="322"/>
      <c r="B152" s="322"/>
      <c r="C152" s="322"/>
      <c r="D152" s="322"/>
      <c r="E152" s="323"/>
      <c r="F152" s="324"/>
      <c r="G152" s="324"/>
      <c r="H152" s="177"/>
      <c r="J152" s="322"/>
      <c r="K152" s="322"/>
      <c r="L152" s="322"/>
      <c r="M152" s="322"/>
      <c r="N152" s="323"/>
      <c r="O152" s="324"/>
    </row>
    <row r="153" ht="15.75" customHeight="1">
      <c r="A153" s="322"/>
      <c r="B153" s="322"/>
      <c r="C153" s="322"/>
      <c r="D153" s="322"/>
      <c r="E153" s="337"/>
      <c r="F153" s="324"/>
      <c r="G153" s="324"/>
      <c r="H153" s="177"/>
      <c r="J153" s="322"/>
      <c r="K153" s="322"/>
      <c r="L153" s="322"/>
      <c r="M153" s="322"/>
      <c r="N153" s="337"/>
      <c r="O153" s="324"/>
    </row>
    <row r="154" ht="15.75" customHeight="1">
      <c r="A154" s="322"/>
      <c r="B154" s="338" t="s">
        <v>951</v>
      </c>
      <c r="C154" s="339"/>
      <c r="D154" s="339"/>
      <c r="E154" s="339"/>
      <c r="F154" s="324"/>
      <c r="G154" s="324"/>
      <c r="H154" s="177"/>
      <c r="J154" s="322"/>
      <c r="K154" s="338" t="s">
        <v>951</v>
      </c>
      <c r="L154" s="339"/>
      <c r="M154" s="339"/>
      <c r="N154" s="339"/>
      <c r="O154" s="324"/>
    </row>
    <row r="155" ht="15.75" customHeight="1">
      <c r="A155" s="322"/>
      <c r="B155" s="340" t="s">
        <v>953</v>
      </c>
      <c r="C155" s="341" t="s">
        <v>954</v>
      </c>
      <c r="D155" s="341" t="s">
        <v>955</v>
      </c>
      <c r="E155" s="341" t="s">
        <v>35</v>
      </c>
      <c r="F155" s="324"/>
      <c r="G155" s="324"/>
      <c r="H155" s="177"/>
      <c r="J155" s="322"/>
      <c r="K155" s="340" t="s">
        <v>953</v>
      </c>
      <c r="L155" s="341" t="s">
        <v>954</v>
      </c>
      <c r="M155" s="341" t="s">
        <v>955</v>
      </c>
      <c r="N155" s="341" t="s">
        <v>35</v>
      </c>
      <c r="O155" s="324"/>
    </row>
    <row r="156" ht="15.75" customHeight="1">
      <c r="A156" s="322"/>
      <c r="B156" s="139" t="s">
        <v>1251</v>
      </c>
      <c r="C156" s="344">
        <v>0.4</v>
      </c>
      <c r="D156" s="371">
        <f>'F&amp;B'!F271</f>
        <v>53910</v>
      </c>
      <c r="E156" s="67">
        <f t="shared" ref="E156:E158" si="16">IF(OR(ISBLANK(C156),ISBLANK(D156)),"",D156*C156)</f>
        <v>21564</v>
      </c>
      <c r="F156" s="324"/>
      <c r="G156" s="324"/>
      <c r="H156" s="177"/>
      <c r="J156" s="322"/>
      <c r="K156" s="139" t="s">
        <v>1267</v>
      </c>
      <c r="L156" s="344">
        <v>0.3</v>
      </c>
      <c r="M156" s="371">
        <f>3*90000</f>
        <v>270000</v>
      </c>
      <c r="N156" s="67">
        <f t="shared" ref="N156:N158" si="17">IF(OR(ISBLANK(L156),ISBLANK(M156)),"",M156*L156)</f>
        <v>81000</v>
      </c>
      <c r="O156" s="324"/>
    </row>
    <row r="157" ht="15.75" customHeight="1">
      <c r="A157" s="322"/>
      <c r="B157" s="228" t="s">
        <v>1042</v>
      </c>
      <c r="C157" s="370">
        <v>1.0</v>
      </c>
      <c r="D157" s="371">
        <f>MAINS!D29</f>
        <v>563.76</v>
      </c>
      <c r="E157" s="67">
        <f t="shared" si="16"/>
        <v>563.76</v>
      </c>
      <c r="F157" s="324"/>
      <c r="G157" s="324"/>
      <c r="H157" s="177"/>
      <c r="J157" s="322"/>
      <c r="K157" s="228" t="s">
        <v>1253</v>
      </c>
      <c r="L157" s="346">
        <v>1.0</v>
      </c>
      <c r="M157" s="371">
        <f>'F&amp;B'!F59/6</f>
        <v>4125</v>
      </c>
      <c r="N157" s="67">
        <f t="shared" si="17"/>
        <v>4125</v>
      </c>
      <c r="O157" s="324"/>
    </row>
    <row r="158" ht="15.75" customHeight="1">
      <c r="A158" s="322"/>
      <c r="B158" s="406" t="s">
        <v>1268</v>
      </c>
      <c r="C158" s="407">
        <v>1.0</v>
      </c>
      <c r="D158" s="408">
        <f>M21</f>
        <v>629.9629934</v>
      </c>
      <c r="E158" s="67">
        <f t="shared" si="16"/>
        <v>629.9629934</v>
      </c>
      <c r="F158" s="324"/>
      <c r="G158" s="324"/>
      <c r="H158" s="177"/>
      <c r="J158" s="322"/>
      <c r="K158" s="228" t="s">
        <v>672</v>
      </c>
      <c r="L158" s="405">
        <v>0.1</v>
      </c>
      <c r="M158" s="371" t="str">
        <f>SAUCES!D155</f>
        <v>#REF!</v>
      </c>
      <c r="N158" s="67" t="str">
        <f t="shared" si="17"/>
        <v>#REF!</v>
      </c>
      <c r="O158" s="324"/>
    </row>
    <row r="159" ht="15.75" customHeight="1">
      <c r="A159" s="322"/>
      <c r="B159" s="338" t="s">
        <v>84</v>
      </c>
      <c r="C159" s="358"/>
      <c r="D159" s="358"/>
      <c r="E159" s="359">
        <f>IF(SUM(E156:E158)=0,"",SUM(E156:E158))</f>
        <v>22757.72299</v>
      </c>
      <c r="F159" s="324"/>
      <c r="G159" s="324"/>
      <c r="H159" s="177"/>
      <c r="J159" s="322"/>
      <c r="K159" s="338" t="s">
        <v>84</v>
      </c>
      <c r="L159" s="358"/>
      <c r="M159" s="358"/>
      <c r="N159" s="359" t="str">
        <f>IF(SUM(N156:N158)=0,"",SUM(N156:N158))</f>
        <v>#REF!</v>
      </c>
      <c r="O159" s="324"/>
    </row>
    <row r="160" ht="15.75" customHeight="1">
      <c r="A160" s="322"/>
      <c r="B160" s="360"/>
      <c r="C160" s="360"/>
      <c r="D160" s="360"/>
      <c r="E160" s="361"/>
      <c r="F160" s="324"/>
      <c r="G160" s="324"/>
      <c r="H160" s="177"/>
      <c r="J160" s="322"/>
      <c r="K160" s="360"/>
      <c r="L160" s="360"/>
      <c r="M160" s="360"/>
      <c r="N160" s="361"/>
      <c r="O160" s="324"/>
    </row>
    <row r="161" ht="15.75" customHeight="1">
      <c r="A161" s="322"/>
      <c r="B161" s="362" t="s">
        <v>972</v>
      </c>
      <c r="C161" s="363"/>
      <c r="D161" s="363"/>
      <c r="E161" s="363"/>
      <c r="F161" s="324"/>
      <c r="G161" s="324"/>
      <c r="H161" s="177"/>
      <c r="J161" s="322"/>
      <c r="K161" s="362" t="s">
        <v>972</v>
      </c>
      <c r="L161" s="363"/>
      <c r="M161" s="363"/>
      <c r="N161" s="363"/>
      <c r="O161" s="324"/>
    </row>
    <row r="162" ht="15.75" customHeight="1">
      <c r="A162" s="322"/>
      <c r="B162" s="365" t="s">
        <v>953</v>
      </c>
      <c r="C162" s="366" t="s">
        <v>3</v>
      </c>
      <c r="D162" s="366" t="s">
        <v>975</v>
      </c>
      <c r="E162" s="367" t="s">
        <v>35</v>
      </c>
      <c r="F162" s="324"/>
      <c r="G162" s="324"/>
      <c r="H162" s="177"/>
      <c r="J162" s="322"/>
      <c r="K162" s="365" t="s">
        <v>953</v>
      </c>
      <c r="L162" s="366" t="s">
        <v>3</v>
      </c>
      <c r="M162" s="366" t="s">
        <v>975</v>
      </c>
      <c r="N162" s="367" t="s">
        <v>35</v>
      </c>
      <c r="O162" s="324"/>
    </row>
    <row r="163" ht="15.75" customHeight="1">
      <c r="A163" s="322"/>
      <c r="B163" s="368"/>
      <c r="C163" s="366"/>
      <c r="D163" s="366"/>
      <c r="E163" s="368"/>
      <c r="F163" s="324"/>
      <c r="G163" s="324"/>
      <c r="H163" s="177"/>
      <c r="J163" s="322"/>
      <c r="K163" s="368"/>
      <c r="L163" s="366"/>
      <c r="M163" s="366"/>
      <c r="N163" s="368"/>
      <c r="O163" s="324"/>
    </row>
    <row r="164" ht="15.75" customHeight="1">
      <c r="A164" s="322"/>
      <c r="B164" s="139" t="s">
        <v>1263</v>
      </c>
      <c r="C164" s="344">
        <v>1.0</v>
      </c>
      <c r="D164" s="343">
        <f>SAUCES!L120</f>
        <v>1364.138053</v>
      </c>
      <c r="E164" s="67">
        <f t="shared" ref="E164:E167" si="18">D164*C164</f>
        <v>1364.138053</v>
      </c>
      <c r="F164" s="324"/>
      <c r="G164" s="324"/>
      <c r="H164" s="177"/>
      <c r="J164" s="322"/>
      <c r="K164" s="139" t="s">
        <v>173</v>
      </c>
      <c r="L164" s="344">
        <v>0.06</v>
      </c>
      <c r="M164" s="343">
        <f>'F&amp;B'!F279</f>
        <v>7200</v>
      </c>
      <c r="N164" s="67">
        <f t="shared" ref="N164:N173" si="19">M164*L164</f>
        <v>432</v>
      </c>
      <c r="O164" s="324"/>
    </row>
    <row r="165" ht="15.75" customHeight="1">
      <c r="A165" s="322"/>
      <c r="B165" s="75" t="s">
        <v>256</v>
      </c>
      <c r="C165" s="346">
        <v>1.0</v>
      </c>
      <c r="D165" s="371">
        <f>SAUCES!$D$68</f>
        <v>3768.104768</v>
      </c>
      <c r="E165" s="67">
        <f t="shared" si="18"/>
        <v>3768.104768</v>
      </c>
      <c r="F165" s="324"/>
      <c r="G165" s="324"/>
      <c r="H165" s="177"/>
      <c r="J165" s="322"/>
      <c r="K165" s="228" t="s">
        <v>1270</v>
      </c>
      <c r="L165" s="405">
        <v>0.03</v>
      </c>
      <c r="M165" s="371">
        <f>'F&amp;B'!F61/5</f>
        <v>45000</v>
      </c>
      <c r="N165" s="67">
        <f t="shared" si="19"/>
        <v>1350</v>
      </c>
      <c r="O165" s="324"/>
    </row>
    <row r="166" ht="15.75" customHeight="1">
      <c r="A166" s="322"/>
      <c r="B166" s="228" t="s">
        <v>453</v>
      </c>
      <c r="C166" s="405">
        <v>0.1</v>
      </c>
      <c r="D166" s="371">
        <f>'F&amp;B'!F287</f>
        <v>8100</v>
      </c>
      <c r="E166" s="67">
        <f t="shared" si="18"/>
        <v>810</v>
      </c>
      <c r="F166" s="324"/>
      <c r="G166" s="324"/>
      <c r="H166" s="177"/>
      <c r="J166" s="322"/>
      <c r="K166" s="75" t="s">
        <v>256</v>
      </c>
      <c r="L166" s="346">
        <v>1.0</v>
      </c>
      <c r="M166" s="371">
        <f>SAUCES!$D$68</f>
        <v>3768.104768</v>
      </c>
      <c r="N166" s="67">
        <f t="shared" si="19"/>
        <v>3768.104768</v>
      </c>
      <c r="O166" s="324"/>
    </row>
    <row r="167" ht="15.75" customHeight="1">
      <c r="A167" s="322"/>
      <c r="B167" s="75"/>
      <c r="C167" s="346"/>
      <c r="D167" s="371"/>
      <c r="E167" s="67">
        <f t="shared" si="18"/>
        <v>0</v>
      </c>
      <c r="F167" s="324"/>
      <c r="G167" s="324"/>
      <c r="H167" s="177"/>
      <c r="J167" s="322"/>
      <c r="K167" s="75" t="s">
        <v>934</v>
      </c>
      <c r="L167" s="342">
        <v>0.16</v>
      </c>
      <c r="M167" s="343">
        <f>'F&amp;B'!$F$68/10</f>
        <v>19665</v>
      </c>
      <c r="N167" s="67">
        <f t="shared" si="19"/>
        <v>3146.4</v>
      </c>
      <c r="O167" s="324"/>
    </row>
    <row r="168" ht="15.75" customHeight="1">
      <c r="A168" s="322"/>
      <c r="B168" s="75" t="s">
        <v>1261</v>
      </c>
      <c r="C168" s="370">
        <v>0.015</v>
      </c>
      <c r="D168" s="371">
        <v>81000.0</v>
      </c>
      <c r="E168" s="67">
        <v>1215.0</v>
      </c>
      <c r="F168" s="324"/>
      <c r="G168" s="324"/>
      <c r="H168" s="177"/>
      <c r="J168" s="322"/>
      <c r="K168" s="139" t="s">
        <v>1000</v>
      </c>
      <c r="L168" s="344">
        <v>0.035</v>
      </c>
      <c r="M168" s="343">
        <f>M120</f>
        <v>13500</v>
      </c>
      <c r="N168" s="67">
        <f t="shared" si="19"/>
        <v>472.5</v>
      </c>
      <c r="O168" s="324"/>
    </row>
    <row r="169" ht="15.75" customHeight="1">
      <c r="A169" s="322"/>
      <c r="B169" s="75" t="s">
        <v>934</v>
      </c>
      <c r="C169" s="342">
        <v>0.2</v>
      </c>
      <c r="D169" s="343">
        <f>'F&amp;B'!$F$68/10</f>
        <v>19665</v>
      </c>
      <c r="E169" s="67">
        <f t="shared" ref="E169:E173" si="20">D169*C169</f>
        <v>3933</v>
      </c>
      <c r="F169" s="324"/>
      <c r="G169" s="324"/>
      <c r="H169" s="177"/>
      <c r="J169" s="322"/>
      <c r="K169" s="228" t="s">
        <v>161</v>
      </c>
      <c r="L169" s="398">
        <v>0.04</v>
      </c>
      <c r="M169" s="373">
        <f>D123</f>
        <v>81000</v>
      </c>
      <c r="N169" s="67">
        <f t="shared" si="19"/>
        <v>3240</v>
      </c>
      <c r="O169" s="324"/>
    </row>
    <row r="170" ht="15.75" customHeight="1">
      <c r="A170" s="322"/>
      <c r="B170" s="348"/>
      <c r="C170" s="346"/>
      <c r="D170" s="373"/>
      <c r="E170" s="67">
        <f t="shared" si="20"/>
        <v>0</v>
      </c>
      <c r="F170" s="324"/>
      <c r="G170" s="324"/>
      <c r="H170" s="177"/>
      <c r="J170" s="322"/>
      <c r="K170" s="348"/>
      <c r="L170" s="346"/>
      <c r="M170" s="373"/>
      <c r="N170" s="67">
        <f t="shared" si="19"/>
        <v>0</v>
      </c>
      <c r="O170" s="324"/>
    </row>
    <row r="171" ht="15.75" customHeight="1">
      <c r="A171" s="322"/>
      <c r="B171" s="348"/>
      <c r="C171" s="346"/>
      <c r="D171" s="373"/>
      <c r="E171" s="67">
        <f t="shared" si="20"/>
        <v>0</v>
      </c>
      <c r="F171" s="324"/>
      <c r="G171" s="324"/>
      <c r="H171" s="177"/>
      <c r="J171" s="322"/>
      <c r="K171" s="348"/>
      <c r="L171" s="346"/>
      <c r="M171" s="373"/>
      <c r="N171" s="67">
        <f t="shared" si="19"/>
        <v>0</v>
      </c>
      <c r="O171" s="324"/>
    </row>
    <row r="172" ht="15.75" customHeight="1">
      <c r="A172" s="322"/>
      <c r="B172" s="348"/>
      <c r="C172" s="346"/>
      <c r="D172" s="373"/>
      <c r="E172" s="67">
        <f t="shared" si="20"/>
        <v>0</v>
      </c>
      <c r="F172" s="324"/>
      <c r="G172" s="324"/>
      <c r="H172" s="177"/>
      <c r="J172" s="322"/>
      <c r="K172" s="348"/>
      <c r="L172" s="346"/>
      <c r="M172" s="373"/>
      <c r="N172" s="67">
        <f t="shared" si="19"/>
        <v>0</v>
      </c>
      <c r="O172" s="324"/>
    </row>
    <row r="173" ht="15.75" customHeight="1">
      <c r="A173" s="322"/>
      <c r="B173" s="354"/>
      <c r="C173" s="355"/>
      <c r="D173" s="356"/>
      <c r="E173" s="67">
        <f t="shared" si="20"/>
        <v>0</v>
      </c>
      <c r="F173" s="324"/>
      <c r="G173" s="324"/>
      <c r="H173" s="177"/>
      <c r="J173" s="322"/>
      <c r="K173" s="354"/>
      <c r="L173" s="355"/>
      <c r="M173" s="356"/>
      <c r="N173" s="67">
        <f t="shared" si="19"/>
        <v>0</v>
      </c>
      <c r="O173" s="324"/>
    </row>
    <row r="174" ht="15.75" customHeight="1">
      <c r="A174" s="322"/>
      <c r="B174" s="362" t="s">
        <v>84</v>
      </c>
      <c r="C174" s="374"/>
      <c r="D174" s="374"/>
      <c r="E174" s="375">
        <f>IF(SUM(E164:E173)=0,"",SUM(E164:E173))</f>
        <v>11090.24282</v>
      </c>
      <c r="F174" s="324"/>
      <c r="G174" s="324"/>
      <c r="H174" s="177"/>
      <c r="J174" s="322"/>
      <c r="K174" s="362" t="s">
        <v>84</v>
      </c>
      <c r="L174" s="374"/>
      <c r="M174" s="374"/>
      <c r="N174" s="375">
        <f>IF(SUM(N164:N173)=0,"",SUM(N164:N173))</f>
        <v>12409.00477</v>
      </c>
      <c r="O174" s="324"/>
    </row>
    <row r="175" ht="15.75" customHeight="1">
      <c r="A175" s="322"/>
      <c r="B175" s="360"/>
      <c r="C175" s="360"/>
      <c r="D175" s="360"/>
      <c r="E175" s="361"/>
      <c r="F175" s="324"/>
      <c r="G175" s="324"/>
      <c r="H175" s="177"/>
      <c r="J175" s="322"/>
      <c r="K175" s="360"/>
      <c r="L175" s="360"/>
      <c r="M175" s="360"/>
      <c r="N175" s="361"/>
      <c r="O175" s="324"/>
    </row>
    <row r="176" ht="15.75" customHeight="1">
      <c r="A176" s="322"/>
      <c r="B176" s="34" t="s">
        <v>17</v>
      </c>
      <c r="C176" s="35"/>
      <c r="D176" s="35"/>
      <c r="E176" s="35"/>
      <c r="F176" s="324"/>
      <c r="G176" s="324"/>
      <c r="H176" s="177"/>
      <c r="J176" s="322"/>
      <c r="K176" s="34" t="s">
        <v>17</v>
      </c>
      <c r="L176" s="35"/>
      <c r="M176" s="35"/>
      <c r="N176" s="35"/>
      <c r="O176" s="324"/>
    </row>
    <row r="177" ht="15.75" customHeight="1">
      <c r="A177" s="322"/>
      <c r="B177" s="52" t="s">
        <v>42</v>
      </c>
      <c r="C177" s="54"/>
      <c r="D177" s="54"/>
      <c r="E177" s="56" t="s">
        <v>35</v>
      </c>
      <c r="F177" s="324"/>
      <c r="G177" s="324"/>
      <c r="H177" s="177"/>
      <c r="J177" s="322"/>
      <c r="K177" s="52" t="s">
        <v>42</v>
      </c>
      <c r="L177" s="54"/>
      <c r="M177" s="54"/>
      <c r="N177" s="56" t="s">
        <v>35</v>
      </c>
      <c r="O177" s="324"/>
    </row>
    <row r="178" ht="15.75" customHeight="1">
      <c r="A178" s="322"/>
      <c r="B178" s="60" t="s">
        <v>40</v>
      </c>
      <c r="C178" s="343">
        <f>'UTL COST'!$B$3</f>
        <v>369000</v>
      </c>
      <c r="D178" s="379">
        <f>'UTL COST'!$C$3</f>
        <v>0.0075</v>
      </c>
      <c r="E178" s="67">
        <f>'UTL COST'!$D$3</f>
        <v>2767.5</v>
      </c>
      <c r="F178" s="324"/>
      <c r="G178" s="324"/>
      <c r="H178" s="177"/>
      <c r="J178" s="322"/>
      <c r="K178" s="60" t="s">
        <v>40</v>
      </c>
      <c r="L178" s="343">
        <f>'UTL COST'!$B$3</f>
        <v>369000</v>
      </c>
      <c r="M178" s="379">
        <f>'UTL COST'!$C$3</f>
        <v>0.0075</v>
      </c>
      <c r="N178" s="67">
        <f>'UTL COST'!$D$3</f>
        <v>2767.5</v>
      </c>
      <c r="O178" s="324"/>
    </row>
    <row r="179" ht="15.75" customHeight="1">
      <c r="A179" s="322"/>
      <c r="B179" s="75" t="s">
        <v>51</v>
      </c>
      <c r="C179" s="371" t="str">
        <f>'UTL COST'!$B$4</f>
        <v>#REF!</v>
      </c>
      <c r="D179" s="382">
        <f>'UTL COST'!$C$4</f>
        <v>7000</v>
      </c>
      <c r="E179" s="76" t="str">
        <f>'UTL COST'!$D$4</f>
        <v>#REF!</v>
      </c>
      <c r="F179" s="324"/>
      <c r="G179" s="324"/>
      <c r="H179" s="177"/>
      <c r="J179" s="322"/>
      <c r="K179" s="75" t="s">
        <v>51</v>
      </c>
      <c r="L179" s="371" t="str">
        <f>'UTL COST'!$B$4</f>
        <v>#REF!</v>
      </c>
      <c r="M179" s="382">
        <f>'UTL COST'!$C$4</f>
        <v>7000</v>
      </c>
      <c r="N179" s="76" t="str">
        <f>'UTL COST'!$D$4</f>
        <v>#REF!</v>
      </c>
      <c r="O179" s="324"/>
    </row>
    <row r="180" ht="15.75" customHeight="1">
      <c r="A180" s="322"/>
      <c r="B180" s="75" t="s">
        <v>59</v>
      </c>
      <c r="C180" s="371" t="str">
        <f>'UTL COST'!$B$5</f>
        <v>#REF!</v>
      </c>
      <c r="D180" s="382">
        <f>'UTL COST'!$C$5</f>
        <v>45000</v>
      </c>
      <c r="E180" s="76" t="str">
        <f>'UTL COST'!$D$5</f>
        <v>#REF!</v>
      </c>
      <c r="F180" s="324"/>
      <c r="G180" s="324"/>
      <c r="H180" s="177"/>
      <c r="J180" s="322"/>
      <c r="K180" s="75" t="s">
        <v>59</v>
      </c>
      <c r="L180" s="371" t="str">
        <f>'UTL COST'!$B$5</f>
        <v>#REF!</v>
      </c>
      <c r="M180" s="382">
        <f>'UTL COST'!$C$5</f>
        <v>45000</v>
      </c>
      <c r="N180" s="76" t="str">
        <f>'UTL COST'!$D$5</f>
        <v>#REF!</v>
      </c>
      <c r="O180" s="324"/>
    </row>
    <row r="181" ht="15.75" customHeight="1">
      <c r="A181" s="322"/>
      <c r="B181" s="87" t="s">
        <v>78</v>
      </c>
      <c r="C181" s="371" t="str">
        <f>'UTL COST'!$B$6</f>
        <v>#REF!</v>
      </c>
      <c r="D181" s="383">
        <f>'UTL COST'!$C$6</f>
        <v>525</v>
      </c>
      <c r="E181" s="89">
        <v>0.1</v>
      </c>
      <c r="F181" s="324"/>
      <c r="G181" s="324"/>
      <c r="H181" s="177"/>
      <c r="J181" s="322"/>
      <c r="K181" s="87" t="s">
        <v>78</v>
      </c>
      <c r="L181" s="371" t="str">
        <f>'UTL COST'!$B$6</f>
        <v>#REF!</v>
      </c>
      <c r="M181" s="383">
        <f>'UTL COST'!$C$6</f>
        <v>525</v>
      </c>
      <c r="N181" s="89">
        <v>0.1</v>
      </c>
      <c r="O181" s="324"/>
    </row>
    <row r="182" ht="15.75" customHeight="1">
      <c r="A182" s="322"/>
      <c r="B182" s="34" t="s">
        <v>84</v>
      </c>
      <c r="C182" s="102"/>
      <c r="D182" s="102"/>
      <c r="E182" s="104" t="str">
        <f>IF(SUM(E178:E181)=0,"",SUM(E178:E181))</f>
        <v>#REF!</v>
      </c>
      <c r="F182" s="324"/>
      <c r="G182" s="324"/>
      <c r="H182" s="177"/>
      <c r="J182" s="322"/>
      <c r="K182" s="34" t="s">
        <v>84</v>
      </c>
      <c r="L182" s="102"/>
      <c r="M182" s="102"/>
      <c r="N182" s="104" t="str">
        <f>IF(SUM(N178:N181)=0,"",SUM(N178:N181))</f>
        <v>#REF!</v>
      </c>
      <c r="O182" s="324"/>
    </row>
    <row r="183" ht="15.75" customHeight="1">
      <c r="A183" s="322"/>
      <c r="B183" s="360"/>
      <c r="C183" s="360"/>
      <c r="D183" s="360"/>
      <c r="E183" s="361"/>
      <c r="F183" s="324"/>
      <c r="G183" s="324"/>
      <c r="H183" s="177"/>
      <c r="J183" s="322"/>
      <c r="K183" s="360"/>
      <c r="L183" s="360"/>
      <c r="M183" s="360"/>
      <c r="N183" s="361"/>
      <c r="O183" s="324"/>
    </row>
    <row r="184" ht="15.75" customHeight="1">
      <c r="H184" s="177"/>
    </row>
    <row r="185" ht="15.75" customHeight="1">
      <c r="H185" s="177"/>
    </row>
    <row r="186" ht="15.75" customHeight="1">
      <c r="H186" s="177"/>
    </row>
    <row r="187" ht="15.75" customHeight="1">
      <c r="A187" s="322"/>
      <c r="B187" s="322"/>
      <c r="C187" s="322"/>
      <c r="D187" s="322"/>
      <c r="E187" s="323"/>
      <c r="F187" s="324"/>
      <c r="H187" s="177"/>
      <c r="J187" s="322"/>
      <c r="K187" s="322"/>
      <c r="L187" s="322"/>
      <c r="M187" s="322"/>
      <c r="N187" s="323"/>
      <c r="O187" s="324"/>
    </row>
    <row r="188" ht="15.75" customHeight="1">
      <c r="A188" s="322"/>
      <c r="B188" s="325"/>
      <c r="C188" s="322"/>
      <c r="D188" s="322"/>
      <c r="E188" s="323"/>
      <c r="F188" s="326"/>
      <c r="H188" s="177"/>
      <c r="J188" s="322"/>
      <c r="K188" s="325"/>
      <c r="L188" s="322"/>
      <c r="M188" s="322"/>
      <c r="N188" s="323"/>
      <c r="O188" s="326"/>
    </row>
    <row r="189" ht="15.75" customHeight="1">
      <c r="A189" s="322"/>
      <c r="B189" s="327" t="s">
        <v>931</v>
      </c>
      <c r="C189" s="330" t="s">
        <v>1275</v>
      </c>
      <c r="D189" s="329"/>
      <c r="E189" s="323"/>
      <c r="F189" s="326"/>
      <c r="H189" s="177"/>
      <c r="J189" s="322"/>
      <c r="K189" s="327" t="s">
        <v>931</v>
      </c>
      <c r="L189" s="330" t="s">
        <v>1276</v>
      </c>
      <c r="M189" s="329"/>
      <c r="N189" s="323"/>
      <c r="O189" s="326"/>
    </row>
    <row r="190" ht="15.75" customHeight="1">
      <c r="A190" s="322"/>
      <c r="B190" s="325"/>
      <c r="C190" s="322"/>
      <c r="D190" s="322"/>
      <c r="E190" s="323"/>
      <c r="F190" s="326"/>
      <c r="H190" s="177"/>
      <c r="J190" s="322"/>
      <c r="K190" s="325"/>
      <c r="L190" s="322"/>
      <c r="M190" s="322"/>
      <c r="N190" s="323"/>
      <c r="O190" s="326"/>
    </row>
    <row r="191" ht="15.75" customHeight="1">
      <c r="A191" s="322"/>
      <c r="B191" s="327" t="s">
        <v>935</v>
      </c>
      <c r="C191" s="440">
        <v>850000.0</v>
      </c>
      <c r="D191" s="329"/>
      <c r="E191" s="323"/>
      <c r="F191" s="326"/>
      <c r="H191" s="177"/>
      <c r="J191" s="322"/>
      <c r="K191" s="327" t="s">
        <v>935</v>
      </c>
      <c r="L191" s="440">
        <v>1250000.0</v>
      </c>
      <c r="M191" s="329"/>
      <c r="N191" s="323"/>
      <c r="O191" s="326"/>
    </row>
    <row r="192" ht="15.75" customHeight="1">
      <c r="A192" s="322"/>
      <c r="B192" s="327"/>
      <c r="C192" s="332"/>
      <c r="D192" s="332"/>
      <c r="E192" s="323"/>
      <c r="F192" s="326"/>
      <c r="H192" s="177"/>
      <c r="J192" s="322"/>
      <c r="K192" s="327"/>
      <c r="L192" s="332"/>
      <c r="M192" s="332"/>
      <c r="N192" s="323"/>
      <c r="O192" s="326"/>
    </row>
    <row r="193" ht="15.75" customHeight="1">
      <c r="A193" s="322"/>
      <c r="B193" s="327" t="s">
        <v>939</v>
      </c>
      <c r="C193" s="333" t="str">
        <f>IF(SUM(E205,E220,E228)=0,"",SUM(E205,E220,E228))</f>
        <v>#REF!</v>
      </c>
      <c r="D193" s="321"/>
      <c r="E193" s="323"/>
      <c r="F193" s="326"/>
      <c r="H193" s="177"/>
      <c r="J193" s="322"/>
      <c r="K193" s="327" t="s">
        <v>939</v>
      </c>
      <c r="L193" s="333" t="str">
        <f>IF(SUM(N205,N220,N228)=0,"",SUM(N205,N220,N228))</f>
        <v>#REF!</v>
      </c>
      <c r="M193" s="321"/>
      <c r="N193" s="323"/>
      <c r="O193" s="326"/>
    </row>
    <row r="194" ht="15.75" customHeight="1">
      <c r="A194" s="322"/>
      <c r="B194" s="327"/>
      <c r="C194" s="334"/>
      <c r="D194" s="334"/>
      <c r="E194" s="323"/>
      <c r="F194" s="326"/>
      <c r="H194" s="177"/>
      <c r="J194" s="322"/>
      <c r="K194" s="327"/>
      <c r="L194" s="334"/>
      <c r="M194" s="334"/>
      <c r="N194" s="323"/>
      <c r="O194" s="326"/>
    </row>
    <row r="195" ht="15.75" customHeight="1">
      <c r="A195" s="322"/>
      <c r="B195" s="327" t="s">
        <v>946</v>
      </c>
      <c r="C195" s="335" t="str">
        <f>IF(C193="","",IF(ISBLANK(C191),"",C193/C191))</f>
        <v>#REF!</v>
      </c>
      <c r="D195" s="321"/>
      <c r="E195" s="323"/>
      <c r="F195" s="326"/>
      <c r="H195" s="177"/>
      <c r="J195" s="322"/>
      <c r="K195" s="327" t="s">
        <v>946</v>
      </c>
      <c r="L195" s="335" t="str">
        <f>IF(L193="","",IF(ISBLANK(L191),"",L193/L191))</f>
        <v>#REF!</v>
      </c>
      <c r="M195" s="321"/>
      <c r="N195" s="323"/>
      <c r="O195" s="326"/>
    </row>
    <row r="196" ht="15.75" customHeight="1">
      <c r="A196" s="322"/>
      <c r="B196" s="327"/>
      <c r="C196" s="334"/>
      <c r="D196" s="334"/>
      <c r="E196" s="323"/>
      <c r="F196" s="326"/>
      <c r="H196" s="177"/>
      <c r="J196" s="322"/>
      <c r="K196" s="327"/>
      <c r="L196" s="334"/>
      <c r="M196" s="334"/>
      <c r="N196" s="323"/>
      <c r="O196" s="326"/>
    </row>
    <row r="197" ht="15.75" customHeight="1">
      <c r="A197" s="322"/>
      <c r="B197" s="327" t="s">
        <v>950</v>
      </c>
      <c r="C197" s="333" t="str">
        <f>C191-C193</f>
        <v>#REF!</v>
      </c>
      <c r="D197" s="321"/>
      <c r="E197" s="323"/>
      <c r="F197" s="326"/>
      <c r="H197" s="177"/>
      <c r="J197" s="322"/>
      <c r="K197" s="327" t="s">
        <v>950</v>
      </c>
      <c r="L197" s="333" t="str">
        <f>L191-L193</f>
        <v>#REF!</v>
      </c>
      <c r="M197" s="321"/>
      <c r="N197" s="323"/>
      <c r="O197" s="326"/>
    </row>
    <row r="198" ht="15.75" customHeight="1">
      <c r="A198" s="322"/>
      <c r="B198" s="322"/>
      <c r="C198" s="322"/>
      <c r="D198" s="322"/>
      <c r="E198" s="323"/>
      <c r="F198" s="324"/>
      <c r="H198" s="177"/>
      <c r="J198" s="322"/>
      <c r="K198" s="322"/>
      <c r="L198" s="322"/>
      <c r="M198" s="322"/>
      <c r="N198" s="323"/>
      <c r="O198" s="324"/>
    </row>
    <row r="199" ht="15.75" customHeight="1">
      <c r="A199" s="322"/>
      <c r="B199" s="322"/>
      <c r="C199" s="322"/>
      <c r="D199" s="322"/>
      <c r="E199" s="337"/>
      <c r="F199" s="324"/>
      <c r="H199" s="177"/>
      <c r="J199" s="322"/>
      <c r="K199" s="322"/>
      <c r="L199" s="322"/>
      <c r="M199" s="322"/>
      <c r="N199" s="337"/>
      <c r="O199" s="324"/>
    </row>
    <row r="200" ht="15.75" customHeight="1">
      <c r="A200" s="322"/>
      <c r="B200" s="338" t="s">
        <v>951</v>
      </c>
      <c r="C200" s="339"/>
      <c r="D200" s="339"/>
      <c r="E200" s="339"/>
      <c r="F200" s="324"/>
      <c r="H200" s="177"/>
      <c r="J200" s="322"/>
      <c r="K200" s="338" t="s">
        <v>951</v>
      </c>
      <c r="L200" s="339"/>
      <c r="M200" s="339"/>
      <c r="N200" s="339"/>
      <c r="O200" s="324"/>
    </row>
    <row r="201" ht="15.75" customHeight="1">
      <c r="A201" s="322"/>
      <c r="B201" s="340" t="s">
        <v>953</v>
      </c>
      <c r="C201" s="341" t="s">
        <v>954</v>
      </c>
      <c r="D201" s="341" t="s">
        <v>955</v>
      </c>
      <c r="E201" s="341" t="s">
        <v>35</v>
      </c>
      <c r="F201" s="324"/>
      <c r="H201" s="177"/>
      <c r="J201" s="322"/>
      <c r="K201" s="340" t="s">
        <v>953</v>
      </c>
      <c r="L201" s="341" t="s">
        <v>954</v>
      </c>
      <c r="M201" s="341" t="s">
        <v>955</v>
      </c>
      <c r="N201" s="341" t="s">
        <v>35</v>
      </c>
      <c r="O201" s="324"/>
    </row>
    <row r="202" ht="15.75" customHeight="1">
      <c r="A202" s="322"/>
      <c r="B202" s="139" t="s">
        <v>351</v>
      </c>
      <c r="C202" s="344">
        <v>0.03</v>
      </c>
      <c r="D202" s="343">
        <f> 'F&amp;B'!F251/3</f>
        <v>151800</v>
      </c>
      <c r="E202" s="67">
        <f t="shared" ref="E202:E204" si="21">IF(OR(ISBLANK(C202),ISBLANK(D202)),"",D202*C202)</f>
        <v>4554</v>
      </c>
      <c r="F202" s="324"/>
      <c r="H202" s="177"/>
      <c r="J202" s="322"/>
      <c r="K202" s="60" t="s">
        <v>1209</v>
      </c>
      <c r="L202" s="344">
        <v>0.08</v>
      </c>
      <c r="M202" s="343">
        <f>'F&amp;B'!F129</f>
        <v>67500</v>
      </c>
      <c r="N202" s="67">
        <f t="shared" ref="N202:N204" si="22">IF(OR(ISBLANK(L202),ISBLANK(M202)),"",M202*L202)</f>
        <v>5400</v>
      </c>
      <c r="O202" s="324"/>
    </row>
    <row r="203" ht="15.75" customHeight="1">
      <c r="A203" s="322"/>
      <c r="B203" s="75" t="s">
        <v>1220</v>
      </c>
      <c r="C203" s="370">
        <v>1.0</v>
      </c>
      <c r="D203" s="371">
        <f>SANDWICHES!D384</f>
        <v>11925</v>
      </c>
      <c r="E203" s="67">
        <f t="shared" si="21"/>
        <v>11925</v>
      </c>
      <c r="F203" s="324"/>
      <c r="H203" s="177"/>
      <c r="J203" s="322"/>
      <c r="K203" s="75" t="s">
        <v>262</v>
      </c>
      <c r="L203" s="405">
        <v>0.5</v>
      </c>
      <c r="M203" s="371">
        <f>'F&amp;B'!$F$302</f>
        <v>10800</v>
      </c>
      <c r="N203" s="67">
        <f t="shared" si="22"/>
        <v>5400</v>
      </c>
      <c r="O203" s="324"/>
    </row>
    <row r="204" ht="15.75" customHeight="1">
      <c r="A204" s="322"/>
      <c r="B204" s="406" t="s">
        <v>262</v>
      </c>
      <c r="C204" s="407">
        <v>0.025</v>
      </c>
      <c r="D204" s="408">
        <f>'F&amp;B'!F302</f>
        <v>10800</v>
      </c>
      <c r="E204" s="67">
        <f t="shared" si="21"/>
        <v>270</v>
      </c>
      <c r="F204" s="324"/>
      <c r="H204" s="177"/>
      <c r="J204" s="322"/>
      <c r="K204" s="406" t="s">
        <v>1106</v>
      </c>
      <c r="L204" s="407">
        <v>0.16</v>
      </c>
      <c r="M204" s="408">
        <f>'F&amp;B'!F274</f>
        <v>94500</v>
      </c>
      <c r="N204" s="67">
        <f t="shared" si="22"/>
        <v>15120</v>
      </c>
      <c r="O204" s="324"/>
    </row>
    <row r="205" ht="15.75" customHeight="1">
      <c r="A205" s="322"/>
      <c r="B205" s="338" t="s">
        <v>84</v>
      </c>
      <c r="C205" s="358"/>
      <c r="D205" s="358"/>
      <c r="E205" s="359">
        <f>IF(SUM(E202:E204)=0,"",SUM(E202:E204))</f>
        <v>16749</v>
      </c>
      <c r="F205" s="324"/>
      <c r="H205" s="177"/>
      <c r="J205" s="322"/>
      <c r="K205" s="338" t="s">
        <v>84</v>
      </c>
      <c r="L205" s="358"/>
      <c r="M205" s="358"/>
      <c r="N205" s="359">
        <f>IF(SUM(N202:N204)=0,"",SUM(N202:N204))</f>
        <v>25920</v>
      </c>
      <c r="O205" s="324"/>
    </row>
    <row r="206" ht="15.75" customHeight="1">
      <c r="A206" s="322"/>
      <c r="B206" s="360"/>
      <c r="C206" s="360"/>
      <c r="D206" s="360"/>
      <c r="E206" s="361"/>
      <c r="F206" s="324"/>
      <c r="H206" s="177"/>
      <c r="J206" s="322"/>
      <c r="K206" s="360"/>
      <c r="L206" s="360"/>
      <c r="M206" s="360"/>
      <c r="N206" s="361"/>
      <c r="O206" s="324"/>
    </row>
    <row r="207" ht="15.75" customHeight="1">
      <c r="A207" s="322"/>
      <c r="B207" s="362" t="s">
        <v>972</v>
      </c>
      <c r="C207" s="363"/>
      <c r="D207" s="363"/>
      <c r="E207" s="363"/>
      <c r="F207" s="324"/>
      <c r="H207" s="177"/>
      <c r="J207" s="322"/>
      <c r="K207" s="362" t="s">
        <v>972</v>
      </c>
      <c r="L207" s="363"/>
      <c r="M207" s="363"/>
      <c r="N207" s="363"/>
      <c r="O207" s="324"/>
    </row>
    <row r="208" ht="15.75" customHeight="1">
      <c r="A208" s="322"/>
      <c r="B208" s="365" t="s">
        <v>953</v>
      </c>
      <c r="C208" s="366" t="s">
        <v>3</v>
      </c>
      <c r="D208" s="366" t="s">
        <v>975</v>
      </c>
      <c r="E208" s="367" t="s">
        <v>35</v>
      </c>
      <c r="F208" s="324"/>
      <c r="H208" s="177"/>
      <c r="J208" s="322"/>
      <c r="K208" s="365" t="s">
        <v>953</v>
      </c>
      <c r="L208" s="366" t="s">
        <v>3</v>
      </c>
      <c r="M208" s="366" t="s">
        <v>975</v>
      </c>
      <c r="N208" s="367" t="s">
        <v>35</v>
      </c>
      <c r="O208" s="324"/>
    </row>
    <row r="209" ht="15.75" customHeight="1">
      <c r="A209" s="322"/>
      <c r="B209" s="368"/>
      <c r="C209" s="366"/>
      <c r="D209" s="366"/>
      <c r="E209" s="368"/>
      <c r="F209" s="324"/>
      <c r="H209" s="177"/>
      <c r="J209" s="322"/>
      <c r="K209" s="368"/>
      <c r="L209" s="366"/>
      <c r="M209" s="366"/>
      <c r="N209" s="368"/>
      <c r="O209" s="324"/>
    </row>
    <row r="210" ht="15.75" customHeight="1">
      <c r="A210" s="322"/>
      <c r="B210" s="139" t="s">
        <v>714</v>
      </c>
      <c r="C210" s="344">
        <v>0.07</v>
      </c>
      <c r="D210" s="343">
        <f>'F&amp;B'!F295</f>
        <v>4500</v>
      </c>
      <c r="E210" s="67">
        <f t="shared" ref="E210:E213" si="23">D210*C210</f>
        <v>315</v>
      </c>
      <c r="F210" s="324"/>
      <c r="H210" s="177"/>
      <c r="J210" s="322"/>
      <c r="K210" s="139" t="s">
        <v>176</v>
      </c>
      <c r="L210" s="344">
        <v>0.05</v>
      </c>
      <c r="M210" s="343">
        <f>'F&amp;B'!F43/13</f>
        <v>38076.92308</v>
      </c>
      <c r="N210" s="67">
        <f t="shared" ref="N210:N219" si="24">M210*L210</f>
        <v>1903.846154</v>
      </c>
      <c r="O210" s="324"/>
    </row>
    <row r="211" ht="15.75" customHeight="1">
      <c r="A211" s="322"/>
      <c r="B211" s="228" t="s">
        <v>1279</v>
      </c>
      <c r="C211" s="405">
        <v>0.08</v>
      </c>
      <c r="D211" s="371">
        <f>'F&amp;B'!F307</f>
        <v>8100</v>
      </c>
      <c r="E211" s="67">
        <f t="shared" si="23"/>
        <v>648</v>
      </c>
      <c r="F211" s="324"/>
      <c r="H211" s="177"/>
      <c r="J211" s="322"/>
      <c r="K211" s="228" t="s">
        <v>765</v>
      </c>
      <c r="L211" s="405">
        <v>0.12</v>
      </c>
      <c r="M211" s="371">
        <f>'F&amp;B'!F288</f>
        <v>54000</v>
      </c>
      <c r="N211" s="67">
        <f t="shared" si="24"/>
        <v>6480</v>
      </c>
      <c r="O211" s="324"/>
    </row>
    <row r="212" ht="15.75" customHeight="1">
      <c r="A212" s="322"/>
      <c r="B212" s="228" t="s">
        <v>684</v>
      </c>
      <c r="C212" s="405">
        <v>0.07</v>
      </c>
      <c r="D212" s="371">
        <f>'F&amp;B'!F312</f>
        <v>16200</v>
      </c>
      <c r="E212" s="67">
        <f t="shared" si="23"/>
        <v>1134</v>
      </c>
      <c r="F212" s="324"/>
      <c r="H212" s="177"/>
      <c r="J212" s="322"/>
      <c r="K212" s="228" t="s">
        <v>1061</v>
      </c>
      <c r="L212" s="405">
        <v>0.065</v>
      </c>
      <c r="M212" s="371">
        <f>'F&amp;B'!F284</f>
        <v>7200</v>
      </c>
      <c r="N212" s="67">
        <f t="shared" si="24"/>
        <v>468</v>
      </c>
      <c r="O212" s="324"/>
    </row>
    <row r="213" ht="15.75" customHeight="1">
      <c r="A213" s="322"/>
      <c r="B213" s="228" t="s">
        <v>173</v>
      </c>
      <c r="C213" s="398">
        <v>0.06</v>
      </c>
      <c r="D213" s="371">
        <f>'F&amp;B'!F279</f>
        <v>7200</v>
      </c>
      <c r="E213" s="67">
        <f t="shared" si="23"/>
        <v>432</v>
      </c>
      <c r="F213" s="324"/>
      <c r="H213" s="177"/>
      <c r="J213" s="322"/>
      <c r="K213" s="228" t="s">
        <v>1173</v>
      </c>
      <c r="L213" s="398">
        <v>0.5</v>
      </c>
      <c r="M213" s="371">
        <f>'F&amp;B'!F301</f>
        <v>13500</v>
      </c>
      <c r="N213" s="67">
        <f t="shared" si="24"/>
        <v>6750</v>
      </c>
      <c r="O213" s="324"/>
    </row>
    <row r="214" ht="15.75" customHeight="1">
      <c r="A214" s="322"/>
      <c r="B214" s="228" t="s">
        <v>672</v>
      </c>
      <c r="C214" s="405">
        <v>0.1</v>
      </c>
      <c r="D214" s="371" t="str">
        <f>M158</f>
        <v>#REF!</v>
      </c>
      <c r="E214" s="67" t="str">
        <f>IF(OR(ISBLANK(C214),ISBLANK(D214)),"",D214*C214)</f>
        <v>#REF!</v>
      </c>
      <c r="F214" s="324"/>
      <c r="H214" s="177"/>
      <c r="J214" s="322"/>
      <c r="K214" s="228" t="s">
        <v>282</v>
      </c>
      <c r="L214" s="398">
        <v>1.0</v>
      </c>
      <c r="M214" s="371">
        <f>D158</f>
        <v>629.9629934</v>
      </c>
      <c r="N214" s="67">
        <f t="shared" si="24"/>
        <v>629.9629934</v>
      </c>
      <c r="O214" s="324"/>
    </row>
    <row r="215" ht="15.75" customHeight="1">
      <c r="A215" s="322"/>
      <c r="B215" s="75" t="s">
        <v>934</v>
      </c>
      <c r="C215" s="342">
        <v>0.2</v>
      </c>
      <c r="D215" s="343">
        <f>'F&amp;B'!$F$68/10</f>
        <v>19665</v>
      </c>
      <c r="E215" s="67">
        <f t="shared" ref="E215:E219" si="25">D215*C215</f>
        <v>3933</v>
      </c>
      <c r="F215" s="324"/>
      <c r="H215" s="177"/>
      <c r="J215" s="322"/>
      <c r="K215" s="75"/>
      <c r="L215" s="346"/>
      <c r="M215" s="371"/>
      <c r="N215" s="67">
        <f t="shared" si="24"/>
        <v>0</v>
      </c>
      <c r="O215" s="324"/>
    </row>
    <row r="216" ht="15.75" customHeight="1">
      <c r="A216" s="322"/>
      <c r="B216" s="75" t="s">
        <v>256</v>
      </c>
      <c r="C216" s="346">
        <v>1.0</v>
      </c>
      <c r="D216" s="371">
        <f>SAUCES!$D$68</f>
        <v>3768.104768</v>
      </c>
      <c r="E216" s="67">
        <f t="shared" si="25"/>
        <v>3768.104768</v>
      </c>
      <c r="F216" s="324"/>
      <c r="H216" s="177"/>
      <c r="J216" s="322"/>
      <c r="K216" s="75"/>
      <c r="L216" s="346"/>
      <c r="M216" s="347"/>
      <c r="N216" s="67">
        <f t="shared" si="24"/>
        <v>0</v>
      </c>
      <c r="O216" s="324"/>
    </row>
    <row r="217" ht="15.75" customHeight="1">
      <c r="A217" s="322"/>
      <c r="B217" s="348"/>
      <c r="C217" s="346"/>
      <c r="D217" s="373"/>
      <c r="E217" s="67">
        <f t="shared" si="25"/>
        <v>0</v>
      </c>
      <c r="F217" s="324"/>
      <c r="H217" s="177"/>
      <c r="J217" s="322"/>
      <c r="K217" s="348"/>
      <c r="L217" s="346"/>
      <c r="M217" s="373"/>
      <c r="N217" s="67">
        <f t="shared" si="24"/>
        <v>0</v>
      </c>
      <c r="O217" s="324"/>
    </row>
    <row r="218" ht="15.75" customHeight="1">
      <c r="A218" s="322"/>
      <c r="B218" s="348"/>
      <c r="C218" s="346"/>
      <c r="D218" s="373"/>
      <c r="E218" s="67">
        <f t="shared" si="25"/>
        <v>0</v>
      </c>
      <c r="F218" s="324"/>
      <c r="H218" s="177"/>
      <c r="J218" s="322"/>
      <c r="K218" s="348"/>
      <c r="L218" s="346"/>
      <c r="M218" s="373"/>
      <c r="N218" s="67">
        <f t="shared" si="24"/>
        <v>0</v>
      </c>
      <c r="O218" s="324"/>
    </row>
    <row r="219" ht="15.75" customHeight="1">
      <c r="A219" s="322"/>
      <c r="B219" s="354"/>
      <c r="C219" s="355"/>
      <c r="D219" s="356"/>
      <c r="E219" s="67">
        <f t="shared" si="25"/>
        <v>0</v>
      </c>
      <c r="F219" s="324"/>
      <c r="H219" s="177"/>
      <c r="J219" s="322"/>
      <c r="K219" s="354"/>
      <c r="L219" s="355"/>
      <c r="M219" s="356"/>
      <c r="N219" s="67">
        <f t="shared" si="24"/>
        <v>0</v>
      </c>
      <c r="O219" s="324"/>
    </row>
    <row r="220" ht="15.75" customHeight="1">
      <c r="A220" s="322"/>
      <c r="B220" s="362" t="s">
        <v>84</v>
      </c>
      <c r="C220" s="374"/>
      <c r="D220" s="374"/>
      <c r="E220" s="375" t="str">
        <f>IF(SUM(E210:E219)=0,"",SUM(E210:E219))</f>
        <v>#REF!</v>
      </c>
      <c r="F220" s="324"/>
      <c r="H220" s="177"/>
      <c r="J220" s="322"/>
      <c r="K220" s="362" t="s">
        <v>84</v>
      </c>
      <c r="L220" s="374"/>
      <c r="M220" s="374"/>
      <c r="N220" s="375">
        <f>IF(SUM(N210:N219)=0,"",SUM(N210:N219))</f>
        <v>16231.80915</v>
      </c>
      <c r="O220" s="324"/>
    </row>
    <row r="221" ht="15.75" customHeight="1">
      <c r="A221" s="322"/>
      <c r="B221" s="360"/>
      <c r="C221" s="360"/>
      <c r="D221" s="360"/>
      <c r="E221" s="361"/>
      <c r="F221" s="324"/>
      <c r="H221" s="177"/>
      <c r="J221" s="322"/>
      <c r="K221" s="360"/>
      <c r="L221" s="360"/>
      <c r="M221" s="360"/>
      <c r="N221" s="361"/>
      <c r="O221" s="324"/>
    </row>
    <row r="222" ht="15.75" customHeight="1">
      <c r="A222" s="322"/>
      <c r="B222" s="34" t="s">
        <v>17</v>
      </c>
      <c r="C222" s="35"/>
      <c r="D222" s="35"/>
      <c r="E222" s="35"/>
      <c r="F222" s="324"/>
      <c r="H222" s="177"/>
      <c r="J222" s="322"/>
      <c r="K222" s="34" t="s">
        <v>17</v>
      </c>
      <c r="L222" s="35"/>
      <c r="M222" s="35"/>
      <c r="N222" s="35"/>
      <c r="O222" s="324"/>
    </row>
    <row r="223" ht="15.75" customHeight="1">
      <c r="A223" s="322"/>
      <c r="B223" s="52" t="s">
        <v>42</v>
      </c>
      <c r="C223" s="54"/>
      <c r="D223" s="54"/>
      <c r="E223" s="56" t="s">
        <v>35</v>
      </c>
      <c r="F223" s="324"/>
      <c r="H223" s="177"/>
      <c r="J223" s="322"/>
      <c r="K223" s="52" t="s">
        <v>42</v>
      </c>
      <c r="L223" s="54"/>
      <c r="M223" s="54"/>
      <c r="N223" s="56" t="s">
        <v>35</v>
      </c>
      <c r="O223" s="324"/>
    </row>
    <row r="224" ht="15.75" customHeight="1">
      <c r="A224" s="322"/>
      <c r="B224" s="60" t="s">
        <v>40</v>
      </c>
      <c r="C224" s="343">
        <f>'UTL COST'!$B$3</f>
        <v>369000</v>
      </c>
      <c r="D224" s="379">
        <f>'UTL COST'!$C$3</f>
        <v>0.0075</v>
      </c>
      <c r="E224" s="67">
        <f>'UTL COST'!$D$3</f>
        <v>2767.5</v>
      </c>
      <c r="F224" s="324"/>
      <c r="H224" s="177"/>
      <c r="J224" s="322"/>
      <c r="K224" s="60" t="s">
        <v>40</v>
      </c>
      <c r="L224" s="343">
        <f>'UTL COST'!$B$3</f>
        <v>369000</v>
      </c>
      <c r="M224" s="379">
        <f>'UTL COST'!$C$3</f>
        <v>0.0075</v>
      </c>
      <c r="N224" s="67">
        <v>0.0</v>
      </c>
      <c r="O224" s="324"/>
    </row>
    <row r="225" ht="15.75" customHeight="1">
      <c r="A225" s="322"/>
      <c r="B225" s="75" t="s">
        <v>51</v>
      </c>
      <c r="C225" s="371" t="str">
        <f>'UTL COST'!$B$4</f>
        <v>#REF!</v>
      </c>
      <c r="D225" s="382">
        <f>'UTL COST'!$C$4</f>
        <v>7000</v>
      </c>
      <c r="E225" s="76" t="str">
        <f>'UTL COST'!$D$4</f>
        <v>#REF!</v>
      </c>
      <c r="F225" s="324"/>
      <c r="H225" s="177"/>
      <c r="J225" s="322"/>
      <c r="K225" s="75" t="s">
        <v>51</v>
      </c>
      <c r="L225" s="371" t="str">
        <f>'UTL COST'!$B$4</f>
        <v>#REF!</v>
      </c>
      <c r="M225" s="382">
        <f>'UTL COST'!$C$4</f>
        <v>7000</v>
      </c>
      <c r="N225" s="76" t="str">
        <f>'UTL COST'!$D$4</f>
        <v>#REF!</v>
      </c>
      <c r="O225" s="324"/>
    </row>
    <row r="226" ht="15.75" customHeight="1">
      <c r="A226" s="322"/>
      <c r="B226" s="75" t="s">
        <v>59</v>
      </c>
      <c r="C226" s="371" t="str">
        <f>'UTL COST'!$B$5</f>
        <v>#REF!</v>
      </c>
      <c r="D226" s="382">
        <f>'UTL COST'!$C$5</f>
        <v>45000</v>
      </c>
      <c r="E226" s="76" t="str">
        <f>'UTL COST'!$D$5</f>
        <v>#REF!</v>
      </c>
      <c r="F226" s="324"/>
      <c r="H226" s="177"/>
      <c r="J226" s="322"/>
      <c r="K226" s="75" t="s">
        <v>59</v>
      </c>
      <c r="L226" s="371" t="str">
        <f>'UTL COST'!$B$5</f>
        <v>#REF!</v>
      </c>
      <c r="M226" s="382">
        <f>'UTL COST'!$C$5</f>
        <v>45000</v>
      </c>
      <c r="N226" s="76" t="str">
        <f>'UTL COST'!$D$5</f>
        <v>#REF!</v>
      </c>
      <c r="O226" s="324"/>
    </row>
    <row r="227" ht="15.75" customHeight="1">
      <c r="A227" s="322"/>
      <c r="B227" s="87" t="s">
        <v>78</v>
      </c>
      <c r="C227" s="371" t="str">
        <f>'UTL COST'!$B$6</f>
        <v>#REF!</v>
      </c>
      <c r="D227" s="383">
        <f>'UTL COST'!$C$6</f>
        <v>525</v>
      </c>
      <c r="E227" s="89">
        <v>0.1</v>
      </c>
      <c r="F227" s="324"/>
      <c r="H227" s="177"/>
      <c r="J227" s="322"/>
      <c r="K227" s="87" t="s">
        <v>78</v>
      </c>
      <c r="L227" s="371" t="str">
        <f>'UTL COST'!$B$6</f>
        <v>#REF!</v>
      </c>
      <c r="M227" s="383">
        <f>'UTL COST'!$C$6</f>
        <v>525</v>
      </c>
      <c r="N227" s="89">
        <v>0.1</v>
      </c>
      <c r="O227" s="324"/>
    </row>
    <row r="228" ht="15.75" customHeight="1">
      <c r="A228" s="322"/>
      <c r="B228" s="34" t="s">
        <v>84</v>
      </c>
      <c r="C228" s="102"/>
      <c r="D228" s="102"/>
      <c r="E228" s="104" t="str">
        <f>IF(SUM(E224:E227)=0,"",SUM(E224:E227))</f>
        <v>#REF!</v>
      </c>
      <c r="F228" s="324"/>
      <c r="H228" s="177"/>
      <c r="J228" s="322"/>
      <c r="K228" s="34" t="s">
        <v>84</v>
      </c>
      <c r="L228" s="102"/>
      <c r="M228" s="102"/>
      <c r="N228" s="104" t="str">
        <f>IF(SUM(N224:N227)=0,"",SUM(N224:N227))</f>
        <v>#REF!</v>
      </c>
      <c r="O228" s="324"/>
    </row>
    <row r="229" ht="15.75" customHeight="1">
      <c r="A229" s="322"/>
      <c r="B229" s="360"/>
      <c r="C229" s="360"/>
      <c r="D229" s="360"/>
      <c r="E229" s="361"/>
      <c r="F229" s="324"/>
      <c r="H229" s="177"/>
      <c r="J229" s="322"/>
      <c r="K229" s="360"/>
      <c r="L229" s="360"/>
      <c r="M229" s="360"/>
      <c r="N229" s="361"/>
      <c r="O229" s="324"/>
    </row>
    <row r="230" ht="15.75" customHeight="1">
      <c r="H230" s="177"/>
    </row>
    <row r="231" ht="15.75" customHeight="1">
      <c r="H231" s="177"/>
    </row>
    <row r="232" ht="15.75" customHeight="1">
      <c r="A232" s="322"/>
      <c r="B232" s="322"/>
      <c r="C232" s="322"/>
      <c r="D232" s="322"/>
      <c r="E232" s="323"/>
      <c r="F232" s="324"/>
      <c r="H232" s="177"/>
      <c r="J232" s="322"/>
      <c r="K232" s="322"/>
      <c r="L232" s="322"/>
      <c r="M232" s="322"/>
      <c r="N232" s="323"/>
      <c r="O232" s="324"/>
    </row>
    <row r="233" ht="15.75" customHeight="1">
      <c r="A233" s="322"/>
      <c r="B233" s="325"/>
      <c r="C233" s="322"/>
      <c r="D233" s="322"/>
      <c r="E233" s="323"/>
      <c r="F233" s="326"/>
      <c r="H233" s="177"/>
      <c r="J233" s="322"/>
      <c r="K233" s="325"/>
      <c r="L233" s="322"/>
      <c r="M233" s="322"/>
      <c r="N233" s="323"/>
      <c r="O233" s="326"/>
    </row>
    <row r="234" ht="15.75" customHeight="1">
      <c r="A234" s="322"/>
      <c r="B234" s="327" t="s">
        <v>931</v>
      </c>
      <c r="C234" s="330" t="s">
        <v>1286</v>
      </c>
      <c r="D234" s="329"/>
      <c r="E234" s="323"/>
      <c r="F234" s="326"/>
      <c r="H234" s="177"/>
      <c r="J234" s="322"/>
      <c r="K234" s="327" t="s">
        <v>931</v>
      </c>
      <c r="L234" s="330" t="s">
        <v>1246</v>
      </c>
      <c r="M234" s="329"/>
      <c r="N234" s="323"/>
      <c r="O234" s="326"/>
    </row>
    <row r="235" ht="15.75" customHeight="1">
      <c r="A235" s="322"/>
      <c r="B235" s="325"/>
      <c r="C235" s="322"/>
      <c r="D235" s="322"/>
      <c r="E235" s="323"/>
      <c r="F235" s="326"/>
      <c r="H235" s="177"/>
      <c r="J235" s="322"/>
      <c r="K235" s="325"/>
      <c r="L235" s="322"/>
      <c r="M235" s="322"/>
      <c r="N235" s="323"/>
      <c r="O235" s="326"/>
    </row>
    <row r="236" ht="15.75" customHeight="1">
      <c r="A236" s="322"/>
      <c r="B236" s="327" t="s">
        <v>935</v>
      </c>
      <c r="C236" s="440">
        <v>950000.0</v>
      </c>
      <c r="D236" s="329"/>
      <c r="E236" s="323"/>
      <c r="F236" s="326"/>
      <c r="H236" s="177"/>
      <c r="J236" s="322"/>
      <c r="K236" s="327" t="s">
        <v>935</v>
      </c>
      <c r="L236" s="440">
        <f>N236*90000</f>
        <v>900000</v>
      </c>
      <c r="M236" s="329"/>
      <c r="N236" s="394">
        <v>10.0</v>
      </c>
      <c r="O236" s="326"/>
    </row>
    <row r="237" ht="15.75" customHeight="1">
      <c r="A237" s="322"/>
      <c r="B237" s="327"/>
      <c r="C237" s="332"/>
      <c r="D237" s="332"/>
      <c r="E237" s="323"/>
      <c r="F237" s="326"/>
      <c r="H237" s="177"/>
      <c r="J237" s="322"/>
      <c r="K237" s="327"/>
      <c r="L237" s="332"/>
      <c r="M237" s="332"/>
      <c r="N237" s="323"/>
      <c r="O237" s="326"/>
    </row>
    <row r="238" ht="15.75" customHeight="1">
      <c r="A238" s="322"/>
      <c r="B238" s="327" t="s">
        <v>939</v>
      </c>
      <c r="C238" s="333" t="str">
        <f>IF(SUM(E250,E265,E273)=0,"",SUM(E250,E265,E273))</f>
        <v>#REF!</v>
      </c>
      <c r="D238" s="321"/>
      <c r="E238" s="323"/>
      <c r="F238" s="326"/>
      <c r="H238" s="177"/>
      <c r="J238" s="322"/>
      <c r="K238" s="327" t="s">
        <v>939</v>
      </c>
      <c r="L238" s="333" t="str">
        <f>IF(SUM(N250,N265,N273)=0,"",SUM(N250,N265,N273))</f>
        <v>#REF!</v>
      </c>
      <c r="M238" s="321"/>
      <c r="N238" s="323" t="str">
        <f>L238/90000</f>
        <v>#REF!</v>
      </c>
      <c r="O238" s="326"/>
    </row>
    <row r="239" ht="15.75" customHeight="1">
      <c r="A239" s="322"/>
      <c r="B239" s="327"/>
      <c r="C239" s="334"/>
      <c r="D239" s="334"/>
      <c r="E239" s="323"/>
      <c r="F239" s="326"/>
      <c r="H239" s="177"/>
      <c r="J239" s="322"/>
      <c r="K239" s="327"/>
      <c r="L239" s="334"/>
      <c r="M239" s="334"/>
      <c r="N239" s="323"/>
      <c r="O239" s="326"/>
    </row>
    <row r="240" ht="15.75" customHeight="1">
      <c r="A240" s="322"/>
      <c r="B240" s="327" t="s">
        <v>946</v>
      </c>
      <c r="C240" s="335" t="str">
        <f>IF(C238="","",IF(ISBLANK(C236),"",C238/C236))</f>
        <v>#REF!</v>
      </c>
      <c r="D240" s="321"/>
      <c r="E240" s="323"/>
      <c r="F240" s="326"/>
      <c r="H240" s="177"/>
      <c r="J240" s="322"/>
      <c r="K240" s="327" t="s">
        <v>946</v>
      </c>
      <c r="L240" s="335" t="str">
        <f>IF(L238="","",IF(ISBLANK(L236),"",L238/L236))</f>
        <v>#REF!</v>
      </c>
      <c r="M240" s="321"/>
      <c r="N240" s="323"/>
      <c r="O240" s="326"/>
    </row>
    <row r="241" ht="15.75" customHeight="1">
      <c r="A241" s="322"/>
      <c r="B241" s="327"/>
      <c r="C241" s="334"/>
      <c r="D241" s="334"/>
      <c r="E241" s="323"/>
      <c r="F241" s="326"/>
      <c r="H241" s="177"/>
      <c r="J241" s="322"/>
      <c r="K241" s="327"/>
      <c r="L241" s="334"/>
      <c r="M241" s="334"/>
      <c r="N241" s="323"/>
      <c r="O241" s="326"/>
    </row>
    <row r="242" ht="15.75" customHeight="1">
      <c r="A242" s="322"/>
      <c r="B242" s="327" t="s">
        <v>950</v>
      </c>
      <c r="C242" s="333" t="str">
        <f>C236-C238</f>
        <v>#REF!</v>
      </c>
      <c r="D242" s="321"/>
      <c r="E242" s="323"/>
      <c r="F242" s="326"/>
      <c r="H242" s="177"/>
      <c r="J242" s="322"/>
      <c r="K242" s="327" t="s">
        <v>950</v>
      </c>
      <c r="L242" s="333" t="str">
        <f>L236-L238</f>
        <v>#REF!</v>
      </c>
      <c r="M242" s="321"/>
      <c r="N242" s="323"/>
      <c r="O242" s="326"/>
    </row>
    <row r="243" ht="15.75" customHeight="1">
      <c r="A243" s="322"/>
      <c r="B243" s="322"/>
      <c r="C243" s="322"/>
      <c r="D243" s="322"/>
      <c r="E243" s="323"/>
      <c r="F243" s="324"/>
      <c r="H243" s="177"/>
      <c r="J243" s="322"/>
      <c r="K243" s="322"/>
      <c r="L243" s="322"/>
      <c r="M243" s="322"/>
      <c r="N243" s="323"/>
      <c r="O243" s="324"/>
    </row>
    <row r="244" ht="15.75" customHeight="1">
      <c r="A244" s="322"/>
      <c r="B244" s="322"/>
      <c r="C244" s="322"/>
      <c r="D244" s="322"/>
      <c r="E244" s="337"/>
      <c r="F244" s="324"/>
      <c r="H244" s="177"/>
      <c r="J244" s="322"/>
      <c r="K244" s="322"/>
      <c r="L244" s="322"/>
      <c r="M244" s="322"/>
      <c r="N244" s="337"/>
      <c r="O244" s="324"/>
    </row>
    <row r="245" ht="15.75" customHeight="1">
      <c r="A245" s="322"/>
      <c r="B245" s="338" t="s">
        <v>951</v>
      </c>
      <c r="C245" s="339"/>
      <c r="D245" s="339"/>
      <c r="E245" s="339"/>
      <c r="F245" s="324"/>
      <c r="H245" s="177"/>
      <c r="J245" s="322"/>
      <c r="K245" s="338" t="s">
        <v>951</v>
      </c>
      <c r="L245" s="339"/>
      <c r="M245" s="339"/>
      <c r="N245" s="339"/>
      <c r="O245" s="324"/>
    </row>
    <row r="246" ht="15.75" customHeight="1">
      <c r="A246" s="322"/>
      <c r="B246" s="340" t="s">
        <v>953</v>
      </c>
      <c r="C246" s="341" t="s">
        <v>954</v>
      </c>
      <c r="D246" s="341" t="s">
        <v>955</v>
      </c>
      <c r="E246" s="341" t="s">
        <v>35</v>
      </c>
      <c r="F246" s="324"/>
      <c r="H246" s="177"/>
      <c r="J246" s="322"/>
      <c r="K246" s="340" t="s">
        <v>953</v>
      </c>
      <c r="L246" s="341" t="s">
        <v>954</v>
      </c>
      <c r="M246" s="341" t="s">
        <v>955</v>
      </c>
      <c r="N246" s="341" t="s">
        <v>35</v>
      </c>
      <c r="O246" s="324"/>
    </row>
    <row r="247" ht="15.75" customHeight="1">
      <c r="A247" s="322"/>
      <c r="B247" s="139" t="s">
        <v>1286</v>
      </c>
      <c r="C247" s="344">
        <v>0.2</v>
      </c>
      <c r="D247" s="343">
        <f>7*90000</f>
        <v>630000</v>
      </c>
      <c r="E247" s="67">
        <f t="shared" ref="E247:E249" si="26">IF(OR(ISBLANK(C247),ISBLANK(D247)),"",D247*C247)</f>
        <v>126000</v>
      </c>
      <c r="F247" s="324"/>
      <c r="H247" s="177"/>
      <c r="J247" s="322"/>
      <c r="K247" s="139" t="s">
        <v>1249</v>
      </c>
      <c r="L247" s="344">
        <v>1.0</v>
      </c>
      <c r="M247" s="470">
        <f>'F&amp;B'!F65</f>
        <v>9900</v>
      </c>
      <c r="N247" s="67">
        <f t="shared" ref="N247:N249" si="27">IF(OR(ISBLANK(L247),ISBLANK(M247)),"",M247*L247)</f>
        <v>9900</v>
      </c>
      <c r="O247" s="324"/>
    </row>
    <row r="248" ht="15.75" customHeight="1">
      <c r="A248" s="322"/>
      <c r="B248" s="228" t="s">
        <v>1270</v>
      </c>
      <c r="C248" s="405">
        <v>0.1</v>
      </c>
      <c r="D248" s="371">
        <f>M165</f>
        <v>45000</v>
      </c>
      <c r="E248" s="67">
        <f t="shared" si="26"/>
        <v>4500</v>
      </c>
      <c r="F248" s="324"/>
      <c r="H248" s="177"/>
      <c r="J248" s="322"/>
      <c r="K248" s="228" t="s">
        <v>1290</v>
      </c>
      <c r="L248" s="405">
        <v>2.0</v>
      </c>
      <c r="M248" s="371">
        <f>SANDWICHES!D477</f>
        <v>385.7142857</v>
      </c>
      <c r="N248" s="67">
        <f t="shared" si="27"/>
        <v>771.4285714</v>
      </c>
      <c r="O248" s="324"/>
    </row>
    <row r="249" ht="15.75" customHeight="1">
      <c r="A249" s="322"/>
      <c r="B249" s="406" t="s">
        <v>1062</v>
      </c>
      <c r="C249" s="407">
        <v>2.0</v>
      </c>
      <c r="D249" s="408">
        <f>'F&amp;B'!F4/6</f>
        <v>1455</v>
      </c>
      <c r="E249" s="67">
        <f t="shared" si="26"/>
        <v>2910</v>
      </c>
      <c r="F249" s="324"/>
      <c r="H249" s="177"/>
      <c r="J249" s="322"/>
      <c r="K249" s="406" t="s">
        <v>80</v>
      </c>
      <c r="L249" s="407">
        <v>0.05</v>
      </c>
      <c r="M249" s="408">
        <f>'F&amp;B'!F247/5</f>
        <v>51480</v>
      </c>
      <c r="N249" s="67">
        <f t="shared" si="27"/>
        <v>2574</v>
      </c>
      <c r="O249" s="324"/>
    </row>
    <row r="250" ht="15.75" customHeight="1">
      <c r="A250" s="322"/>
      <c r="B250" s="338" t="s">
        <v>84</v>
      </c>
      <c r="C250" s="358"/>
      <c r="D250" s="358"/>
      <c r="E250" s="359">
        <f>IF(SUM(E247:E249)=0,"",SUM(E247:E249))</f>
        <v>133410</v>
      </c>
      <c r="F250" s="324"/>
      <c r="H250" s="177"/>
      <c r="J250" s="322"/>
      <c r="K250" s="338" t="s">
        <v>84</v>
      </c>
      <c r="L250" s="358"/>
      <c r="M250" s="358"/>
      <c r="N250" s="359">
        <f>IF(SUM(N247:N249)=0,"",SUM(N247:N249))</f>
        <v>13245.42857</v>
      </c>
      <c r="O250" s="324"/>
    </row>
    <row r="251" ht="15.75" customHeight="1">
      <c r="A251" s="322"/>
      <c r="B251" s="360"/>
      <c r="C251" s="360"/>
      <c r="D251" s="360"/>
      <c r="E251" s="361"/>
      <c r="F251" s="324"/>
      <c r="H251" s="177"/>
      <c r="J251" s="322"/>
      <c r="K251" s="360"/>
      <c r="L251" s="360"/>
      <c r="M251" s="360"/>
      <c r="N251" s="361"/>
      <c r="O251" s="324"/>
    </row>
    <row r="252" ht="15.75" customHeight="1">
      <c r="A252" s="322"/>
      <c r="B252" s="362" t="s">
        <v>972</v>
      </c>
      <c r="C252" s="363"/>
      <c r="D252" s="363"/>
      <c r="E252" s="363"/>
      <c r="F252" s="324"/>
      <c r="H252" s="177"/>
      <c r="J252" s="322"/>
      <c r="K252" s="362" t="s">
        <v>972</v>
      </c>
      <c r="L252" s="363"/>
      <c r="M252" s="363"/>
      <c r="N252" s="363"/>
      <c r="O252" s="324"/>
    </row>
    <row r="253" ht="15.75" customHeight="1">
      <c r="A253" s="322"/>
      <c r="B253" s="365" t="s">
        <v>953</v>
      </c>
      <c r="C253" s="366" t="s">
        <v>3</v>
      </c>
      <c r="D253" s="366" t="s">
        <v>975</v>
      </c>
      <c r="E253" s="367" t="s">
        <v>35</v>
      </c>
      <c r="F253" s="324"/>
      <c r="H253" s="177"/>
      <c r="J253" s="322"/>
      <c r="K253" s="365" t="s">
        <v>953</v>
      </c>
      <c r="L253" s="366" t="s">
        <v>3</v>
      </c>
      <c r="M253" s="366" t="s">
        <v>975</v>
      </c>
      <c r="N253" s="367" t="s">
        <v>35</v>
      </c>
      <c r="O253" s="324"/>
    </row>
    <row r="254" ht="15.75" customHeight="1">
      <c r="A254" s="322"/>
      <c r="B254" s="368"/>
      <c r="C254" s="366"/>
      <c r="D254" s="366"/>
      <c r="E254" s="368"/>
      <c r="F254" s="324"/>
      <c r="H254" s="177"/>
      <c r="J254" s="322"/>
      <c r="K254" s="368"/>
      <c r="L254" s="366"/>
      <c r="M254" s="366"/>
      <c r="N254" s="368"/>
      <c r="O254" s="324"/>
    </row>
    <row r="255" ht="15.75" customHeight="1">
      <c r="A255" s="322"/>
      <c r="B255" s="139"/>
      <c r="C255" s="344"/>
      <c r="D255" s="343"/>
      <c r="E255" s="67">
        <f t="shared" ref="E255:E258" si="28">D255*C255</f>
        <v>0</v>
      </c>
      <c r="F255" s="324"/>
      <c r="H255" s="177"/>
      <c r="J255" s="322"/>
      <c r="K255" s="139" t="s">
        <v>1292</v>
      </c>
      <c r="L255" s="344">
        <v>0.02</v>
      </c>
      <c r="M255" s="343">
        <f>'F&amp;B'!F318</f>
        <v>9000</v>
      </c>
      <c r="N255" s="67">
        <f t="shared" ref="N255:N258" si="29">M255*L255</f>
        <v>180</v>
      </c>
      <c r="O255" s="324"/>
    </row>
    <row r="256" ht="15.75" customHeight="1">
      <c r="A256" s="322"/>
      <c r="B256" s="228"/>
      <c r="C256" s="405"/>
      <c r="D256" s="371"/>
      <c r="E256" s="67">
        <f t="shared" si="28"/>
        <v>0</v>
      </c>
      <c r="F256" s="324"/>
      <c r="H256" s="177"/>
      <c r="J256" s="322"/>
      <c r="K256" s="228" t="s">
        <v>1293</v>
      </c>
      <c r="L256" s="405">
        <v>0.015</v>
      </c>
      <c r="M256" s="371">
        <f>'F&amp;B'!F250/3.75</f>
        <v>29040</v>
      </c>
      <c r="N256" s="67">
        <f t="shared" si="29"/>
        <v>435.6</v>
      </c>
      <c r="O256" s="324"/>
    </row>
    <row r="257" ht="15.75" customHeight="1">
      <c r="A257" s="322"/>
      <c r="B257" s="228"/>
      <c r="C257" s="405"/>
      <c r="D257" s="371"/>
      <c r="E257" s="67">
        <f t="shared" si="28"/>
        <v>0</v>
      </c>
      <c r="F257" s="324"/>
      <c r="H257" s="177"/>
      <c r="J257" s="322"/>
      <c r="K257" s="228" t="s">
        <v>1294</v>
      </c>
      <c r="L257" s="405">
        <v>0.015</v>
      </c>
      <c r="M257" s="343">
        <f>'F&amp;B'!F210</f>
        <v>67500</v>
      </c>
      <c r="N257" s="67">
        <f t="shared" si="29"/>
        <v>1012.5</v>
      </c>
      <c r="O257" s="324"/>
    </row>
    <row r="258" ht="15.75" customHeight="1">
      <c r="A258" s="322"/>
      <c r="B258" s="228"/>
      <c r="C258" s="398"/>
      <c r="D258" s="371"/>
      <c r="E258" s="67">
        <f t="shared" si="28"/>
        <v>0</v>
      </c>
      <c r="F258" s="324"/>
      <c r="H258" s="177"/>
      <c r="J258" s="322"/>
      <c r="K258" s="75"/>
      <c r="L258" s="346"/>
      <c r="M258" s="371"/>
      <c r="N258" s="67">
        <f t="shared" si="29"/>
        <v>0</v>
      </c>
      <c r="O258" s="324"/>
    </row>
    <row r="259" ht="15.75" customHeight="1">
      <c r="A259" s="322"/>
      <c r="B259" s="228"/>
      <c r="C259" s="405"/>
      <c r="D259" s="371"/>
      <c r="E259" s="67" t="str">
        <f>IF(OR(ISBLANK(C259),ISBLANK(D259)),"",D259*C259)</f>
        <v/>
      </c>
      <c r="F259" s="324"/>
      <c r="H259" s="177"/>
      <c r="J259" s="322"/>
      <c r="K259" s="75" t="s">
        <v>1261</v>
      </c>
      <c r="L259" s="370">
        <v>0.015</v>
      </c>
      <c r="M259" s="371">
        <v>81000.0</v>
      </c>
      <c r="N259" s="67">
        <v>1215.0</v>
      </c>
      <c r="O259" s="324"/>
    </row>
    <row r="260" ht="15.75" customHeight="1">
      <c r="A260" s="322"/>
      <c r="B260" s="75"/>
      <c r="C260" s="342"/>
      <c r="D260" s="343"/>
      <c r="E260" s="67">
        <f t="shared" ref="E260:E264" si="30">D260*C260</f>
        <v>0</v>
      </c>
      <c r="F260" s="324"/>
      <c r="H260" s="177"/>
      <c r="J260" s="322"/>
      <c r="K260" s="75" t="s">
        <v>934</v>
      </c>
      <c r="L260" s="342">
        <v>0.2</v>
      </c>
      <c r="M260" s="343">
        <f>'F&amp;B'!$F$68/10</f>
        <v>19665</v>
      </c>
      <c r="N260" s="67">
        <f t="shared" ref="N260:N264" si="31">M260*L260</f>
        <v>3933</v>
      </c>
      <c r="O260" s="324"/>
    </row>
    <row r="261" ht="15.75" customHeight="1">
      <c r="A261" s="322"/>
      <c r="B261" s="75"/>
      <c r="C261" s="346"/>
      <c r="D261" s="371"/>
      <c r="E261" s="67">
        <f t="shared" si="30"/>
        <v>0</v>
      </c>
      <c r="F261" s="324"/>
      <c r="H261" s="177"/>
      <c r="J261" s="322"/>
      <c r="K261" s="348"/>
      <c r="L261" s="346"/>
      <c r="M261" s="373"/>
      <c r="N261" s="67">
        <f t="shared" si="31"/>
        <v>0</v>
      </c>
      <c r="O261" s="324"/>
    </row>
    <row r="262" ht="15.75" customHeight="1">
      <c r="A262" s="322"/>
      <c r="B262" s="348"/>
      <c r="C262" s="346"/>
      <c r="D262" s="373"/>
      <c r="E262" s="67">
        <f t="shared" si="30"/>
        <v>0</v>
      </c>
      <c r="F262" s="324"/>
      <c r="H262" s="177"/>
      <c r="J262" s="322"/>
      <c r="K262" s="348"/>
      <c r="L262" s="346"/>
      <c r="M262" s="373"/>
      <c r="N262" s="67">
        <f t="shared" si="31"/>
        <v>0</v>
      </c>
      <c r="O262" s="324"/>
    </row>
    <row r="263" ht="15.75" customHeight="1">
      <c r="A263" s="322"/>
      <c r="B263" s="348"/>
      <c r="C263" s="346"/>
      <c r="D263" s="373"/>
      <c r="E263" s="67">
        <f t="shared" si="30"/>
        <v>0</v>
      </c>
      <c r="F263" s="324"/>
      <c r="H263" s="177"/>
      <c r="J263" s="322"/>
      <c r="K263" s="348"/>
      <c r="L263" s="346"/>
      <c r="M263" s="373"/>
      <c r="N263" s="67">
        <f t="shared" si="31"/>
        <v>0</v>
      </c>
      <c r="O263" s="324"/>
    </row>
    <row r="264" ht="15.75" customHeight="1">
      <c r="A264" s="322"/>
      <c r="B264" s="354"/>
      <c r="C264" s="355"/>
      <c r="D264" s="356"/>
      <c r="E264" s="67">
        <f t="shared" si="30"/>
        <v>0</v>
      </c>
      <c r="F264" s="324"/>
      <c r="H264" s="177"/>
      <c r="J264" s="322"/>
      <c r="K264" s="354"/>
      <c r="L264" s="355"/>
      <c r="M264" s="356"/>
      <c r="N264" s="67">
        <f t="shared" si="31"/>
        <v>0</v>
      </c>
      <c r="O264" s="324"/>
    </row>
    <row r="265" ht="15.75" customHeight="1">
      <c r="A265" s="322"/>
      <c r="B265" s="362" t="s">
        <v>84</v>
      </c>
      <c r="C265" s="374"/>
      <c r="D265" s="374"/>
      <c r="E265" s="375" t="str">
        <f>IF(SUM(E255:E264)=0,"",SUM(E255:E264))</f>
        <v/>
      </c>
      <c r="F265" s="324"/>
      <c r="H265" s="177"/>
      <c r="J265" s="322"/>
      <c r="K265" s="362" t="s">
        <v>84</v>
      </c>
      <c r="L265" s="374"/>
      <c r="M265" s="374"/>
      <c r="N265" s="375">
        <f>IF(SUM(N255:N264)=0,"",SUM(N255:N264))</f>
        <v>6776.1</v>
      </c>
      <c r="O265" s="324"/>
    </row>
    <row r="266" ht="15.75" customHeight="1">
      <c r="A266" s="322"/>
      <c r="B266" s="360"/>
      <c r="C266" s="360"/>
      <c r="D266" s="360"/>
      <c r="E266" s="361"/>
      <c r="F266" s="324"/>
      <c r="H266" s="177"/>
      <c r="J266" s="322"/>
      <c r="K266" s="360"/>
      <c r="L266" s="360"/>
      <c r="M266" s="360"/>
      <c r="N266" s="361"/>
      <c r="O266" s="324"/>
    </row>
    <row r="267" ht="15.75" customHeight="1">
      <c r="A267" s="322"/>
      <c r="B267" s="34" t="s">
        <v>17</v>
      </c>
      <c r="C267" s="35"/>
      <c r="D267" s="35"/>
      <c r="E267" s="35"/>
      <c r="F267" s="324"/>
      <c r="H267" s="177"/>
      <c r="J267" s="322"/>
      <c r="K267" s="34" t="s">
        <v>17</v>
      </c>
      <c r="L267" s="35"/>
      <c r="M267" s="35"/>
      <c r="N267" s="35"/>
      <c r="O267" s="324"/>
    </row>
    <row r="268" ht="15.75" customHeight="1">
      <c r="A268" s="322"/>
      <c r="B268" s="52" t="s">
        <v>42</v>
      </c>
      <c r="C268" s="54"/>
      <c r="D268" s="54"/>
      <c r="E268" s="56" t="s">
        <v>35</v>
      </c>
      <c r="F268" s="324"/>
      <c r="H268" s="177"/>
      <c r="J268" s="322"/>
      <c r="K268" s="52" t="s">
        <v>42</v>
      </c>
      <c r="L268" s="54"/>
      <c r="M268" s="54"/>
      <c r="N268" s="56" t="s">
        <v>35</v>
      </c>
      <c r="O268" s="324"/>
    </row>
    <row r="269" ht="15.75" customHeight="1">
      <c r="A269" s="322"/>
      <c r="B269" s="60" t="s">
        <v>40</v>
      </c>
      <c r="C269" s="343">
        <f>'UTL COST'!$B$3</f>
        <v>369000</v>
      </c>
      <c r="D269" s="379">
        <f>'UTL COST'!$C$3</f>
        <v>0.0075</v>
      </c>
      <c r="E269" s="67">
        <f>'UTL COST'!$D$3</f>
        <v>2767.5</v>
      </c>
      <c r="F269" s="324"/>
      <c r="H269" s="177"/>
      <c r="J269" s="322"/>
      <c r="K269" s="60" t="s">
        <v>40</v>
      </c>
      <c r="L269" s="343">
        <f>'UTL COST'!$B$3</f>
        <v>369000</v>
      </c>
      <c r="M269" s="379">
        <f>'UTL COST'!$C$3</f>
        <v>0.0075</v>
      </c>
      <c r="N269" s="67">
        <f>'UTL COST'!$D$3</f>
        <v>2767.5</v>
      </c>
      <c r="O269" s="324"/>
    </row>
    <row r="270" ht="15.75" customHeight="1">
      <c r="A270" s="322"/>
      <c r="B270" s="75" t="s">
        <v>51</v>
      </c>
      <c r="C270" s="371" t="str">
        <f>'UTL COST'!$B$4</f>
        <v>#REF!</v>
      </c>
      <c r="D270" s="382">
        <f>'UTL COST'!$C$4</f>
        <v>7000</v>
      </c>
      <c r="E270" s="76" t="str">
        <f>'UTL COST'!$D$4</f>
        <v>#REF!</v>
      </c>
      <c r="F270" s="324"/>
      <c r="H270" s="177"/>
      <c r="J270" s="322"/>
      <c r="K270" s="75" t="s">
        <v>51</v>
      </c>
      <c r="L270" s="371" t="str">
        <f>'UTL COST'!$B$4</f>
        <v>#REF!</v>
      </c>
      <c r="M270" s="382">
        <f>'UTL COST'!$C$4</f>
        <v>7000</v>
      </c>
      <c r="N270" s="76" t="str">
        <f>'UTL COST'!$D$4</f>
        <v>#REF!</v>
      </c>
      <c r="O270" s="324"/>
    </row>
    <row r="271" ht="15.75" customHeight="1">
      <c r="A271" s="322"/>
      <c r="B271" s="75" t="s">
        <v>59</v>
      </c>
      <c r="C271" s="371" t="str">
        <f>'UTL COST'!$B$5</f>
        <v>#REF!</v>
      </c>
      <c r="D271" s="382">
        <f>'UTL COST'!$C$5</f>
        <v>45000</v>
      </c>
      <c r="E271" s="76" t="str">
        <f>'UTL COST'!$D$5</f>
        <v>#REF!</v>
      </c>
      <c r="F271" s="324"/>
      <c r="H271" s="177"/>
      <c r="J271" s="322"/>
      <c r="K271" s="75" t="s">
        <v>59</v>
      </c>
      <c r="L271" s="371" t="str">
        <f>'UTL COST'!$B$5</f>
        <v>#REF!</v>
      </c>
      <c r="M271" s="382">
        <f>'UTL COST'!$C$5</f>
        <v>45000</v>
      </c>
      <c r="N271" s="76" t="str">
        <f>'UTL COST'!$D$5</f>
        <v>#REF!</v>
      </c>
      <c r="O271" s="324"/>
    </row>
    <row r="272" ht="15.75" customHeight="1">
      <c r="A272" s="322"/>
      <c r="B272" s="87" t="s">
        <v>78</v>
      </c>
      <c r="C272" s="371" t="str">
        <f>'UTL COST'!$B$6</f>
        <v>#REF!</v>
      </c>
      <c r="D272" s="383">
        <f>'UTL COST'!$C$6</f>
        <v>525</v>
      </c>
      <c r="E272" s="89">
        <v>0.1</v>
      </c>
      <c r="F272" s="324"/>
      <c r="H272" s="177"/>
      <c r="J272" s="322"/>
      <c r="K272" s="87" t="s">
        <v>78</v>
      </c>
      <c r="L272" s="371" t="str">
        <f>'UTL COST'!$B$6</f>
        <v>#REF!</v>
      </c>
      <c r="M272" s="383">
        <f>'UTL COST'!$C$6</f>
        <v>525</v>
      </c>
      <c r="N272" s="89">
        <v>0.1</v>
      </c>
      <c r="O272" s="324"/>
    </row>
    <row r="273" ht="15.75" customHeight="1">
      <c r="A273" s="322"/>
      <c r="B273" s="34" t="s">
        <v>84</v>
      </c>
      <c r="C273" s="102"/>
      <c r="D273" s="102"/>
      <c r="E273" s="104" t="str">
        <f>IF(SUM(E269:E272)=0,"",SUM(E269:E272))</f>
        <v>#REF!</v>
      </c>
      <c r="F273" s="324"/>
      <c r="H273" s="177"/>
      <c r="J273" s="322"/>
      <c r="K273" s="34" t="s">
        <v>84</v>
      </c>
      <c r="L273" s="102"/>
      <c r="M273" s="102"/>
      <c r="N273" s="104" t="str">
        <f>IF(SUM(N269:N272)=0,"",SUM(N269:N272))</f>
        <v>#REF!</v>
      </c>
      <c r="O273" s="324"/>
    </row>
    <row r="274" ht="15.75" customHeight="1">
      <c r="A274" s="322"/>
      <c r="B274" s="360"/>
      <c r="C274" s="360"/>
      <c r="D274" s="360"/>
      <c r="E274" s="361"/>
      <c r="F274" s="324"/>
      <c r="H274" s="177"/>
      <c r="J274" s="322"/>
      <c r="K274" s="360"/>
      <c r="L274" s="360"/>
      <c r="M274" s="360"/>
      <c r="N274" s="361"/>
      <c r="O274" s="324"/>
    </row>
    <row r="275" ht="15.75" customHeight="1">
      <c r="H275" s="177"/>
    </row>
    <row r="276" ht="15.75" customHeight="1">
      <c r="H276" s="177"/>
    </row>
    <row r="277" ht="15.75" customHeight="1">
      <c r="H277" s="177"/>
    </row>
    <row r="278" ht="15.75" customHeight="1">
      <c r="H278" s="177"/>
    </row>
    <row r="279" ht="15.75" customHeight="1">
      <c r="H279" s="177"/>
    </row>
    <row r="280" ht="15.75" customHeight="1">
      <c r="H280" s="177"/>
    </row>
    <row r="281" ht="15.75" customHeight="1">
      <c r="H281" s="177"/>
    </row>
    <row r="282" ht="15.75" customHeight="1">
      <c r="H282" s="177"/>
    </row>
    <row r="283" ht="15.75" customHeight="1">
      <c r="H283" s="177"/>
    </row>
    <row r="284" ht="15.75" customHeight="1">
      <c r="H284" s="177"/>
    </row>
    <row r="285" ht="15.75" customHeight="1">
      <c r="H285" s="177"/>
    </row>
    <row r="286" ht="15.75" customHeight="1">
      <c r="H286" s="177"/>
    </row>
    <row r="287" ht="15.75" customHeight="1">
      <c r="H287" s="177"/>
    </row>
    <row r="288" ht="15.75" customHeight="1">
      <c r="H288" s="177"/>
    </row>
    <row r="289" ht="15.75" customHeight="1">
      <c r="H289" s="177"/>
    </row>
    <row r="290" ht="15.75" customHeight="1">
      <c r="H290" s="177"/>
    </row>
    <row r="291" ht="15.75" customHeight="1">
      <c r="H291" s="177"/>
    </row>
    <row r="292" ht="15.75" customHeight="1">
      <c r="H292" s="177"/>
    </row>
    <row r="293" ht="15.75" customHeight="1">
      <c r="H293" s="177"/>
    </row>
    <row r="294" ht="15.75" customHeight="1">
      <c r="H294" s="177"/>
    </row>
    <row r="295" ht="15.75" customHeight="1">
      <c r="H295" s="177"/>
    </row>
    <row r="296" ht="15.75" customHeight="1">
      <c r="H296" s="177"/>
    </row>
    <row r="297" ht="15.75" customHeight="1">
      <c r="H297" s="177"/>
    </row>
    <row r="298" ht="15.75" customHeight="1">
      <c r="H298" s="177"/>
    </row>
    <row r="299" ht="15.75" customHeight="1">
      <c r="H299" s="177"/>
    </row>
    <row r="300" ht="15.75" customHeight="1">
      <c r="H300" s="177"/>
    </row>
    <row r="301" ht="15.75" customHeight="1">
      <c r="H301" s="177"/>
    </row>
    <row r="302" ht="15.75" customHeight="1">
      <c r="H302" s="177"/>
    </row>
    <row r="303" ht="15.75" customHeight="1">
      <c r="H303" s="177"/>
    </row>
    <row r="304" ht="15.75" customHeight="1">
      <c r="H304" s="177"/>
    </row>
    <row r="305" ht="15.75" customHeight="1">
      <c r="H305" s="177"/>
    </row>
    <row r="306" ht="15.75" customHeight="1">
      <c r="H306" s="177"/>
    </row>
    <row r="307" ht="15.75" customHeight="1">
      <c r="H307" s="177"/>
    </row>
    <row r="308" ht="15.75" customHeight="1">
      <c r="H308" s="177"/>
    </row>
    <row r="309" ht="15.75" customHeight="1">
      <c r="H309" s="177"/>
    </row>
    <row r="310" ht="15.75" customHeight="1">
      <c r="H310" s="177"/>
    </row>
    <row r="311" ht="15.75" customHeight="1">
      <c r="H311" s="177"/>
    </row>
    <row r="312" ht="15.75" customHeight="1">
      <c r="H312" s="177"/>
    </row>
    <row r="313" ht="15.75" customHeight="1">
      <c r="H313" s="177"/>
    </row>
    <row r="314" ht="15.75" customHeight="1">
      <c r="H314" s="177"/>
    </row>
    <row r="315" ht="15.75" customHeight="1">
      <c r="H315" s="177"/>
    </row>
    <row r="316" ht="15.75" customHeight="1">
      <c r="H316" s="177"/>
    </row>
    <row r="317" ht="15.75" customHeight="1">
      <c r="H317" s="177"/>
    </row>
    <row r="318" ht="15.75" customHeight="1">
      <c r="H318" s="177"/>
    </row>
    <row r="319" ht="15.75" customHeight="1">
      <c r="H319" s="177"/>
    </row>
    <row r="320" ht="15.75" customHeight="1">
      <c r="H320" s="177"/>
    </row>
    <row r="321" ht="15.75" customHeight="1">
      <c r="H321" s="177"/>
    </row>
    <row r="322" ht="15.75" customHeight="1">
      <c r="H322" s="177"/>
    </row>
    <row r="323" ht="15.75" customHeight="1">
      <c r="H323" s="177"/>
    </row>
    <row r="324" ht="15.75" customHeight="1">
      <c r="H324" s="177"/>
    </row>
    <row r="325" ht="15.75" customHeight="1">
      <c r="H325" s="177"/>
    </row>
    <row r="326" ht="15.75" customHeight="1">
      <c r="H326" s="177"/>
    </row>
    <row r="327" ht="15.75" customHeight="1">
      <c r="H327" s="177"/>
    </row>
    <row r="328" ht="15.75" customHeight="1">
      <c r="H328" s="177"/>
    </row>
    <row r="329" ht="15.75" customHeight="1">
      <c r="H329" s="177"/>
    </row>
    <row r="330" ht="15.75" customHeight="1">
      <c r="H330" s="177"/>
    </row>
    <row r="331" ht="15.75" customHeight="1">
      <c r="H331" s="177"/>
    </row>
    <row r="332" ht="15.75" customHeight="1">
      <c r="H332" s="177"/>
    </row>
    <row r="333" ht="15.75" customHeight="1">
      <c r="H333" s="177"/>
    </row>
    <row r="334" ht="15.75" customHeight="1">
      <c r="H334" s="177"/>
    </row>
    <row r="335" ht="15.75" customHeight="1">
      <c r="H335" s="177"/>
    </row>
    <row r="336" ht="15.75" customHeight="1">
      <c r="H336" s="177"/>
    </row>
    <row r="337" ht="15.75" customHeight="1">
      <c r="H337" s="177"/>
    </row>
    <row r="338" ht="15.75" customHeight="1">
      <c r="H338" s="177"/>
    </row>
    <row r="339" ht="15.75" customHeight="1">
      <c r="H339" s="177"/>
    </row>
    <row r="340" ht="15.75" customHeight="1">
      <c r="H340" s="177"/>
    </row>
    <row r="341" ht="15.75" customHeight="1">
      <c r="H341" s="177"/>
    </row>
    <row r="342" ht="15.75" customHeight="1">
      <c r="H342" s="177"/>
    </row>
    <row r="343" ht="15.75" customHeight="1">
      <c r="H343" s="177"/>
    </row>
    <row r="344" ht="15.75" customHeight="1">
      <c r="H344" s="177"/>
    </row>
    <row r="345" ht="15.75" customHeight="1">
      <c r="H345" s="177"/>
    </row>
    <row r="346" ht="15.75" customHeight="1">
      <c r="H346" s="177"/>
    </row>
    <row r="347" ht="15.75" customHeight="1">
      <c r="H347" s="177"/>
    </row>
    <row r="348" ht="15.75" customHeight="1">
      <c r="H348" s="177"/>
    </row>
    <row r="349" ht="15.75" customHeight="1">
      <c r="H349" s="177"/>
    </row>
    <row r="350" ht="15.75" customHeight="1">
      <c r="H350" s="177"/>
    </row>
    <row r="351" ht="15.75" customHeight="1">
      <c r="H351" s="177"/>
    </row>
    <row r="352" ht="15.75" customHeight="1">
      <c r="H352" s="177"/>
    </row>
    <row r="353" ht="15.75" customHeight="1">
      <c r="H353" s="177"/>
    </row>
    <row r="354" ht="15.75" customHeight="1">
      <c r="H354" s="177"/>
    </row>
    <row r="355" ht="15.75" customHeight="1">
      <c r="H355" s="177"/>
    </row>
    <row r="356" ht="15.75" customHeight="1">
      <c r="H356" s="177"/>
    </row>
    <row r="357" ht="15.75" customHeight="1">
      <c r="H357" s="177"/>
    </row>
    <row r="358" ht="15.75" customHeight="1">
      <c r="H358" s="177"/>
    </row>
    <row r="359" ht="15.75" customHeight="1">
      <c r="H359" s="177"/>
    </row>
    <row r="360" ht="15.75" customHeight="1">
      <c r="H360" s="177"/>
    </row>
    <row r="361" ht="15.75" customHeight="1">
      <c r="H361" s="177"/>
    </row>
    <row r="362" ht="15.75" customHeight="1">
      <c r="H362" s="177"/>
    </row>
    <row r="363" ht="15.75" customHeight="1">
      <c r="H363" s="177"/>
    </row>
    <row r="364" ht="15.75" customHeight="1">
      <c r="H364" s="177"/>
    </row>
    <row r="365" ht="15.75" customHeight="1">
      <c r="H365" s="177"/>
    </row>
    <row r="366" ht="15.75" customHeight="1">
      <c r="H366" s="177"/>
    </row>
    <row r="367" ht="15.75" customHeight="1">
      <c r="H367" s="177"/>
    </row>
    <row r="368" ht="15.75" customHeight="1">
      <c r="H368" s="177"/>
    </row>
    <row r="369" ht="15.75" customHeight="1">
      <c r="H369" s="177"/>
    </row>
    <row r="370" ht="15.75" customHeight="1">
      <c r="H370" s="177"/>
    </row>
    <row r="371" ht="15.75" customHeight="1">
      <c r="H371" s="177"/>
    </row>
    <row r="372" ht="15.75" customHeight="1">
      <c r="H372" s="177"/>
    </row>
    <row r="373" ht="15.75" customHeight="1">
      <c r="H373" s="177"/>
    </row>
    <row r="374" ht="15.75" customHeight="1">
      <c r="H374" s="177"/>
    </row>
    <row r="375" ht="15.75" customHeight="1">
      <c r="H375" s="177"/>
    </row>
    <row r="376" ht="15.75" customHeight="1">
      <c r="H376" s="177"/>
    </row>
    <row r="377" ht="15.75" customHeight="1">
      <c r="H377" s="177"/>
    </row>
    <row r="378" ht="15.75" customHeight="1">
      <c r="H378" s="177"/>
    </row>
    <row r="379" ht="15.75" customHeight="1">
      <c r="H379" s="177"/>
    </row>
    <row r="380" ht="15.75" customHeight="1">
      <c r="H380" s="177"/>
    </row>
    <row r="381" ht="15.75" customHeight="1">
      <c r="H381" s="177"/>
    </row>
    <row r="382" ht="15.75" customHeight="1">
      <c r="H382" s="177"/>
    </row>
    <row r="383" ht="15.75" customHeight="1">
      <c r="H383" s="177"/>
    </row>
    <row r="384" ht="15.75" customHeight="1">
      <c r="H384" s="177"/>
    </row>
    <row r="385" ht="15.75" customHeight="1">
      <c r="H385" s="177"/>
    </row>
    <row r="386" ht="15.75" customHeight="1">
      <c r="H386" s="177"/>
    </row>
    <row r="387" ht="15.75" customHeight="1">
      <c r="H387" s="177"/>
    </row>
    <row r="388" ht="15.75" customHeight="1">
      <c r="H388" s="177"/>
    </row>
    <row r="389" ht="15.75" customHeight="1">
      <c r="H389" s="177"/>
    </row>
    <row r="390" ht="15.75" customHeight="1">
      <c r="H390" s="177"/>
    </row>
    <row r="391" ht="15.75" customHeight="1">
      <c r="H391" s="177"/>
    </row>
    <row r="392" ht="15.75" customHeight="1">
      <c r="H392" s="177"/>
    </row>
    <row r="393" ht="15.75" customHeight="1">
      <c r="H393" s="177"/>
    </row>
    <row r="394" ht="15.75" customHeight="1">
      <c r="H394" s="177"/>
    </row>
    <row r="395" ht="15.75" customHeight="1">
      <c r="H395" s="177"/>
    </row>
    <row r="396" ht="15.75" customHeight="1">
      <c r="H396" s="177"/>
    </row>
    <row r="397" ht="15.75" customHeight="1">
      <c r="H397" s="177"/>
    </row>
    <row r="398" ht="15.75" customHeight="1">
      <c r="H398" s="177"/>
    </row>
    <row r="399" ht="15.75" customHeight="1">
      <c r="H399" s="177"/>
    </row>
    <row r="400" ht="15.75" customHeight="1">
      <c r="H400" s="177"/>
    </row>
    <row r="401" ht="15.75" customHeight="1">
      <c r="H401" s="177"/>
    </row>
    <row r="402" ht="15.75" customHeight="1">
      <c r="H402" s="177"/>
    </row>
    <row r="403" ht="15.75" customHeight="1">
      <c r="H403" s="177"/>
    </row>
    <row r="404" ht="15.75" customHeight="1">
      <c r="H404" s="177"/>
    </row>
    <row r="405" ht="15.75" customHeight="1">
      <c r="H405" s="177"/>
    </row>
    <row r="406" ht="15.75" customHeight="1">
      <c r="H406" s="177"/>
    </row>
    <row r="407" ht="15.75" customHeight="1">
      <c r="H407" s="177"/>
    </row>
    <row r="408" ht="15.75" customHeight="1">
      <c r="H408" s="177"/>
    </row>
    <row r="409" ht="15.75" customHeight="1">
      <c r="H409" s="177"/>
    </row>
    <row r="410" ht="15.75" customHeight="1">
      <c r="H410" s="177"/>
    </row>
    <row r="411" ht="15.75" customHeight="1">
      <c r="H411" s="177"/>
    </row>
    <row r="412" ht="15.75" customHeight="1">
      <c r="H412" s="177"/>
    </row>
    <row r="413" ht="15.75" customHeight="1">
      <c r="H413" s="177"/>
    </row>
    <row r="414" ht="15.75" customHeight="1">
      <c r="H414" s="177"/>
    </row>
    <row r="415" ht="15.75" customHeight="1">
      <c r="H415" s="177"/>
    </row>
    <row r="416" ht="15.75" customHeight="1">
      <c r="H416" s="177"/>
    </row>
    <row r="417" ht="15.75" customHeight="1">
      <c r="H417" s="177"/>
    </row>
    <row r="418" ht="15.75" customHeight="1">
      <c r="H418" s="177"/>
    </row>
    <row r="419" ht="15.75" customHeight="1">
      <c r="H419" s="177"/>
    </row>
    <row r="420" ht="15.75" customHeight="1">
      <c r="H420" s="177"/>
    </row>
    <row r="421" ht="15.75" customHeight="1">
      <c r="H421" s="177"/>
    </row>
    <row r="422" ht="15.75" customHeight="1">
      <c r="H422" s="177"/>
    </row>
    <row r="423" ht="15.75" customHeight="1">
      <c r="H423" s="177"/>
    </row>
    <row r="424" ht="15.75" customHeight="1">
      <c r="H424" s="177"/>
    </row>
    <row r="425" ht="15.75" customHeight="1">
      <c r="H425" s="177"/>
    </row>
    <row r="426" ht="15.75" customHeight="1">
      <c r="H426" s="177"/>
    </row>
    <row r="427" ht="15.75" customHeight="1">
      <c r="H427" s="177"/>
    </row>
    <row r="428" ht="15.75" customHeight="1">
      <c r="H428" s="177"/>
    </row>
    <row r="429" ht="15.75" customHeight="1">
      <c r="H429" s="177"/>
    </row>
    <row r="430" ht="15.75" customHeight="1">
      <c r="H430" s="177"/>
    </row>
    <row r="431" ht="15.75" customHeight="1">
      <c r="H431" s="177"/>
    </row>
    <row r="432" ht="15.75" customHeight="1">
      <c r="H432" s="177"/>
    </row>
    <row r="433" ht="15.75" customHeight="1">
      <c r="H433" s="177"/>
    </row>
    <row r="434" ht="15.75" customHeight="1">
      <c r="H434" s="177"/>
    </row>
    <row r="435" ht="15.75" customHeight="1">
      <c r="H435" s="177"/>
    </row>
    <row r="436" ht="15.75" customHeight="1">
      <c r="H436" s="177"/>
    </row>
    <row r="437" ht="15.75" customHeight="1">
      <c r="H437" s="177"/>
    </row>
    <row r="438" ht="15.75" customHeight="1">
      <c r="H438" s="177"/>
    </row>
    <row r="439" ht="15.75" customHeight="1">
      <c r="H439" s="177"/>
    </row>
    <row r="440" ht="15.75" customHeight="1">
      <c r="H440" s="177"/>
    </row>
    <row r="441" ht="15.75" customHeight="1">
      <c r="H441" s="177"/>
    </row>
    <row r="442" ht="15.75" customHeight="1">
      <c r="H442" s="177"/>
    </row>
    <row r="443" ht="15.75" customHeight="1">
      <c r="H443" s="177"/>
    </row>
    <row r="444" ht="15.75" customHeight="1">
      <c r="H444" s="177"/>
    </row>
    <row r="445" ht="15.75" customHeight="1">
      <c r="H445" s="177"/>
    </row>
    <row r="446" ht="15.75" customHeight="1">
      <c r="H446" s="177"/>
    </row>
    <row r="447" ht="15.75" customHeight="1">
      <c r="H447" s="177"/>
    </row>
    <row r="448" ht="15.75" customHeight="1">
      <c r="H448" s="177"/>
    </row>
    <row r="449" ht="15.75" customHeight="1">
      <c r="H449" s="177"/>
    </row>
    <row r="450" ht="15.75" customHeight="1">
      <c r="H450" s="177"/>
    </row>
    <row r="451" ht="15.75" customHeight="1">
      <c r="H451" s="177"/>
    </row>
    <row r="452" ht="15.75" customHeight="1">
      <c r="H452" s="177"/>
    </row>
    <row r="453" ht="15.75" customHeight="1">
      <c r="H453" s="177"/>
    </row>
    <row r="454" ht="15.75" customHeight="1">
      <c r="H454" s="177"/>
    </row>
    <row r="455" ht="15.75" customHeight="1">
      <c r="H455" s="177"/>
    </row>
    <row r="456" ht="15.75" customHeight="1">
      <c r="H456" s="177"/>
    </row>
    <row r="457" ht="15.75" customHeight="1">
      <c r="H457" s="177"/>
    </row>
    <row r="458" ht="15.75" customHeight="1">
      <c r="H458" s="177"/>
    </row>
    <row r="459" ht="15.75" customHeight="1">
      <c r="H459" s="177"/>
    </row>
    <row r="460" ht="15.75" customHeight="1">
      <c r="H460" s="177"/>
    </row>
    <row r="461" ht="15.75" customHeight="1">
      <c r="H461" s="177"/>
    </row>
    <row r="462" ht="15.75" customHeight="1">
      <c r="H462" s="177"/>
    </row>
    <row r="463" ht="15.75" customHeight="1">
      <c r="H463" s="177"/>
    </row>
    <row r="464" ht="15.75" customHeight="1">
      <c r="H464" s="177"/>
    </row>
    <row r="465" ht="15.75" customHeight="1">
      <c r="H465" s="177"/>
    </row>
    <row r="466" ht="15.75" customHeight="1">
      <c r="H466" s="177"/>
    </row>
    <row r="467" ht="15.75" customHeight="1">
      <c r="H467" s="177"/>
    </row>
    <row r="468" ht="15.75" customHeight="1">
      <c r="H468" s="177"/>
    </row>
    <row r="469" ht="15.75" customHeight="1">
      <c r="H469" s="177"/>
    </row>
    <row r="470" ht="15.75" customHeight="1">
      <c r="H470" s="177"/>
    </row>
    <row r="471" ht="15.75" customHeight="1">
      <c r="H471" s="177"/>
    </row>
    <row r="472" ht="15.75" customHeight="1">
      <c r="H472" s="177"/>
    </row>
    <row r="473" ht="15.75" customHeight="1">
      <c r="H473" s="177"/>
    </row>
    <row r="474" ht="15.75" customHeight="1">
      <c r="H474" s="177"/>
    </row>
    <row r="475" ht="15.75" customHeight="1">
      <c r="H475" s="177"/>
    </row>
    <row r="476" ht="15.75" customHeight="1">
      <c r="H476" s="177"/>
    </row>
    <row r="477" ht="15.75" customHeight="1">
      <c r="H477" s="177"/>
    </row>
    <row r="478" ht="15.75" customHeight="1">
      <c r="H478" s="177"/>
    </row>
    <row r="479" ht="15.75" customHeight="1">
      <c r="H479" s="177"/>
    </row>
    <row r="480" ht="15.75" customHeight="1">
      <c r="H480" s="177"/>
    </row>
    <row r="481" ht="15.75" customHeight="1">
      <c r="H481" s="177"/>
    </row>
    <row r="482" ht="15.75" customHeight="1">
      <c r="H482" s="177"/>
    </row>
    <row r="483" ht="15.75" customHeight="1">
      <c r="H483" s="177"/>
    </row>
    <row r="484" ht="15.75" customHeight="1">
      <c r="H484" s="177"/>
    </row>
    <row r="485" ht="15.75" customHeight="1">
      <c r="H485" s="177"/>
    </row>
    <row r="486" ht="15.75" customHeight="1">
      <c r="H486" s="177"/>
    </row>
    <row r="487" ht="15.75" customHeight="1">
      <c r="H487" s="177"/>
    </row>
    <row r="488" ht="15.75" customHeight="1">
      <c r="H488" s="177"/>
    </row>
    <row r="489" ht="15.75" customHeight="1">
      <c r="H489" s="177"/>
    </row>
    <row r="490" ht="15.75" customHeight="1">
      <c r="H490" s="177"/>
    </row>
    <row r="491" ht="15.75" customHeight="1">
      <c r="H491" s="177"/>
    </row>
    <row r="492" ht="15.75" customHeight="1">
      <c r="H492" s="177"/>
    </row>
    <row r="493" ht="15.75" customHeight="1">
      <c r="H493" s="177"/>
    </row>
    <row r="494" ht="15.75" customHeight="1">
      <c r="H494" s="177"/>
    </row>
    <row r="495" ht="15.75" customHeight="1">
      <c r="H495" s="177"/>
    </row>
    <row r="496" ht="15.75" customHeight="1">
      <c r="H496" s="177"/>
    </row>
    <row r="497" ht="15.75" customHeight="1">
      <c r="H497" s="177"/>
    </row>
    <row r="498" ht="15.75" customHeight="1">
      <c r="H498" s="177"/>
    </row>
    <row r="499" ht="15.75" customHeight="1">
      <c r="H499" s="177"/>
    </row>
    <row r="500" ht="15.75" customHeight="1">
      <c r="H500" s="177"/>
    </row>
    <row r="501" ht="15.75" customHeight="1">
      <c r="H501" s="177"/>
    </row>
    <row r="502" ht="15.75" customHeight="1">
      <c r="H502" s="177"/>
    </row>
    <row r="503" ht="15.75" customHeight="1">
      <c r="H503" s="177"/>
    </row>
    <row r="504" ht="15.75" customHeight="1">
      <c r="H504" s="177"/>
    </row>
    <row r="505" ht="15.75" customHeight="1">
      <c r="H505" s="177"/>
    </row>
    <row r="506" ht="15.75" customHeight="1">
      <c r="H506" s="177"/>
    </row>
    <row r="507" ht="15.75" customHeight="1">
      <c r="H507" s="177"/>
    </row>
    <row r="508" ht="15.75" customHeight="1">
      <c r="H508" s="177"/>
    </row>
    <row r="509" ht="15.75" customHeight="1">
      <c r="H509" s="177"/>
    </row>
    <row r="510" ht="15.75" customHeight="1">
      <c r="H510" s="177"/>
    </row>
    <row r="511" ht="15.75" customHeight="1">
      <c r="H511" s="177"/>
    </row>
    <row r="512" ht="15.75" customHeight="1">
      <c r="H512" s="177"/>
    </row>
    <row r="513" ht="15.75" customHeight="1">
      <c r="H513" s="177"/>
    </row>
    <row r="514" ht="15.75" customHeight="1">
      <c r="H514" s="177"/>
    </row>
    <row r="515" ht="15.75" customHeight="1">
      <c r="H515" s="177"/>
    </row>
    <row r="516" ht="15.75" customHeight="1">
      <c r="H516" s="177"/>
    </row>
    <row r="517" ht="15.75" customHeight="1">
      <c r="H517" s="177"/>
    </row>
    <row r="518" ht="15.75" customHeight="1">
      <c r="H518" s="177"/>
    </row>
    <row r="519" ht="15.75" customHeight="1">
      <c r="H519" s="177"/>
    </row>
    <row r="520" ht="15.75" customHeight="1">
      <c r="H520" s="177"/>
    </row>
    <row r="521" ht="15.75" customHeight="1">
      <c r="H521" s="177"/>
    </row>
    <row r="522" ht="15.75" customHeight="1">
      <c r="H522" s="177"/>
    </row>
    <row r="523" ht="15.75" customHeight="1">
      <c r="H523" s="177"/>
    </row>
    <row r="524" ht="15.75" customHeight="1">
      <c r="H524" s="177"/>
    </row>
    <row r="525" ht="15.75" customHeight="1">
      <c r="H525" s="177"/>
    </row>
    <row r="526" ht="15.75" customHeight="1">
      <c r="H526" s="177"/>
    </row>
    <row r="527" ht="15.75" customHeight="1">
      <c r="H527" s="177"/>
    </row>
    <row r="528" ht="15.75" customHeight="1">
      <c r="H528" s="177"/>
    </row>
    <row r="529" ht="15.75" customHeight="1">
      <c r="H529" s="177"/>
    </row>
    <row r="530" ht="15.75" customHeight="1">
      <c r="H530" s="177"/>
    </row>
    <row r="531" ht="15.75" customHeight="1">
      <c r="H531" s="177"/>
    </row>
    <row r="532" ht="15.75" customHeight="1">
      <c r="H532" s="177"/>
    </row>
    <row r="533" ht="15.75" customHeight="1">
      <c r="H533" s="177"/>
    </row>
    <row r="534" ht="15.75" customHeight="1">
      <c r="H534" s="177"/>
    </row>
    <row r="535" ht="15.75" customHeight="1">
      <c r="H535" s="177"/>
    </row>
    <row r="536" ht="15.75" customHeight="1">
      <c r="H536" s="177"/>
    </row>
    <row r="537" ht="15.75" customHeight="1">
      <c r="H537" s="177"/>
    </row>
    <row r="538" ht="15.75" customHeight="1">
      <c r="H538" s="177"/>
    </row>
    <row r="539" ht="15.75" customHeight="1">
      <c r="H539" s="177"/>
    </row>
    <row r="540" ht="15.75" customHeight="1">
      <c r="H540" s="177"/>
    </row>
    <row r="541" ht="15.75" customHeight="1">
      <c r="H541" s="177"/>
    </row>
    <row r="542" ht="15.75" customHeight="1">
      <c r="H542" s="177"/>
    </row>
    <row r="543" ht="15.75" customHeight="1">
      <c r="H543" s="177"/>
    </row>
    <row r="544" ht="15.75" customHeight="1">
      <c r="H544" s="177"/>
    </row>
    <row r="545" ht="15.75" customHeight="1">
      <c r="H545" s="177"/>
    </row>
    <row r="546" ht="15.75" customHeight="1">
      <c r="H546" s="177"/>
    </row>
    <row r="547" ht="15.75" customHeight="1">
      <c r="H547" s="177"/>
    </row>
    <row r="548" ht="15.75" customHeight="1">
      <c r="H548" s="177"/>
    </row>
    <row r="549" ht="15.75" customHeight="1">
      <c r="H549" s="177"/>
    </row>
    <row r="550" ht="15.75" customHeight="1">
      <c r="H550" s="177"/>
    </row>
    <row r="551" ht="15.75" customHeight="1">
      <c r="H551" s="177"/>
    </row>
    <row r="552" ht="15.75" customHeight="1">
      <c r="H552" s="177"/>
    </row>
    <row r="553" ht="15.75" customHeight="1">
      <c r="H553" s="177"/>
    </row>
    <row r="554" ht="15.75" customHeight="1">
      <c r="H554" s="177"/>
    </row>
    <row r="555" ht="15.75" customHeight="1">
      <c r="H555" s="177"/>
    </row>
    <row r="556" ht="15.75" customHeight="1">
      <c r="H556" s="177"/>
    </row>
    <row r="557" ht="15.75" customHeight="1">
      <c r="H557" s="177"/>
    </row>
    <row r="558" ht="15.75" customHeight="1">
      <c r="H558" s="177"/>
    </row>
    <row r="559" ht="15.75" customHeight="1">
      <c r="H559" s="177"/>
    </row>
    <row r="560" ht="15.75" customHeight="1">
      <c r="H560" s="177"/>
    </row>
    <row r="561" ht="15.75" customHeight="1">
      <c r="H561" s="177"/>
    </row>
    <row r="562" ht="15.75" customHeight="1">
      <c r="H562" s="177"/>
    </row>
    <row r="563" ht="15.75" customHeight="1">
      <c r="H563" s="177"/>
    </row>
    <row r="564" ht="15.75" customHeight="1">
      <c r="H564" s="177"/>
    </row>
    <row r="565" ht="15.75" customHeight="1">
      <c r="H565" s="177"/>
    </row>
    <row r="566" ht="15.75" customHeight="1">
      <c r="H566" s="177"/>
    </row>
    <row r="567" ht="15.75" customHeight="1">
      <c r="H567" s="177"/>
    </row>
    <row r="568" ht="15.75" customHeight="1">
      <c r="H568" s="177"/>
    </row>
    <row r="569" ht="15.75" customHeight="1">
      <c r="H569" s="177"/>
    </row>
    <row r="570" ht="15.75" customHeight="1">
      <c r="H570" s="177"/>
    </row>
    <row r="571" ht="15.75" customHeight="1">
      <c r="H571" s="177"/>
    </row>
    <row r="572" ht="15.75" customHeight="1">
      <c r="H572" s="177"/>
    </row>
    <row r="573" ht="15.75" customHeight="1">
      <c r="H573" s="177"/>
    </row>
    <row r="574" ht="15.75" customHeight="1">
      <c r="H574" s="177"/>
    </row>
    <row r="575" ht="15.75" customHeight="1">
      <c r="H575" s="177"/>
    </row>
    <row r="576" ht="15.75" customHeight="1">
      <c r="H576" s="177"/>
    </row>
    <row r="577" ht="15.75" customHeight="1">
      <c r="H577" s="177"/>
    </row>
    <row r="578" ht="15.75" customHeight="1">
      <c r="H578" s="177"/>
    </row>
    <row r="579" ht="15.75" customHeight="1">
      <c r="H579" s="177"/>
    </row>
    <row r="580" ht="15.75" customHeight="1">
      <c r="H580" s="177"/>
    </row>
    <row r="581" ht="15.75" customHeight="1">
      <c r="H581" s="177"/>
    </row>
    <row r="582" ht="15.75" customHeight="1">
      <c r="H582" s="177"/>
    </row>
    <row r="583" ht="15.75" customHeight="1">
      <c r="H583" s="177"/>
    </row>
    <row r="584" ht="15.75" customHeight="1">
      <c r="H584" s="177"/>
    </row>
    <row r="585" ht="15.75" customHeight="1">
      <c r="H585" s="177"/>
    </row>
    <row r="586" ht="15.75" customHeight="1">
      <c r="H586" s="177"/>
    </row>
    <row r="587" ht="15.75" customHeight="1">
      <c r="H587" s="177"/>
    </row>
    <row r="588" ht="15.75" customHeight="1">
      <c r="H588" s="177"/>
    </row>
    <row r="589" ht="15.75" customHeight="1">
      <c r="H589" s="177"/>
    </row>
    <row r="590" ht="15.75" customHeight="1">
      <c r="H590" s="177"/>
    </row>
    <row r="591" ht="15.75" customHeight="1">
      <c r="H591" s="177"/>
    </row>
    <row r="592" ht="15.75" customHeight="1">
      <c r="H592" s="177"/>
    </row>
    <row r="593" ht="15.75" customHeight="1">
      <c r="H593" s="177"/>
    </row>
    <row r="594" ht="15.75" customHeight="1">
      <c r="H594" s="177"/>
    </row>
    <row r="595" ht="15.75" customHeight="1">
      <c r="H595" s="177"/>
    </row>
    <row r="596" ht="15.75" customHeight="1">
      <c r="H596" s="177"/>
    </row>
    <row r="597" ht="15.75" customHeight="1">
      <c r="H597" s="177"/>
    </row>
    <row r="598" ht="15.75" customHeight="1">
      <c r="H598" s="177"/>
    </row>
    <row r="599" ht="15.75" customHeight="1">
      <c r="H599" s="177"/>
    </row>
    <row r="600" ht="15.75" customHeight="1">
      <c r="H600" s="177"/>
    </row>
    <row r="601" ht="15.75" customHeight="1">
      <c r="H601" s="177"/>
    </row>
    <row r="602" ht="15.75" customHeight="1">
      <c r="H602" s="177"/>
    </row>
    <row r="603" ht="15.75" customHeight="1">
      <c r="H603" s="177"/>
    </row>
    <row r="604" ht="15.75" customHeight="1">
      <c r="H604" s="177"/>
    </row>
    <row r="605" ht="15.75" customHeight="1">
      <c r="H605" s="177"/>
    </row>
    <row r="606" ht="15.75" customHeight="1">
      <c r="H606" s="177"/>
    </row>
    <row r="607" ht="15.75" customHeight="1">
      <c r="H607" s="177"/>
    </row>
    <row r="608" ht="15.75" customHeight="1">
      <c r="H608" s="177"/>
    </row>
    <row r="609" ht="15.75" customHeight="1">
      <c r="H609" s="177"/>
    </row>
    <row r="610" ht="15.75" customHeight="1">
      <c r="H610" s="177"/>
    </row>
    <row r="611" ht="15.75" customHeight="1">
      <c r="H611" s="177"/>
    </row>
    <row r="612" ht="15.75" customHeight="1">
      <c r="H612" s="177"/>
    </row>
    <row r="613" ht="15.75" customHeight="1">
      <c r="H613" s="177"/>
    </row>
    <row r="614" ht="15.75" customHeight="1">
      <c r="H614" s="177"/>
    </row>
    <row r="615" ht="15.75" customHeight="1">
      <c r="H615" s="177"/>
    </row>
    <row r="616" ht="15.75" customHeight="1">
      <c r="H616" s="177"/>
    </row>
    <row r="617" ht="15.75" customHeight="1">
      <c r="H617" s="177"/>
    </row>
    <row r="618" ht="15.75" customHeight="1">
      <c r="H618" s="177"/>
    </row>
    <row r="619" ht="15.75" customHeight="1">
      <c r="H619" s="177"/>
    </row>
    <row r="620" ht="15.75" customHeight="1">
      <c r="H620" s="177"/>
    </row>
    <row r="621" ht="15.75" customHeight="1">
      <c r="H621" s="177"/>
    </row>
    <row r="622" ht="15.75" customHeight="1">
      <c r="H622" s="177"/>
    </row>
    <row r="623" ht="15.75" customHeight="1">
      <c r="H623" s="177"/>
    </row>
    <row r="624" ht="15.75" customHeight="1">
      <c r="H624" s="177"/>
    </row>
    <row r="625" ht="15.75" customHeight="1">
      <c r="H625" s="177"/>
    </row>
    <row r="626" ht="15.75" customHeight="1">
      <c r="H626" s="177"/>
    </row>
    <row r="627" ht="15.75" customHeight="1">
      <c r="H627" s="177"/>
    </row>
    <row r="628" ht="15.75" customHeight="1">
      <c r="H628" s="177"/>
    </row>
    <row r="629" ht="15.75" customHeight="1">
      <c r="H629" s="177"/>
    </row>
    <row r="630" ht="15.75" customHeight="1">
      <c r="H630" s="177"/>
    </row>
    <row r="631" ht="15.75" customHeight="1">
      <c r="H631" s="177"/>
    </row>
    <row r="632" ht="15.75" customHeight="1">
      <c r="H632" s="177"/>
    </row>
    <row r="633" ht="15.75" customHeight="1">
      <c r="H633" s="177"/>
    </row>
    <row r="634" ht="15.75" customHeight="1">
      <c r="H634" s="177"/>
    </row>
    <row r="635" ht="15.75" customHeight="1">
      <c r="H635" s="177"/>
    </row>
    <row r="636" ht="15.75" customHeight="1">
      <c r="H636" s="177"/>
    </row>
    <row r="637" ht="15.75" customHeight="1">
      <c r="H637" s="177"/>
    </row>
    <row r="638" ht="15.75" customHeight="1">
      <c r="H638" s="177"/>
    </row>
    <row r="639" ht="15.75" customHeight="1">
      <c r="H639" s="177"/>
    </row>
    <row r="640" ht="15.75" customHeight="1">
      <c r="H640" s="177"/>
    </row>
    <row r="641" ht="15.75" customHeight="1">
      <c r="H641" s="177"/>
    </row>
    <row r="642" ht="15.75" customHeight="1">
      <c r="H642" s="177"/>
    </row>
    <row r="643" ht="15.75" customHeight="1">
      <c r="H643" s="177"/>
    </row>
    <row r="644" ht="15.75" customHeight="1">
      <c r="H644" s="177"/>
    </row>
    <row r="645" ht="15.75" customHeight="1">
      <c r="H645" s="177"/>
    </row>
    <row r="646" ht="15.75" customHeight="1">
      <c r="H646" s="177"/>
    </row>
    <row r="647" ht="15.75" customHeight="1">
      <c r="H647" s="177"/>
    </row>
    <row r="648" ht="15.75" customHeight="1">
      <c r="H648" s="177"/>
    </row>
    <row r="649" ht="15.75" customHeight="1">
      <c r="H649" s="177"/>
    </row>
    <row r="650" ht="15.75" customHeight="1">
      <c r="H650" s="177"/>
    </row>
    <row r="651" ht="15.75" customHeight="1">
      <c r="H651" s="177"/>
    </row>
    <row r="652" ht="15.75" customHeight="1">
      <c r="H652" s="177"/>
    </row>
    <row r="653" ht="15.75" customHeight="1">
      <c r="H653" s="177"/>
    </row>
    <row r="654" ht="15.75" customHeight="1">
      <c r="H654" s="177"/>
    </row>
    <row r="655" ht="15.75" customHeight="1">
      <c r="H655" s="177"/>
    </row>
    <row r="656" ht="15.75" customHeight="1">
      <c r="H656" s="177"/>
    </row>
    <row r="657" ht="15.75" customHeight="1">
      <c r="H657" s="177"/>
    </row>
    <row r="658" ht="15.75" customHeight="1">
      <c r="H658" s="177"/>
    </row>
    <row r="659" ht="15.75" customHeight="1">
      <c r="H659" s="177"/>
    </row>
    <row r="660" ht="15.75" customHeight="1">
      <c r="H660" s="177"/>
    </row>
    <row r="661" ht="15.75" customHeight="1">
      <c r="H661" s="177"/>
    </row>
    <row r="662" ht="15.75" customHeight="1">
      <c r="H662" s="177"/>
    </row>
    <row r="663" ht="15.75" customHeight="1">
      <c r="H663" s="177"/>
    </row>
    <row r="664" ht="15.75" customHeight="1">
      <c r="H664" s="177"/>
    </row>
    <row r="665" ht="15.75" customHeight="1">
      <c r="H665" s="177"/>
    </row>
    <row r="666" ht="15.75" customHeight="1">
      <c r="H666" s="177"/>
    </row>
    <row r="667" ht="15.75" customHeight="1">
      <c r="H667" s="177"/>
    </row>
    <row r="668" ht="15.75" customHeight="1">
      <c r="H668" s="177"/>
    </row>
    <row r="669" ht="15.75" customHeight="1">
      <c r="H669" s="177"/>
    </row>
    <row r="670" ht="15.75" customHeight="1">
      <c r="H670" s="177"/>
    </row>
    <row r="671" ht="15.75" customHeight="1">
      <c r="H671" s="177"/>
    </row>
    <row r="672" ht="15.75" customHeight="1">
      <c r="H672" s="177"/>
    </row>
    <row r="673" ht="15.75" customHeight="1">
      <c r="H673" s="177"/>
    </row>
    <row r="674" ht="15.75" customHeight="1">
      <c r="H674" s="177"/>
    </row>
    <row r="675" ht="15.75" customHeight="1">
      <c r="H675" s="177"/>
    </row>
    <row r="676" ht="15.75" customHeight="1">
      <c r="H676" s="177"/>
    </row>
    <row r="677" ht="15.75" customHeight="1">
      <c r="H677" s="177"/>
    </row>
    <row r="678" ht="15.75" customHeight="1">
      <c r="H678" s="177"/>
    </row>
    <row r="679" ht="15.75" customHeight="1">
      <c r="H679" s="177"/>
    </row>
    <row r="680" ht="15.75" customHeight="1">
      <c r="H680" s="177"/>
    </row>
    <row r="681" ht="15.75" customHeight="1">
      <c r="H681" s="177"/>
    </row>
    <row r="682" ht="15.75" customHeight="1">
      <c r="H682" s="177"/>
    </row>
    <row r="683" ht="15.75" customHeight="1">
      <c r="H683" s="177"/>
    </row>
    <row r="684" ht="15.75" customHeight="1">
      <c r="H684" s="177"/>
    </row>
    <row r="685" ht="15.75" customHeight="1">
      <c r="H685" s="177"/>
    </row>
    <row r="686" ht="15.75" customHeight="1">
      <c r="H686" s="177"/>
    </row>
    <row r="687" ht="15.75" customHeight="1">
      <c r="H687" s="177"/>
    </row>
    <row r="688" ht="15.75" customHeight="1">
      <c r="H688" s="177"/>
    </row>
    <row r="689" ht="15.75" customHeight="1">
      <c r="H689" s="177"/>
    </row>
    <row r="690" ht="15.75" customHeight="1">
      <c r="H690" s="177"/>
    </row>
    <row r="691" ht="15.75" customHeight="1">
      <c r="H691" s="177"/>
    </row>
    <row r="692" ht="15.75" customHeight="1">
      <c r="H692" s="177"/>
    </row>
    <row r="693" ht="15.75" customHeight="1">
      <c r="H693" s="177"/>
    </row>
    <row r="694" ht="15.75" customHeight="1">
      <c r="H694" s="177"/>
    </row>
    <row r="695" ht="15.75" customHeight="1">
      <c r="H695" s="177"/>
    </row>
    <row r="696" ht="15.75" customHeight="1">
      <c r="H696" s="177"/>
    </row>
    <row r="697" ht="15.75" customHeight="1">
      <c r="H697" s="177"/>
    </row>
    <row r="698" ht="15.75" customHeight="1">
      <c r="H698" s="177"/>
    </row>
    <row r="699" ht="15.75" customHeight="1">
      <c r="H699" s="177"/>
    </row>
    <row r="700" ht="15.75" customHeight="1">
      <c r="H700" s="177"/>
    </row>
    <row r="701" ht="15.75" customHeight="1">
      <c r="H701" s="177"/>
    </row>
    <row r="702" ht="15.75" customHeight="1">
      <c r="H702" s="177"/>
    </row>
    <row r="703" ht="15.75" customHeight="1">
      <c r="H703" s="177"/>
    </row>
    <row r="704" ht="15.75" customHeight="1">
      <c r="H704" s="177"/>
    </row>
    <row r="705" ht="15.75" customHeight="1">
      <c r="H705" s="177"/>
    </row>
    <row r="706" ht="15.75" customHeight="1">
      <c r="H706" s="177"/>
    </row>
    <row r="707" ht="15.75" customHeight="1">
      <c r="H707" s="177"/>
    </row>
    <row r="708" ht="15.75" customHeight="1">
      <c r="H708" s="177"/>
    </row>
    <row r="709" ht="15.75" customHeight="1">
      <c r="H709" s="177"/>
    </row>
    <row r="710" ht="15.75" customHeight="1">
      <c r="H710" s="177"/>
    </row>
    <row r="711" ht="15.75" customHeight="1">
      <c r="H711" s="177"/>
    </row>
    <row r="712" ht="15.75" customHeight="1">
      <c r="H712" s="177"/>
    </row>
    <row r="713" ht="15.75" customHeight="1">
      <c r="H713" s="177"/>
    </row>
    <row r="714" ht="15.75" customHeight="1">
      <c r="H714" s="177"/>
    </row>
    <row r="715" ht="15.75" customHeight="1">
      <c r="H715" s="177"/>
    </row>
    <row r="716" ht="15.75" customHeight="1">
      <c r="H716" s="177"/>
    </row>
    <row r="717" ht="15.75" customHeight="1">
      <c r="H717" s="177"/>
    </row>
    <row r="718" ht="15.75" customHeight="1">
      <c r="H718" s="177"/>
    </row>
    <row r="719" ht="15.75" customHeight="1">
      <c r="H719" s="177"/>
    </row>
    <row r="720" ht="15.75" customHeight="1">
      <c r="H720" s="177"/>
    </row>
    <row r="721" ht="15.75" customHeight="1">
      <c r="H721" s="177"/>
    </row>
    <row r="722" ht="15.75" customHeight="1">
      <c r="H722" s="177"/>
    </row>
    <row r="723" ht="15.75" customHeight="1">
      <c r="H723" s="177"/>
    </row>
    <row r="724" ht="15.75" customHeight="1">
      <c r="H724" s="177"/>
    </row>
    <row r="725" ht="15.75" customHeight="1">
      <c r="H725" s="177"/>
    </row>
    <row r="726" ht="15.75" customHeight="1">
      <c r="H726" s="177"/>
    </row>
    <row r="727" ht="15.75" customHeight="1">
      <c r="H727" s="177"/>
    </row>
    <row r="728" ht="15.75" customHeight="1">
      <c r="H728" s="177"/>
    </row>
    <row r="729" ht="15.75" customHeight="1">
      <c r="H729" s="177"/>
    </row>
    <row r="730" ht="15.75" customHeight="1">
      <c r="H730" s="177"/>
    </row>
    <row r="731" ht="15.75" customHeight="1">
      <c r="H731" s="177"/>
    </row>
    <row r="732" ht="15.75" customHeight="1">
      <c r="H732" s="177"/>
    </row>
    <row r="733" ht="15.75" customHeight="1">
      <c r="H733" s="177"/>
    </row>
    <row r="734" ht="15.75" customHeight="1">
      <c r="H734" s="177"/>
    </row>
    <row r="735" ht="15.75" customHeight="1">
      <c r="H735" s="177"/>
    </row>
    <row r="736" ht="15.75" customHeight="1">
      <c r="H736" s="177"/>
    </row>
    <row r="737" ht="15.75" customHeight="1">
      <c r="H737" s="177"/>
    </row>
    <row r="738" ht="15.75" customHeight="1">
      <c r="H738" s="177"/>
    </row>
    <row r="739" ht="15.75" customHeight="1">
      <c r="H739" s="177"/>
    </row>
    <row r="740" ht="15.75" customHeight="1">
      <c r="H740" s="177"/>
    </row>
    <row r="741" ht="15.75" customHeight="1">
      <c r="H741" s="177"/>
    </row>
    <row r="742" ht="15.75" customHeight="1">
      <c r="H742" s="177"/>
    </row>
    <row r="743" ht="15.75" customHeight="1">
      <c r="H743" s="177"/>
    </row>
    <row r="744" ht="15.75" customHeight="1">
      <c r="H744" s="177"/>
    </row>
    <row r="745" ht="15.75" customHeight="1">
      <c r="H745" s="177"/>
    </row>
    <row r="746" ht="15.75" customHeight="1">
      <c r="H746" s="177"/>
    </row>
    <row r="747" ht="15.75" customHeight="1">
      <c r="H747" s="177"/>
    </row>
    <row r="748" ht="15.75" customHeight="1">
      <c r="H748" s="177"/>
    </row>
    <row r="749" ht="15.75" customHeight="1">
      <c r="H749" s="177"/>
    </row>
    <row r="750" ht="15.75" customHeight="1">
      <c r="H750" s="177"/>
    </row>
    <row r="751" ht="15.75" customHeight="1">
      <c r="H751" s="177"/>
    </row>
    <row r="752" ht="15.75" customHeight="1">
      <c r="H752" s="177"/>
    </row>
    <row r="753" ht="15.75" customHeight="1">
      <c r="H753" s="177"/>
    </row>
    <row r="754" ht="15.75" customHeight="1">
      <c r="H754" s="177"/>
    </row>
    <row r="755" ht="15.75" customHeight="1">
      <c r="H755" s="177"/>
    </row>
    <row r="756" ht="15.75" customHeight="1">
      <c r="H756" s="177"/>
    </row>
    <row r="757" ht="15.75" customHeight="1">
      <c r="H757" s="177"/>
    </row>
    <row r="758" ht="15.75" customHeight="1">
      <c r="H758" s="177"/>
    </row>
    <row r="759" ht="15.75" customHeight="1">
      <c r="H759" s="177"/>
    </row>
    <row r="760" ht="15.75" customHeight="1">
      <c r="H760" s="177"/>
    </row>
    <row r="761" ht="15.75" customHeight="1">
      <c r="H761" s="177"/>
    </row>
    <row r="762" ht="15.75" customHeight="1">
      <c r="H762" s="177"/>
    </row>
    <row r="763" ht="15.75" customHeight="1">
      <c r="H763" s="177"/>
    </row>
    <row r="764" ht="15.75" customHeight="1">
      <c r="H764" s="177"/>
    </row>
    <row r="765" ht="15.75" customHeight="1">
      <c r="H765" s="177"/>
    </row>
    <row r="766" ht="15.75" customHeight="1">
      <c r="H766" s="177"/>
    </row>
    <row r="767" ht="15.75" customHeight="1">
      <c r="H767" s="177"/>
    </row>
    <row r="768" ht="15.75" customHeight="1">
      <c r="H768" s="177"/>
    </row>
    <row r="769" ht="15.75" customHeight="1">
      <c r="H769" s="177"/>
    </row>
    <row r="770" ht="15.75" customHeight="1">
      <c r="H770" s="177"/>
    </row>
    <row r="771" ht="15.75" customHeight="1">
      <c r="H771" s="177"/>
    </row>
    <row r="772" ht="15.75" customHeight="1">
      <c r="H772" s="177"/>
    </row>
    <row r="773" ht="15.75" customHeight="1">
      <c r="H773" s="177"/>
    </row>
    <row r="774" ht="15.75" customHeight="1">
      <c r="H774" s="177"/>
    </row>
    <row r="775" ht="15.75" customHeight="1">
      <c r="H775" s="177"/>
    </row>
    <row r="776" ht="15.75" customHeight="1">
      <c r="H776" s="177"/>
    </row>
    <row r="777" ht="15.75" customHeight="1">
      <c r="H777" s="177"/>
    </row>
    <row r="778" ht="15.75" customHeight="1">
      <c r="H778" s="177"/>
    </row>
    <row r="779" ht="15.75" customHeight="1">
      <c r="H779" s="177"/>
    </row>
    <row r="780" ht="15.75" customHeight="1">
      <c r="H780" s="177"/>
    </row>
    <row r="781" ht="15.75" customHeight="1">
      <c r="H781" s="177"/>
    </row>
    <row r="782" ht="15.75" customHeight="1">
      <c r="H782" s="177"/>
    </row>
    <row r="783" ht="15.75" customHeight="1">
      <c r="H783" s="177"/>
    </row>
    <row r="784" ht="15.75" customHeight="1">
      <c r="H784" s="177"/>
    </row>
    <row r="785" ht="15.75" customHeight="1">
      <c r="H785" s="177"/>
    </row>
    <row r="786" ht="15.75" customHeight="1">
      <c r="H786" s="177"/>
    </row>
    <row r="787" ht="15.75" customHeight="1">
      <c r="H787" s="177"/>
    </row>
    <row r="788" ht="15.75" customHeight="1">
      <c r="H788" s="177"/>
    </row>
    <row r="789" ht="15.75" customHeight="1">
      <c r="H789" s="177"/>
    </row>
    <row r="790" ht="15.75" customHeight="1">
      <c r="H790" s="177"/>
    </row>
    <row r="791" ht="15.75" customHeight="1">
      <c r="H791" s="177"/>
    </row>
    <row r="792" ht="15.75" customHeight="1">
      <c r="H792" s="177"/>
    </row>
    <row r="793" ht="15.75" customHeight="1">
      <c r="H793" s="177"/>
    </row>
    <row r="794" ht="15.75" customHeight="1">
      <c r="H794" s="177"/>
    </row>
    <row r="795" ht="15.75" customHeight="1">
      <c r="H795" s="177"/>
    </row>
    <row r="796" ht="15.75" customHeight="1">
      <c r="H796" s="177"/>
    </row>
    <row r="797" ht="15.75" customHeight="1">
      <c r="H797" s="177"/>
    </row>
    <row r="798" ht="15.75" customHeight="1">
      <c r="H798" s="177"/>
    </row>
    <row r="799" ht="15.75" customHeight="1">
      <c r="H799" s="177"/>
    </row>
    <row r="800" ht="15.75" customHeight="1">
      <c r="H800" s="177"/>
    </row>
    <row r="801" ht="15.75" customHeight="1">
      <c r="H801" s="177"/>
    </row>
    <row r="802" ht="15.75" customHeight="1">
      <c r="H802" s="177"/>
    </row>
    <row r="803" ht="15.75" customHeight="1">
      <c r="H803" s="177"/>
    </row>
    <row r="804" ht="15.75" customHeight="1">
      <c r="H804" s="177"/>
    </row>
    <row r="805" ht="15.75" customHeight="1">
      <c r="H805" s="177"/>
    </row>
    <row r="806" ht="15.75" customHeight="1">
      <c r="H806" s="177"/>
    </row>
    <row r="807" ht="15.75" customHeight="1">
      <c r="H807" s="177"/>
    </row>
    <row r="808" ht="15.75" customHeight="1">
      <c r="H808" s="177"/>
    </row>
    <row r="809" ht="15.75" customHeight="1">
      <c r="H809" s="177"/>
    </row>
    <row r="810" ht="15.75" customHeight="1">
      <c r="H810" s="177"/>
    </row>
    <row r="811" ht="15.75" customHeight="1">
      <c r="H811" s="177"/>
    </row>
    <row r="812" ht="15.75" customHeight="1">
      <c r="H812" s="177"/>
    </row>
    <row r="813" ht="15.75" customHeight="1">
      <c r="H813" s="177"/>
    </row>
    <row r="814" ht="15.75" customHeight="1">
      <c r="H814" s="177"/>
    </row>
    <row r="815" ht="15.75" customHeight="1">
      <c r="H815" s="177"/>
    </row>
    <row r="816" ht="15.75" customHeight="1">
      <c r="H816" s="177"/>
    </row>
    <row r="817" ht="15.75" customHeight="1">
      <c r="H817" s="177"/>
    </row>
    <row r="818" ht="15.75" customHeight="1">
      <c r="H818" s="177"/>
    </row>
    <row r="819" ht="15.75" customHeight="1">
      <c r="H819" s="177"/>
    </row>
    <row r="820" ht="15.75" customHeight="1">
      <c r="H820" s="177"/>
    </row>
    <row r="821" ht="15.75" customHeight="1">
      <c r="H821" s="177"/>
    </row>
    <row r="822" ht="15.75" customHeight="1">
      <c r="H822" s="177"/>
    </row>
    <row r="823" ht="15.75" customHeight="1">
      <c r="H823" s="177"/>
    </row>
    <row r="824" ht="15.75" customHeight="1">
      <c r="H824" s="177"/>
    </row>
    <row r="825" ht="15.75" customHeight="1">
      <c r="H825" s="177"/>
    </row>
    <row r="826" ht="15.75" customHeight="1">
      <c r="H826" s="177"/>
    </row>
    <row r="827" ht="15.75" customHeight="1">
      <c r="H827" s="177"/>
    </row>
    <row r="828" ht="15.75" customHeight="1">
      <c r="H828" s="177"/>
    </row>
    <row r="829" ht="15.75" customHeight="1">
      <c r="H829" s="177"/>
    </row>
    <row r="830" ht="15.75" customHeight="1">
      <c r="H830" s="177"/>
    </row>
    <row r="831" ht="15.75" customHeight="1">
      <c r="H831" s="177"/>
    </row>
    <row r="832" ht="15.75" customHeight="1">
      <c r="H832" s="177"/>
    </row>
    <row r="833" ht="15.75" customHeight="1">
      <c r="H833" s="177"/>
    </row>
    <row r="834" ht="15.75" customHeight="1">
      <c r="H834" s="177"/>
    </row>
    <row r="835" ht="15.75" customHeight="1">
      <c r="H835" s="177"/>
    </row>
    <row r="836" ht="15.75" customHeight="1">
      <c r="H836" s="177"/>
    </row>
    <row r="837" ht="15.75" customHeight="1">
      <c r="H837" s="177"/>
    </row>
    <row r="838" ht="15.75" customHeight="1">
      <c r="H838" s="177"/>
    </row>
    <row r="839" ht="15.75" customHeight="1">
      <c r="H839" s="177"/>
    </row>
    <row r="840" ht="15.75" customHeight="1">
      <c r="H840" s="177"/>
    </row>
    <row r="841" ht="15.75" customHeight="1">
      <c r="H841" s="177"/>
    </row>
    <row r="842" ht="15.75" customHeight="1">
      <c r="H842" s="177"/>
    </row>
    <row r="843" ht="15.75" customHeight="1">
      <c r="H843" s="177"/>
    </row>
    <row r="844" ht="15.75" customHeight="1">
      <c r="H844" s="177"/>
    </row>
    <row r="845" ht="15.75" customHeight="1">
      <c r="H845" s="177"/>
    </row>
    <row r="846" ht="15.75" customHeight="1">
      <c r="H846" s="177"/>
    </row>
    <row r="847" ht="15.75" customHeight="1">
      <c r="H847" s="177"/>
    </row>
    <row r="848" ht="15.75" customHeight="1">
      <c r="H848" s="177"/>
    </row>
    <row r="849" ht="15.75" customHeight="1">
      <c r="H849" s="177"/>
    </row>
    <row r="850" ht="15.75" customHeight="1">
      <c r="H850" s="177"/>
    </row>
    <row r="851" ht="15.75" customHeight="1">
      <c r="H851" s="177"/>
    </row>
    <row r="852" ht="15.75" customHeight="1">
      <c r="H852" s="177"/>
    </row>
    <row r="853" ht="15.75" customHeight="1">
      <c r="H853" s="177"/>
    </row>
    <row r="854" ht="15.75" customHeight="1">
      <c r="H854" s="177"/>
    </row>
    <row r="855" ht="15.75" customHeight="1">
      <c r="H855" s="177"/>
    </row>
    <row r="856" ht="15.75" customHeight="1">
      <c r="H856" s="177"/>
    </row>
    <row r="857" ht="15.75" customHeight="1">
      <c r="H857" s="177"/>
    </row>
    <row r="858" ht="15.75" customHeight="1">
      <c r="H858" s="177"/>
    </row>
    <row r="859" ht="15.75" customHeight="1">
      <c r="H859" s="177"/>
    </row>
    <row r="860" ht="15.75" customHeight="1">
      <c r="H860" s="177"/>
    </row>
    <row r="861" ht="15.75" customHeight="1">
      <c r="H861" s="177"/>
    </row>
    <row r="862" ht="15.75" customHeight="1">
      <c r="H862" s="177"/>
    </row>
    <row r="863" ht="15.75" customHeight="1">
      <c r="H863" s="177"/>
    </row>
    <row r="864" ht="15.75" customHeight="1">
      <c r="H864" s="177"/>
    </row>
    <row r="865" ht="15.75" customHeight="1">
      <c r="H865" s="177"/>
    </row>
    <row r="866" ht="15.75" customHeight="1">
      <c r="H866" s="177"/>
    </row>
    <row r="867" ht="15.75" customHeight="1">
      <c r="H867" s="177"/>
    </row>
    <row r="868" ht="15.75" customHeight="1">
      <c r="H868" s="177"/>
    </row>
    <row r="869" ht="15.75" customHeight="1">
      <c r="H869" s="177"/>
    </row>
    <row r="870" ht="15.75" customHeight="1">
      <c r="H870" s="177"/>
    </row>
    <row r="871" ht="15.75" customHeight="1">
      <c r="H871" s="177"/>
    </row>
    <row r="872" ht="15.75" customHeight="1">
      <c r="H872" s="177"/>
    </row>
    <row r="873" ht="15.75" customHeight="1">
      <c r="H873" s="177"/>
    </row>
    <row r="874" ht="15.75" customHeight="1">
      <c r="H874" s="177"/>
    </row>
    <row r="875" ht="15.75" customHeight="1">
      <c r="H875" s="177"/>
    </row>
    <row r="876" ht="15.75" customHeight="1">
      <c r="H876" s="177"/>
    </row>
    <row r="877" ht="15.75" customHeight="1">
      <c r="H877" s="177"/>
    </row>
    <row r="878" ht="15.75" customHeight="1">
      <c r="H878" s="177"/>
    </row>
    <row r="879" ht="15.75" customHeight="1">
      <c r="H879" s="177"/>
    </row>
    <row r="880" ht="15.75" customHeight="1">
      <c r="H880" s="177"/>
    </row>
    <row r="881" ht="15.75" customHeight="1">
      <c r="H881" s="177"/>
    </row>
    <row r="882" ht="15.75" customHeight="1">
      <c r="H882" s="177"/>
    </row>
    <row r="883" ht="15.75" customHeight="1">
      <c r="H883" s="177"/>
    </row>
    <row r="884" ht="15.75" customHeight="1">
      <c r="H884" s="177"/>
    </row>
    <row r="885" ht="15.75" customHeight="1">
      <c r="H885" s="177"/>
    </row>
    <row r="886" ht="15.75" customHeight="1">
      <c r="H886" s="177"/>
    </row>
    <row r="887" ht="15.75" customHeight="1">
      <c r="H887" s="177"/>
    </row>
    <row r="888" ht="15.75" customHeight="1">
      <c r="H888" s="177"/>
    </row>
    <row r="889" ht="15.75" customHeight="1">
      <c r="H889" s="177"/>
    </row>
    <row r="890" ht="15.75" customHeight="1">
      <c r="H890" s="177"/>
    </row>
    <row r="891" ht="15.75" customHeight="1">
      <c r="H891" s="177"/>
    </row>
    <row r="892" ht="15.75" customHeight="1">
      <c r="H892" s="177"/>
    </row>
    <row r="893" ht="15.75" customHeight="1">
      <c r="H893" s="177"/>
    </row>
    <row r="894" ht="15.75" customHeight="1">
      <c r="H894" s="177"/>
    </row>
    <row r="895" ht="15.75" customHeight="1">
      <c r="H895" s="177"/>
    </row>
    <row r="896" ht="15.75" customHeight="1">
      <c r="H896" s="177"/>
    </row>
    <row r="897" ht="15.75" customHeight="1">
      <c r="H897" s="177"/>
    </row>
    <row r="898" ht="15.75" customHeight="1">
      <c r="H898" s="177"/>
    </row>
    <row r="899" ht="15.75" customHeight="1">
      <c r="H899" s="177"/>
    </row>
    <row r="900" ht="15.75" customHeight="1">
      <c r="H900" s="177"/>
    </row>
    <row r="901" ht="15.75" customHeight="1">
      <c r="H901" s="177"/>
    </row>
    <row r="902" ht="15.75" customHeight="1">
      <c r="H902" s="177"/>
    </row>
    <row r="903" ht="15.75" customHeight="1">
      <c r="H903" s="177"/>
    </row>
    <row r="904" ht="15.75" customHeight="1">
      <c r="H904" s="177"/>
    </row>
    <row r="905" ht="15.75" customHeight="1">
      <c r="H905" s="177"/>
    </row>
    <row r="906" ht="15.75" customHeight="1">
      <c r="H906" s="177"/>
    </row>
    <row r="907" ht="15.75" customHeight="1">
      <c r="H907" s="177"/>
    </row>
    <row r="908" ht="15.75" customHeight="1">
      <c r="H908" s="177"/>
    </row>
    <row r="909" ht="15.75" customHeight="1">
      <c r="H909" s="177"/>
    </row>
    <row r="910" ht="15.75" customHeight="1">
      <c r="H910" s="177"/>
    </row>
    <row r="911" ht="15.75" customHeight="1">
      <c r="H911" s="177"/>
    </row>
    <row r="912" ht="15.75" customHeight="1">
      <c r="H912" s="177"/>
    </row>
    <row r="913" ht="15.75" customHeight="1">
      <c r="H913" s="177"/>
    </row>
    <row r="914" ht="15.75" customHeight="1">
      <c r="H914" s="177"/>
    </row>
    <row r="915" ht="15.75" customHeight="1">
      <c r="H915" s="177"/>
    </row>
    <row r="916" ht="15.75" customHeight="1">
      <c r="H916" s="177"/>
    </row>
    <row r="917" ht="15.75" customHeight="1">
      <c r="H917" s="177"/>
    </row>
    <row r="918" ht="15.75" customHeight="1">
      <c r="H918" s="177"/>
    </row>
    <row r="919" ht="15.75" customHeight="1">
      <c r="H919" s="177"/>
    </row>
    <row r="920" ht="15.75" customHeight="1">
      <c r="H920" s="177"/>
    </row>
    <row r="921" ht="15.75" customHeight="1">
      <c r="H921" s="177"/>
    </row>
    <row r="922" ht="15.75" customHeight="1">
      <c r="H922" s="177"/>
    </row>
    <row r="923" ht="15.75" customHeight="1">
      <c r="H923" s="177"/>
    </row>
    <row r="924" ht="15.75" customHeight="1">
      <c r="H924" s="177"/>
    </row>
    <row r="925" ht="15.75" customHeight="1">
      <c r="H925" s="177"/>
    </row>
    <row r="926" ht="15.75" customHeight="1">
      <c r="H926" s="177"/>
    </row>
    <row r="927" ht="15.75" customHeight="1">
      <c r="H927" s="177"/>
    </row>
    <row r="928" ht="15.75" customHeight="1">
      <c r="H928" s="177"/>
    </row>
    <row r="929" ht="15.75" customHeight="1">
      <c r="H929" s="177"/>
    </row>
    <row r="930" ht="15.75" customHeight="1">
      <c r="H930" s="177"/>
    </row>
    <row r="931" ht="15.75" customHeight="1">
      <c r="H931" s="177"/>
    </row>
    <row r="932" ht="15.75" customHeight="1">
      <c r="H932" s="177"/>
    </row>
    <row r="933" ht="15.75" customHeight="1">
      <c r="H933" s="177"/>
    </row>
    <row r="934" ht="15.75" customHeight="1">
      <c r="H934" s="177"/>
    </row>
    <row r="935" ht="15.75" customHeight="1">
      <c r="H935" s="177"/>
    </row>
    <row r="936" ht="15.75" customHeight="1">
      <c r="H936" s="177"/>
    </row>
    <row r="937" ht="15.75" customHeight="1">
      <c r="H937" s="177"/>
    </row>
    <row r="938" ht="15.75" customHeight="1">
      <c r="H938" s="177"/>
    </row>
    <row r="939" ht="15.75" customHeight="1">
      <c r="H939" s="177"/>
    </row>
    <row r="940" ht="15.75" customHeight="1">
      <c r="H940" s="177"/>
    </row>
    <row r="941" ht="15.75" customHeight="1">
      <c r="H941" s="177"/>
    </row>
    <row r="942" ht="15.75" customHeight="1">
      <c r="H942" s="177"/>
    </row>
    <row r="943" ht="15.75" customHeight="1">
      <c r="H943" s="177"/>
    </row>
    <row r="944" ht="15.75" customHeight="1">
      <c r="H944" s="177"/>
    </row>
    <row r="945" ht="15.75" customHeight="1">
      <c r="H945" s="177"/>
    </row>
    <row r="946" ht="15.75" customHeight="1">
      <c r="H946" s="177"/>
    </row>
    <row r="947" ht="15.75" customHeight="1">
      <c r="H947" s="177"/>
    </row>
    <row r="948" ht="15.75" customHeight="1">
      <c r="H948" s="177"/>
    </row>
    <row r="949" ht="15.75" customHeight="1">
      <c r="H949" s="177"/>
    </row>
    <row r="950" ht="15.75" customHeight="1">
      <c r="H950" s="177"/>
    </row>
    <row r="951" ht="15.75" customHeight="1">
      <c r="H951" s="177"/>
    </row>
    <row r="952" ht="15.75" customHeight="1">
      <c r="H952" s="177"/>
    </row>
    <row r="953" ht="15.75" customHeight="1">
      <c r="H953" s="177"/>
    </row>
    <row r="954" ht="15.75" customHeight="1">
      <c r="H954" s="177"/>
    </row>
    <row r="955" ht="15.75" customHeight="1">
      <c r="H955" s="177"/>
    </row>
    <row r="956" ht="15.75" customHeight="1">
      <c r="H956" s="177"/>
    </row>
    <row r="957" ht="15.75" customHeight="1">
      <c r="H957" s="177"/>
    </row>
    <row r="958" ht="15.75" customHeight="1">
      <c r="H958" s="177"/>
    </row>
    <row r="959" ht="15.75" customHeight="1">
      <c r="H959" s="177"/>
    </row>
    <row r="960" ht="15.75" customHeight="1">
      <c r="H960" s="177"/>
    </row>
    <row r="961" ht="15.75" customHeight="1">
      <c r="H961" s="177"/>
    </row>
    <row r="962" ht="15.75" customHeight="1">
      <c r="H962" s="177"/>
    </row>
    <row r="963" ht="15.75" customHeight="1">
      <c r="H963" s="177"/>
    </row>
    <row r="964" ht="15.75" customHeight="1">
      <c r="H964" s="177"/>
    </row>
    <row r="965" ht="15.75" customHeight="1">
      <c r="H965" s="177"/>
    </row>
    <row r="966" ht="15.75" customHeight="1">
      <c r="H966" s="177"/>
    </row>
    <row r="967" ht="15.75" customHeight="1">
      <c r="H967" s="177"/>
    </row>
    <row r="968" ht="15.75" customHeight="1">
      <c r="H968" s="177"/>
    </row>
    <row r="969" ht="15.75" customHeight="1">
      <c r="H969" s="177"/>
    </row>
    <row r="970" ht="15.75" customHeight="1">
      <c r="H970" s="177"/>
    </row>
    <row r="971" ht="15.75" customHeight="1">
      <c r="H971" s="177"/>
    </row>
    <row r="972" ht="15.75" customHeight="1">
      <c r="H972" s="177"/>
    </row>
    <row r="973" ht="15.75" customHeight="1">
      <c r="H973" s="177"/>
    </row>
    <row r="974" ht="15.75" customHeight="1">
      <c r="H974" s="177"/>
    </row>
    <row r="975" ht="15.75" customHeight="1">
      <c r="H975" s="177"/>
    </row>
    <row r="976" ht="15.75" customHeight="1">
      <c r="H976" s="177"/>
    </row>
    <row r="977" ht="15.75" customHeight="1">
      <c r="H977" s="177"/>
    </row>
    <row r="978" ht="15.75" customHeight="1">
      <c r="H978" s="177"/>
    </row>
    <row r="979" ht="15.75" customHeight="1">
      <c r="H979" s="177"/>
    </row>
    <row r="980" ht="15.75" customHeight="1">
      <c r="H980" s="177"/>
    </row>
    <row r="981" ht="15.75" customHeight="1">
      <c r="H981" s="177"/>
    </row>
    <row r="982" ht="15.75" customHeight="1">
      <c r="H982" s="177"/>
    </row>
    <row r="983" ht="15.75" customHeight="1">
      <c r="H983" s="177"/>
    </row>
    <row r="984" ht="15.75" customHeight="1">
      <c r="H984" s="177"/>
    </row>
    <row r="985" ht="15.75" customHeight="1">
      <c r="H985" s="177"/>
    </row>
    <row r="986" ht="15.75" customHeight="1">
      <c r="H986" s="177"/>
    </row>
    <row r="987" ht="15.75" customHeight="1">
      <c r="H987" s="177"/>
    </row>
    <row r="988" ht="15.75" customHeight="1">
      <c r="H988" s="177"/>
    </row>
    <row r="989" ht="15.75" customHeight="1">
      <c r="H989" s="177"/>
    </row>
    <row r="990" ht="15.75" customHeight="1">
      <c r="H990" s="177"/>
    </row>
    <row r="991" ht="15.75" customHeight="1">
      <c r="H991" s="177"/>
    </row>
    <row r="992" ht="15.75" customHeight="1">
      <c r="H992" s="177"/>
    </row>
    <row r="993" ht="15.75" customHeight="1">
      <c r="H993" s="177"/>
    </row>
    <row r="994" ht="15.75" customHeight="1">
      <c r="H994" s="177"/>
    </row>
    <row r="995" ht="15.75" customHeight="1">
      <c r="H995" s="177"/>
    </row>
    <row r="996" ht="15.75" customHeight="1">
      <c r="H996" s="177"/>
    </row>
    <row r="997" ht="15.75" customHeight="1">
      <c r="H997" s="177"/>
    </row>
    <row r="998" ht="15.75" customHeight="1">
      <c r="H998" s="177"/>
    </row>
    <row r="999" ht="15.75" customHeight="1">
      <c r="H999" s="177"/>
    </row>
    <row r="1000" ht="15.75" customHeight="1">
      <c r="H1000" s="177"/>
    </row>
    <row r="1001" ht="15.75" customHeight="1">
      <c r="H1001" s="177"/>
    </row>
    <row r="1002" ht="15.75" customHeight="1">
      <c r="H1002" s="177"/>
    </row>
  </sheetData>
  <mergeCells count="85">
    <mergeCell ref="L52:M52"/>
    <mergeCell ref="L54:M54"/>
    <mergeCell ref="L56:M56"/>
    <mergeCell ref="L58:M58"/>
    <mergeCell ref="K69:K70"/>
    <mergeCell ref="N69:N70"/>
    <mergeCell ref="L98:M98"/>
    <mergeCell ref="L100:M100"/>
    <mergeCell ref="L102:M102"/>
    <mergeCell ref="L104:M104"/>
    <mergeCell ref="L106:M106"/>
    <mergeCell ref="K117:K118"/>
    <mergeCell ref="N117:N118"/>
    <mergeCell ref="L143:M143"/>
    <mergeCell ref="L191:M191"/>
    <mergeCell ref="L193:M193"/>
    <mergeCell ref="L145:M145"/>
    <mergeCell ref="L147:M147"/>
    <mergeCell ref="L149:M149"/>
    <mergeCell ref="L151:M151"/>
    <mergeCell ref="K162:K163"/>
    <mergeCell ref="N162:N163"/>
    <mergeCell ref="L189:M189"/>
    <mergeCell ref="C98:D98"/>
    <mergeCell ref="C100:D100"/>
    <mergeCell ref="C102:D102"/>
    <mergeCell ref="C104:D104"/>
    <mergeCell ref="C106:D106"/>
    <mergeCell ref="B117:B118"/>
    <mergeCell ref="E117:E118"/>
    <mergeCell ref="C143:D143"/>
    <mergeCell ref="C145:D145"/>
    <mergeCell ref="C147:D147"/>
    <mergeCell ref="C149:D149"/>
    <mergeCell ref="C151:D151"/>
    <mergeCell ref="B162:B163"/>
    <mergeCell ref="E162:E163"/>
    <mergeCell ref="L10:M10"/>
    <mergeCell ref="L12:M12"/>
    <mergeCell ref="A1:F1"/>
    <mergeCell ref="C6:D6"/>
    <mergeCell ref="L6:M6"/>
    <mergeCell ref="C8:D8"/>
    <mergeCell ref="L8:M8"/>
    <mergeCell ref="C10:D10"/>
    <mergeCell ref="C12:D12"/>
    <mergeCell ref="C14:D14"/>
    <mergeCell ref="L14:M14"/>
    <mergeCell ref="B25:B26"/>
    <mergeCell ref="E25:E26"/>
    <mergeCell ref="K25:K26"/>
    <mergeCell ref="N25:N26"/>
    <mergeCell ref="L50:M50"/>
    <mergeCell ref="C50:D50"/>
    <mergeCell ref="C52:D52"/>
    <mergeCell ref="C54:D54"/>
    <mergeCell ref="C56:D56"/>
    <mergeCell ref="C58:D58"/>
    <mergeCell ref="B69:B70"/>
    <mergeCell ref="E69:E70"/>
    <mergeCell ref="C189:D189"/>
    <mergeCell ref="C191:D191"/>
    <mergeCell ref="C193:D193"/>
    <mergeCell ref="C195:D195"/>
    <mergeCell ref="L195:M195"/>
    <mergeCell ref="C197:D197"/>
    <mergeCell ref="L197:M197"/>
    <mergeCell ref="C234:D234"/>
    <mergeCell ref="C236:D236"/>
    <mergeCell ref="C238:D238"/>
    <mergeCell ref="C240:D240"/>
    <mergeCell ref="C242:D242"/>
    <mergeCell ref="B253:B254"/>
    <mergeCell ref="E253:E254"/>
    <mergeCell ref="L240:M240"/>
    <mergeCell ref="L242:M242"/>
    <mergeCell ref="K253:K254"/>
    <mergeCell ref="N253:N254"/>
    <mergeCell ref="B208:B209"/>
    <mergeCell ref="E208:E209"/>
    <mergeCell ref="K208:K209"/>
    <mergeCell ref="N208:N209"/>
    <mergeCell ref="L234:M234"/>
    <mergeCell ref="L236:M236"/>
    <mergeCell ref="L238:M238"/>
  </mergeCells>
  <printOptions/>
  <pageMargins bottom="0.75" footer="0.0" header="0.0" left="0.7" right="0.7" top="0.75"/>
  <pageSetup scale="55" orientation="portrait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3.13"/>
    <col customWidth="1" min="4" max="4" width="13.5"/>
    <col customWidth="1" min="5" max="5" width="12.63"/>
    <col customWidth="1" min="6" max="6" width="5.88"/>
    <col customWidth="1" min="7" max="7" width="3.0"/>
    <col customWidth="1" min="8" max="10" width="7.75"/>
    <col customWidth="1" min="11" max="11" width="24.38"/>
    <col customWidth="1" min="12" max="12" width="13.63"/>
    <col customWidth="1" min="13" max="13" width="11.13"/>
    <col customWidth="1" min="14" max="14" width="10.88"/>
    <col customWidth="1" min="15" max="15" width="7.75"/>
    <col customWidth="1" min="16" max="26" width="14.38"/>
  </cols>
  <sheetData>
    <row r="1" ht="46.5" customHeight="1">
      <c r="A1" s="399" t="s">
        <v>1266</v>
      </c>
      <c r="B1" s="321"/>
      <c r="C1" s="321"/>
      <c r="D1" s="321"/>
      <c r="E1" s="321"/>
      <c r="F1" s="321"/>
      <c r="G1" s="402"/>
      <c r="H1" s="387"/>
      <c r="I1" s="387"/>
      <c r="J1" s="387"/>
      <c r="K1" s="387"/>
      <c r="L1" s="387"/>
      <c r="M1" s="387"/>
      <c r="N1" s="387"/>
      <c r="O1" s="387"/>
    </row>
    <row r="2" ht="18.0" customHeight="1">
      <c r="A2" s="388"/>
      <c r="B2" s="388"/>
      <c r="C2" s="388"/>
      <c r="D2" s="388"/>
      <c r="E2" s="389"/>
      <c r="F2" s="387"/>
      <c r="G2" s="387"/>
      <c r="H2" s="387"/>
      <c r="I2" s="387"/>
      <c r="J2" s="387"/>
      <c r="K2" s="387"/>
      <c r="L2" s="387"/>
      <c r="M2" s="387"/>
      <c r="N2" s="387"/>
      <c r="O2" s="387"/>
    </row>
    <row r="3" ht="6.75" customHeight="1">
      <c r="A3" s="388"/>
      <c r="B3" s="388"/>
      <c r="C3" s="388"/>
      <c r="D3" s="388"/>
      <c r="E3" s="389"/>
      <c r="F3" s="387"/>
      <c r="G3" s="387"/>
      <c r="H3" s="387"/>
      <c r="I3" s="387"/>
      <c r="J3" s="387"/>
      <c r="K3" s="387"/>
      <c r="L3" s="387"/>
      <c r="M3" s="387"/>
      <c r="N3" s="387"/>
      <c r="O3" s="387"/>
    </row>
    <row r="4" ht="15.0" customHeight="1">
      <c r="A4" s="322"/>
      <c r="B4" s="322"/>
      <c r="C4" s="322"/>
      <c r="D4" s="322"/>
      <c r="E4" s="323"/>
      <c r="F4" s="324"/>
      <c r="G4" s="324"/>
      <c r="H4" s="387"/>
      <c r="I4" s="388"/>
      <c r="J4" s="322"/>
      <c r="K4" s="322"/>
      <c r="L4" s="322"/>
      <c r="M4" s="322"/>
      <c r="N4" s="323"/>
      <c r="O4" s="324"/>
    </row>
    <row r="5" ht="4.5" customHeight="1">
      <c r="A5" s="322"/>
      <c r="B5" s="325"/>
      <c r="C5" s="322"/>
      <c r="D5" s="322"/>
      <c r="E5" s="323"/>
      <c r="F5" s="326"/>
      <c r="G5" s="326"/>
      <c r="H5" s="404"/>
      <c r="I5" s="388"/>
      <c r="J5" s="322"/>
      <c r="K5" s="325"/>
      <c r="L5" s="322"/>
      <c r="M5" s="322"/>
      <c r="N5" s="323"/>
      <c r="O5" s="326"/>
    </row>
    <row r="6" ht="18.0" customHeight="1">
      <c r="A6" s="322"/>
      <c r="B6" s="327" t="s">
        <v>931</v>
      </c>
      <c r="C6" s="328" t="s">
        <v>628</v>
      </c>
      <c r="D6" s="329"/>
      <c r="E6" s="323"/>
      <c r="F6" s="326"/>
      <c r="G6" s="326"/>
      <c r="H6" s="404"/>
      <c r="I6" s="388"/>
      <c r="J6" s="322"/>
      <c r="K6" s="327" t="s">
        <v>931</v>
      </c>
      <c r="L6" s="328" t="s">
        <v>647</v>
      </c>
      <c r="M6" s="329"/>
      <c r="N6" s="323"/>
      <c r="O6" s="326"/>
    </row>
    <row r="7" ht="4.5" customHeight="1">
      <c r="A7" s="322"/>
      <c r="B7" s="325"/>
      <c r="C7" s="322"/>
      <c r="D7" s="322"/>
      <c r="E7" s="323"/>
      <c r="F7" s="326"/>
      <c r="G7" s="326"/>
      <c r="H7" s="404"/>
      <c r="I7" s="388"/>
      <c r="J7" s="322"/>
      <c r="K7" s="325"/>
      <c r="L7" s="322"/>
      <c r="M7" s="322"/>
      <c r="N7" s="323"/>
      <c r="O7" s="326"/>
    </row>
    <row r="8" ht="18.0" customHeight="1">
      <c r="A8" s="322"/>
      <c r="B8" s="327" t="s">
        <v>935</v>
      </c>
      <c r="C8" s="331">
        <v>143000.0</v>
      </c>
      <c r="D8" s="329"/>
      <c r="E8" s="323"/>
      <c r="F8" s="326"/>
      <c r="G8" s="326"/>
      <c r="H8" s="387"/>
      <c r="I8" s="388"/>
      <c r="J8" s="322"/>
      <c r="K8" s="327" t="s">
        <v>935</v>
      </c>
      <c r="L8" s="331">
        <v>170000.0</v>
      </c>
      <c r="M8" s="329"/>
      <c r="N8" s="323"/>
      <c r="O8" s="326"/>
    </row>
    <row r="9" ht="4.5" customHeight="1">
      <c r="A9" s="322"/>
      <c r="B9" s="327"/>
      <c r="C9" s="332"/>
      <c r="D9" s="332"/>
      <c r="E9" s="323"/>
      <c r="F9" s="326"/>
      <c r="G9" s="326"/>
      <c r="H9" s="404"/>
      <c r="I9" s="388"/>
      <c r="J9" s="322"/>
      <c r="K9" s="327"/>
      <c r="L9" s="332"/>
      <c r="M9" s="332"/>
      <c r="N9" s="323"/>
      <c r="O9" s="326"/>
    </row>
    <row r="10" ht="18.0" customHeight="1">
      <c r="A10" s="322"/>
      <c r="B10" s="327" t="s">
        <v>939</v>
      </c>
      <c r="C10" s="333" t="str">
        <f>IF(SUM(E22,E37,E45)=0,"",SUM(E22,E37,E45))</f>
        <v>#REF!</v>
      </c>
      <c r="D10" s="321"/>
      <c r="E10" s="323" t="str">
        <f>C10/90000</f>
        <v>#REF!</v>
      </c>
      <c r="F10" s="326"/>
      <c r="G10" s="326"/>
      <c r="H10" s="404"/>
      <c r="I10" s="388"/>
      <c r="J10" s="322"/>
      <c r="K10" s="327" t="s">
        <v>939</v>
      </c>
      <c r="L10" s="333" t="str">
        <f>IF(SUM(N22,N37,N45)=0,"",SUM(N22,N37,N45))</f>
        <v>#REF!</v>
      </c>
      <c r="M10" s="321"/>
      <c r="N10" s="323" t="str">
        <f>L10/90000</f>
        <v>#REF!</v>
      </c>
      <c r="O10" s="326"/>
    </row>
    <row r="11" ht="4.5" customHeight="1">
      <c r="A11" s="322"/>
      <c r="B11" s="327"/>
      <c r="C11" s="334"/>
      <c r="D11" s="334"/>
      <c r="E11" s="323"/>
      <c r="F11" s="326"/>
      <c r="G11" s="326"/>
      <c r="H11" s="404"/>
      <c r="I11" s="388"/>
      <c r="J11" s="322"/>
      <c r="K11" s="327"/>
      <c r="L11" s="334"/>
      <c r="M11" s="334"/>
      <c r="N11" s="323"/>
      <c r="O11" s="326"/>
    </row>
    <row r="12" ht="18.0" customHeight="1">
      <c r="A12" s="322"/>
      <c r="B12" s="327" t="s">
        <v>946</v>
      </c>
      <c r="C12" s="335" t="str">
        <f>IF(C10="","",IF(ISBLANK(C8),"",C10/C8))</f>
        <v>#REF!</v>
      </c>
      <c r="D12" s="321"/>
      <c r="E12" s="323"/>
      <c r="F12" s="326"/>
      <c r="G12" s="326"/>
      <c r="H12" s="404"/>
      <c r="I12" s="404"/>
      <c r="J12" s="322"/>
      <c r="K12" s="327" t="s">
        <v>946</v>
      </c>
      <c r="L12" s="335" t="str">
        <f>IF(L10="","",IF(ISBLANK(L8),"",L10/L8))</f>
        <v>#REF!</v>
      </c>
      <c r="M12" s="321"/>
      <c r="N12" s="323"/>
      <c r="O12" s="326"/>
    </row>
    <row r="13" ht="4.5" customHeight="1">
      <c r="A13" s="322"/>
      <c r="B13" s="327"/>
      <c r="C13" s="334"/>
      <c r="D13" s="334"/>
      <c r="E13" s="323"/>
      <c r="F13" s="326"/>
      <c r="G13" s="326"/>
      <c r="H13" s="404"/>
      <c r="I13" s="388"/>
      <c r="J13" s="322"/>
      <c r="K13" s="327"/>
      <c r="L13" s="334"/>
      <c r="M13" s="334"/>
      <c r="N13" s="323"/>
      <c r="O13" s="326"/>
    </row>
    <row r="14" ht="18.0" customHeight="1">
      <c r="A14" s="322"/>
      <c r="B14" s="327" t="s">
        <v>950</v>
      </c>
      <c r="C14" s="333" t="str">
        <f>C8-C10</f>
        <v>#REF!</v>
      </c>
      <c r="D14" s="321"/>
      <c r="E14" s="323"/>
      <c r="F14" s="326"/>
      <c r="G14" s="326"/>
      <c r="H14" s="404"/>
      <c r="I14" s="388"/>
      <c r="J14" s="322"/>
      <c r="K14" s="327" t="s">
        <v>950</v>
      </c>
      <c r="L14" s="333" t="str">
        <f>L8-L10</f>
        <v>#REF!</v>
      </c>
      <c r="M14" s="321"/>
      <c r="N14" s="323"/>
      <c r="O14" s="326"/>
    </row>
    <row r="15" ht="15.0" customHeight="1">
      <c r="A15" s="322"/>
      <c r="B15" s="322"/>
      <c r="C15" s="322"/>
      <c r="D15" s="322"/>
      <c r="E15" s="323"/>
      <c r="F15" s="324"/>
      <c r="G15" s="324"/>
      <c r="H15" s="404"/>
      <c r="I15" s="388"/>
      <c r="J15" s="322"/>
      <c r="K15" s="322"/>
      <c r="L15" s="322"/>
      <c r="M15" s="322"/>
      <c r="N15" s="323"/>
      <c r="O15" s="324"/>
    </row>
    <row r="16" ht="12.75" customHeight="1">
      <c r="A16" s="322"/>
      <c r="B16" s="322"/>
      <c r="C16" s="322"/>
      <c r="D16" s="322"/>
      <c r="E16" s="337"/>
      <c r="F16" s="324"/>
      <c r="G16" s="324"/>
      <c r="H16" s="387"/>
      <c r="I16" s="388"/>
      <c r="J16" s="322"/>
      <c r="K16" s="322"/>
      <c r="L16" s="322"/>
      <c r="M16" s="322"/>
      <c r="N16" s="337"/>
      <c r="O16" s="324"/>
    </row>
    <row r="17" ht="12.75" customHeight="1">
      <c r="A17" s="322"/>
      <c r="B17" s="338" t="s">
        <v>951</v>
      </c>
      <c r="C17" s="339"/>
      <c r="D17" s="339"/>
      <c r="E17" s="339"/>
      <c r="F17" s="324"/>
      <c r="G17" s="324"/>
      <c r="H17" s="410"/>
      <c r="I17" s="388"/>
      <c r="J17" s="322"/>
      <c r="K17" s="338" t="s">
        <v>951</v>
      </c>
      <c r="L17" s="339"/>
      <c r="M17" s="339"/>
      <c r="N17" s="339"/>
      <c r="O17" s="324"/>
    </row>
    <row r="18" ht="12.75" customHeight="1">
      <c r="A18" s="322"/>
      <c r="B18" s="340" t="s">
        <v>953</v>
      </c>
      <c r="C18" s="341" t="s">
        <v>954</v>
      </c>
      <c r="D18" s="341" t="s">
        <v>955</v>
      </c>
      <c r="E18" s="341" t="s">
        <v>35</v>
      </c>
      <c r="F18" s="324"/>
      <c r="G18" s="324"/>
      <c r="H18" s="387"/>
      <c r="I18" s="388"/>
      <c r="J18" s="322"/>
      <c r="K18" s="340" t="s">
        <v>953</v>
      </c>
      <c r="L18" s="341" t="s">
        <v>954</v>
      </c>
      <c r="M18" s="341" t="s">
        <v>955</v>
      </c>
      <c r="N18" s="341" t="s">
        <v>35</v>
      </c>
      <c r="O18" s="324"/>
    </row>
    <row r="19" ht="12.75" customHeight="1">
      <c r="A19" s="322"/>
      <c r="B19" s="60" t="s">
        <v>703</v>
      </c>
      <c r="C19" s="342">
        <v>0.16</v>
      </c>
      <c r="D19" s="343">
        <f>'F&amp;B'!F229</f>
        <v>81000</v>
      </c>
      <c r="E19" s="67">
        <f t="shared" ref="E19:E21" si="1">IF(OR(ISBLANK(C19),ISBLANK(D19)),"",D19*C19)</f>
        <v>12960</v>
      </c>
      <c r="F19" s="471" t="str">
        <f t="shared" ref="F19:F20" si="2">E19/$C$10</f>
        <v>#REF!</v>
      </c>
      <c r="G19" s="321"/>
      <c r="H19" s="387"/>
      <c r="I19" s="388"/>
      <c r="J19" s="322"/>
      <c r="K19" s="60" t="s">
        <v>703</v>
      </c>
      <c r="L19" s="342">
        <v>0.16</v>
      </c>
      <c r="M19" s="343">
        <f>D19</f>
        <v>81000</v>
      </c>
      <c r="N19" s="67">
        <f t="shared" ref="N19:N21" si="3">IF(OR(ISBLANK(L19),ISBLANK(M19)),"",M19*L19)</f>
        <v>12960</v>
      </c>
      <c r="O19" s="472" t="str">
        <f t="shared" ref="O19:O20" si="4">N19/$L$10</f>
        <v>#REF!</v>
      </c>
    </row>
    <row r="20" ht="12.75" customHeight="1">
      <c r="A20" s="322"/>
      <c r="B20" s="75" t="s">
        <v>1271</v>
      </c>
      <c r="C20" s="370">
        <v>1.0</v>
      </c>
      <c r="D20" s="371">
        <f>'F&amp;B'!$F$27/5</f>
        <v>5940</v>
      </c>
      <c r="E20" s="67">
        <f t="shared" si="1"/>
        <v>5940</v>
      </c>
      <c r="F20" s="471" t="str">
        <f t="shared" si="2"/>
        <v>#REF!</v>
      </c>
      <c r="G20" s="321"/>
      <c r="H20" s="387"/>
      <c r="I20" s="388"/>
      <c r="J20" s="322"/>
      <c r="K20" s="75" t="s">
        <v>1262</v>
      </c>
      <c r="L20" s="370">
        <v>1.0</v>
      </c>
      <c r="M20" s="371">
        <f>'F&amp;B'!$F$16/40</f>
        <v>11925</v>
      </c>
      <c r="N20" s="67">
        <f t="shared" si="3"/>
        <v>11925</v>
      </c>
      <c r="O20" s="472" t="str">
        <f t="shared" si="4"/>
        <v>#REF!</v>
      </c>
    </row>
    <row r="21" ht="12.75" customHeight="1">
      <c r="A21" s="322"/>
      <c r="B21" s="354"/>
      <c r="C21" s="355"/>
      <c r="D21" s="356"/>
      <c r="E21" s="67" t="str">
        <f t="shared" si="1"/>
        <v/>
      </c>
      <c r="F21" s="474"/>
      <c r="G21" s="321"/>
      <c r="H21" s="387"/>
      <c r="I21" s="388"/>
      <c r="J21" s="322"/>
      <c r="K21" s="354"/>
      <c r="L21" s="355"/>
      <c r="M21" s="356"/>
      <c r="N21" s="357" t="str">
        <f t="shared" si="3"/>
        <v/>
      </c>
      <c r="O21" s="324"/>
    </row>
    <row r="22" ht="12.75" customHeight="1">
      <c r="A22" s="322"/>
      <c r="B22" s="338" t="s">
        <v>84</v>
      </c>
      <c r="C22" s="358"/>
      <c r="D22" s="358"/>
      <c r="E22" s="359">
        <f>IF(SUM(E19:E21)=0,"",SUM(E19:E21))</f>
        <v>18900</v>
      </c>
      <c r="F22" s="474"/>
      <c r="G22" s="321"/>
      <c r="H22" s="387"/>
      <c r="I22" s="388"/>
      <c r="J22" s="322"/>
      <c r="K22" s="338" t="s">
        <v>84</v>
      </c>
      <c r="L22" s="358"/>
      <c r="M22" s="358"/>
      <c r="N22" s="359">
        <f>IF(SUM(N19:N21)=0,"",SUM(N19:N21))</f>
        <v>24885</v>
      </c>
      <c r="O22" s="324"/>
    </row>
    <row r="23" ht="12.75" customHeight="1">
      <c r="A23" s="322"/>
      <c r="B23" s="360"/>
      <c r="C23" s="360"/>
      <c r="D23" s="360"/>
      <c r="E23" s="361"/>
      <c r="F23" s="474"/>
      <c r="G23" s="321"/>
      <c r="H23" s="387"/>
      <c r="I23" s="388"/>
      <c r="J23" s="322"/>
      <c r="K23" s="360"/>
      <c r="L23" s="360"/>
      <c r="M23" s="360"/>
      <c r="N23" s="361"/>
      <c r="O23" s="324"/>
    </row>
    <row r="24" ht="12.75" customHeight="1">
      <c r="A24" s="322"/>
      <c r="B24" s="362" t="s">
        <v>972</v>
      </c>
      <c r="C24" s="363"/>
      <c r="D24" s="363"/>
      <c r="E24" s="363"/>
      <c r="F24" s="474"/>
      <c r="G24" s="321"/>
      <c r="H24" s="387"/>
      <c r="I24" s="388"/>
      <c r="J24" s="322"/>
      <c r="K24" s="362" t="s">
        <v>972</v>
      </c>
      <c r="L24" s="363"/>
      <c r="M24" s="363"/>
      <c r="N24" s="363"/>
      <c r="O24" s="324"/>
    </row>
    <row r="25" ht="12.75" customHeight="1">
      <c r="A25" s="322"/>
      <c r="B25" s="365" t="s">
        <v>953</v>
      </c>
      <c r="C25" s="366" t="s">
        <v>3</v>
      </c>
      <c r="D25" s="366" t="s">
        <v>975</v>
      </c>
      <c r="E25" s="367" t="s">
        <v>35</v>
      </c>
      <c r="F25" s="474"/>
      <c r="G25" s="321"/>
      <c r="H25" s="387"/>
      <c r="I25" s="388"/>
      <c r="J25" s="322"/>
      <c r="K25" s="365" t="s">
        <v>953</v>
      </c>
      <c r="L25" s="366" t="s">
        <v>3</v>
      </c>
      <c r="M25" s="366" t="s">
        <v>975</v>
      </c>
      <c r="N25" s="367" t="s">
        <v>35</v>
      </c>
      <c r="O25" s="324"/>
    </row>
    <row r="26" ht="12.75" customHeight="1">
      <c r="A26" s="322"/>
      <c r="B26" s="368"/>
      <c r="C26" s="366"/>
      <c r="D26" s="366"/>
      <c r="E26" s="368"/>
      <c r="F26" s="474"/>
      <c r="G26" s="321"/>
      <c r="H26" s="387"/>
      <c r="I26" s="388"/>
      <c r="J26" s="322"/>
      <c r="K26" s="368"/>
      <c r="L26" s="366"/>
      <c r="M26" s="366"/>
      <c r="N26" s="368"/>
      <c r="O26" s="324"/>
    </row>
    <row r="27" ht="12.75" customHeight="1">
      <c r="A27" s="322"/>
      <c r="B27" s="60" t="s">
        <v>850</v>
      </c>
      <c r="C27" s="342">
        <v>0.06</v>
      </c>
      <c r="D27" s="343">
        <f>'F&amp;B'!$F$99/12</f>
        <v>63000</v>
      </c>
      <c r="E27" s="67">
        <f t="shared" ref="E27:E36" si="5">D27*C27</f>
        <v>3780</v>
      </c>
      <c r="F27" s="471" t="str">
        <f t="shared" ref="F27:F33" si="6">E27/$C$10</f>
        <v>#REF!</v>
      </c>
      <c r="G27" s="321"/>
      <c r="H27" s="387"/>
      <c r="I27" s="388"/>
      <c r="J27" s="322"/>
      <c r="K27" s="60" t="s">
        <v>1033</v>
      </c>
      <c r="L27" s="342">
        <v>0.01</v>
      </c>
      <c r="M27" s="343">
        <f>'F&amp;B'!$F$278</f>
        <v>103500</v>
      </c>
      <c r="N27" s="67">
        <f t="shared" ref="N27:N36" si="7">M27*L27</f>
        <v>1035</v>
      </c>
      <c r="O27" s="472" t="str">
        <f t="shared" ref="O27:O33" si="8">N27/$L$10</f>
        <v>#REF!</v>
      </c>
    </row>
    <row r="28" ht="12.75" customHeight="1">
      <c r="A28" s="322"/>
      <c r="B28" s="75" t="s">
        <v>1164</v>
      </c>
      <c r="C28" s="370">
        <v>1.0</v>
      </c>
      <c r="D28" s="371">
        <f>SAUCES!$D$152</f>
        <v>1471.976447</v>
      </c>
      <c r="E28" s="67">
        <f t="shared" si="5"/>
        <v>1471.976447</v>
      </c>
      <c r="F28" s="471" t="str">
        <f t="shared" si="6"/>
        <v>#REF!</v>
      </c>
      <c r="G28" s="321"/>
      <c r="H28" s="387"/>
      <c r="I28" s="388"/>
      <c r="J28" s="322"/>
      <c r="K28" s="75" t="s">
        <v>1098</v>
      </c>
      <c r="L28" s="370">
        <v>0.05</v>
      </c>
      <c r="M28" s="371">
        <f>'F&amp;B'!$F$280</f>
        <v>2970</v>
      </c>
      <c r="N28" s="67">
        <f t="shared" si="7"/>
        <v>148.5</v>
      </c>
      <c r="O28" s="472" t="str">
        <f t="shared" si="8"/>
        <v>#REF!</v>
      </c>
    </row>
    <row r="29" ht="12.75" customHeight="1">
      <c r="A29" s="322"/>
      <c r="B29" s="75" t="s">
        <v>1151</v>
      </c>
      <c r="C29" s="370">
        <v>0.04</v>
      </c>
      <c r="D29" s="371">
        <f>'F&amp;B'!F285</f>
        <v>8100</v>
      </c>
      <c r="E29" s="67">
        <f t="shared" si="5"/>
        <v>324</v>
      </c>
      <c r="F29" s="471" t="str">
        <f t="shared" si="6"/>
        <v>#REF!</v>
      </c>
      <c r="G29" s="321"/>
      <c r="H29" s="387"/>
      <c r="I29" s="388"/>
      <c r="J29" s="322"/>
      <c r="K29" s="75" t="s">
        <v>1272</v>
      </c>
      <c r="L29" s="398">
        <v>0.007</v>
      </c>
      <c r="M29" s="371">
        <f>'F&amp;B'!$F$251/3</f>
        <v>151800</v>
      </c>
      <c r="N29" s="67">
        <f t="shared" si="7"/>
        <v>1062.6</v>
      </c>
      <c r="O29" s="472" t="str">
        <f t="shared" si="8"/>
        <v>#REF!</v>
      </c>
    </row>
    <row r="30" ht="12.75" customHeight="1">
      <c r="A30" s="322"/>
      <c r="B30" s="75" t="s">
        <v>205</v>
      </c>
      <c r="C30" s="346"/>
      <c r="D30" s="371">
        <f>SAUCES!$L$58</f>
        <v>923.2488</v>
      </c>
      <c r="E30" s="67">
        <f t="shared" si="5"/>
        <v>0</v>
      </c>
      <c r="F30" s="471" t="str">
        <f t="shared" si="6"/>
        <v>#REF!</v>
      </c>
      <c r="G30" s="321"/>
      <c r="H30" s="387"/>
      <c r="I30" s="388"/>
      <c r="J30" s="322"/>
      <c r="K30" s="75" t="s">
        <v>262</v>
      </c>
      <c r="L30" s="398">
        <v>0.1</v>
      </c>
      <c r="M30" s="371">
        <f>'F&amp;B'!F302</f>
        <v>10800</v>
      </c>
      <c r="N30" s="67">
        <f t="shared" si="7"/>
        <v>1080</v>
      </c>
      <c r="O30" s="472" t="str">
        <f t="shared" si="8"/>
        <v>#REF!</v>
      </c>
    </row>
    <row r="31" ht="12.75" customHeight="1">
      <c r="A31" s="322"/>
      <c r="B31" s="75" t="s">
        <v>161</v>
      </c>
      <c r="C31" s="346">
        <v>0.01</v>
      </c>
      <c r="D31" s="371">
        <f>'F&amp;B'!$F$49/10</f>
        <v>13500</v>
      </c>
      <c r="E31" s="67">
        <f t="shared" si="5"/>
        <v>135</v>
      </c>
      <c r="F31" s="471" t="str">
        <f t="shared" si="6"/>
        <v>#REF!</v>
      </c>
      <c r="G31" s="321"/>
      <c r="H31" s="387"/>
      <c r="I31" s="388"/>
      <c r="J31" s="322"/>
      <c r="K31" s="75" t="s">
        <v>256</v>
      </c>
      <c r="L31" s="346"/>
      <c r="M31" s="371">
        <f>SAUCES!$D$68</f>
        <v>3768.104768</v>
      </c>
      <c r="N31" s="67">
        <f t="shared" si="7"/>
        <v>0</v>
      </c>
      <c r="O31" s="472" t="str">
        <f t="shared" si="8"/>
        <v>#REF!</v>
      </c>
    </row>
    <row r="32" ht="12.75" customHeight="1">
      <c r="A32" s="322"/>
      <c r="B32" s="75" t="s">
        <v>155</v>
      </c>
      <c r="C32" s="346"/>
      <c r="D32" s="371">
        <f>SAUCES!L45</f>
        <v>994.5</v>
      </c>
      <c r="E32" s="67">
        <f t="shared" si="5"/>
        <v>0</v>
      </c>
      <c r="F32" s="471" t="str">
        <f t="shared" si="6"/>
        <v>#REF!</v>
      </c>
      <c r="G32" s="321"/>
      <c r="H32" s="387"/>
      <c r="I32" s="388"/>
      <c r="J32" s="322"/>
      <c r="K32" s="75" t="s">
        <v>205</v>
      </c>
      <c r="L32" s="346">
        <v>0.0</v>
      </c>
      <c r="M32" s="371">
        <f>D30</f>
        <v>923.2488</v>
      </c>
      <c r="N32" s="67">
        <f t="shared" si="7"/>
        <v>0</v>
      </c>
      <c r="O32" s="472" t="str">
        <f t="shared" si="8"/>
        <v>#REF!</v>
      </c>
    </row>
    <row r="33" ht="12.75" customHeight="1">
      <c r="A33" s="322"/>
      <c r="B33" s="75" t="s">
        <v>934</v>
      </c>
      <c r="C33" s="342">
        <v>0.2</v>
      </c>
      <c r="D33" s="343">
        <f>'F&amp;B'!$F$68/10</f>
        <v>19665</v>
      </c>
      <c r="E33" s="67">
        <f t="shared" si="5"/>
        <v>3933</v>
      </c>
      <c r="F33" s="471" t="str">
        <f t="shared" si="6"/>
        <v>#REF!</v>
      </c>
      <c r="G33" s="321"/>
      <c r="H33" s="387"/>
      <c r="I33" s="388"/>
      <c r="J33" s="322"/>
      <c r="K33" s="75" t="s">
        <v>934</v>
      </c>
      <c r="L33" s="342">
        <v>0.2</v>
      </c>
      <c r="M33" s="343">
        <f>'F&amp;B'!$F$68/10</f>
        <v>19665</v>
      </c>
      <c r="N33" s="67">
        <f t="shared" si="7"/>
        <v>3933</v>
      </c>
      <c r="O33" s="472" t="str">
        <f t="shared" si="8"/>
        <v>#REF!</v>
      </c>
    </row>
    <row r="34" ht="12.75" customHeight="1">
      <c r="A34" s="322"/>
      <c r="B34" s="348"/>
      <c r="C34" s="346"/>
      <c r="D34" s="373"/>
      <c r="E34" s="67">
        <f t="shared" si="5"/>
        <v>0</v>
      </c>
      <c r="F34" s="474" t="s">
        <v>1274</v>
      </c>
      <c r="G34" s="321"/>
      <c r="H34" s="387"/>
      <c r="I34" s="388"/>
      <c r="J34" s="322"/>
      <c r="K34" s="348"/>
      <c r="L34" s="346"/>
      <c r="M34" s="373"/>
      <c r="N34" s="67">
        <f t="shared" si="7"/>
        <v>0</v>
      </c>
      <c r="O34" s="324"/>
    </row>
    <row r="35" ht="12.75" customHeight="1">
      <c r="A35" s="322"/>
      <c r="B35" s="348"/>
      <c r="C35" s="346"/>
      <c r="D35" s="373"/>
      <c r="E35" s="67">
        <f t="shared" si="5"/>
        <v>0</v>
      </c>
      <c r="F35" s="474"/>
      <c r="G35" s="321"/>
      <c r="H35" s="387"/>
      <c r="I35" s="388"/>
      <c r="J35" s="322"/>
      <c r="K35" s="348"/>
      <c r="L35" s="346"/>
      <c r="M35" s="373"/>
      <c r="N35" s="67">
        <f t="shared" si="7"/>
        <v>0</v>
      </c>
      <c r="O35" s="324"/>
    </row>
    <row r="36" ht="12.75" customHeight="1">
      <c r="A36" s="322"/>
      <c r="B36" s="354"/>
      <c r="C36" s="355"/>
      <c r="D36" s="356"/>
      <c r="E36" s="67">
        <f t="shared" si="5"/>
        <v>0</v>
      </c>
      <c r="F36" s="474"/>
      <c r="G36" s="321"/>
      <c r="H36" s="387"/>
      <c r="I36" s="388"/>
      <c r="J36" s="322"/>
      <c r="K36" s="354"/>
      <c r="L36" s="355"/>
      <c r="M36" s="356"/>
      <c r="N36" s="67">
        <f t="shared" si="7"/>
        <v>0</v>
      </c>
      <c r="O36" s="324"/>
    </row>
    <row r="37" ht="12.75" customHeight="1">
      <c r="A37" s="322"/>
      <c r="B37" s="362" t="s">
        <v>84</v>
      </c>
      <c r="C37" s="374"/>
      <c r="D37" s="374"/>
      <c r="E37" s="375">
        <f>IF(SUM(E27:E36)=0,"",SUM(E27:E36))</f>
        <v>9643.976447</v>
      </c>
      <c r="F37" s="474"/>
      <c r="G37" s="321"/>
      <c r="H37" s="387"/>
      <c r="I37" s="388"/>
      <c r="J37" s="322"/>
      <c r="K37" s="362" t="s">
        <v>84</v>
      </c>
      <c r="L37" s="374"/>
      <c r="M37" s="374"/>
      <c r="N37" s="375">
        <f>IF(SUM(N27:N36)=0,"",SUM(N27:N36))</f>
        <v>7259.1</v>
      </c>
      <c r="O37" s="324"/>
    </row>
    <row r="38" ht="12.75" customHeight="1">
      <c r="A38" s="322"/>
      <c r="B38" s="360"/>
      <c r="C38" s="360"/>
      <c r="D38" s="360"/>
      <c r="E38" s="361"/>
      <c r="F38" s="474"/>
      <c r="G38" s="321"/>
      <c r="H38" s="387"/>
      <c r="I38" s="388"/>
      <c r="J38" s="322"/>
      <c r="K38" s="360"/>
      <c r="L38" s="360"/>
      <c r="M38" s="360"/>
      <c r="N38" s="361"/>
      <c r="O38" s="324"/>
    </row>
    <row r="39" ht="12.75" customHeight="1">
      <c r="A39" s="322"/>
      <c r="B39" s="34" t="s">
        <v>17</v>
      </c>
      <c r="C39" s="35"/>
      <c r="D39" s="35"/>
      <c r="E39" s="35"/>
      <c r="F39" s="474"/>
      <c r="G39" s="321"/>
      <c r="H39" s="387"/>
      <c r="I39" s="388"/>
      <c r="J39" s="322"/>
      <c r="K39" s="34" t="s">
        <v>17</v>
      </c>
      <c r="L39" s="35"/>
      <c r="M39" s="35"/>
      <c r="N39" s="35"/>
      <c r="O39" s="324"/>
    </row>
    <row r="40" ht="12.75" customHeight="1">
      <c r="A40" s="322"/>
      <c r="B40" s="52" t="s">
        <v>42</v>
      </c>
      <c r="C40" s="54"/>
      <c r="D40" s="54"/>
      <c r="E40" s="56" t="s">
        <v>35</v>
      </c>
      <c r="F40" s="474"/>
      <c r="G40" s="321"/>
      <c r="H40" s="387"/>
      <c r="I40" s="388"/>
      <c r="J40" s="322"/>
      <c r="K40" s="52" t="s">
        <v>42</v>
      </c>
      <c r="L40" s="54"/>
      <c r="M40" s="54"/>
      <c r="N40" s="56" t="s">
        <v>35</v>
      </c>
      <c r="O40" s="324"/>
    </row>
    <row r="41" ht="12.75" customHeight="1">
      <c r="A41" s="322"/>
      <c r="B41" s="60" t="s">
        <v>40</v>
      </c>
      <c r="C41" s="343">
        <f>'UTL COST'!$B$3</f>
        <v>369000</v>
      </c>
      <c r="D41" s="379">
        <f>'UTL COST'!$C$3</f>
        <v>0.0075</v>
      </c>
      <c r="E41" s="67">
        <f>'UTL COST'!$D$3</f>
        <v>2767.5</v>
      </c>
      <c r="F41" s="474"/>
      <c r="G41" s="321"/>
      <c r="H41" s="387"/>
      <c r="I41" s="388"/>
      <c r="J41" s="322"/>
      <c r="K41" s="60" t="s">
        <v>40</v>
      </c>
      <c r="L41" s="343">
        <f>'UTL COST'!$B$3</f>
        <v>369000</v>
      </c>
      <c r="M41" s="379">
        <f>'UTL COST'!$C$3</f>
        <v>0.0075</v>
      </c>
      <c r="N41" s="67">
        <f>E41</f>
        <v>2767.5</v>
      </c>
      <c r="O41" s="324"/>
    </row>
    <row r="42" ht="12.75" customHeight="1">
      <c r="A42" s="322"/>
      <c r="B42" s="75" t="s">
        <v>51</v>
      </c>
      <c r="C42" s="371" t="str">
        <f>'UTL COST'!$B$4</f>
        <v>#REF!</v>
      </c>
      <c r="D42" s="382">
        <f>'UTL COST'!$C$4</f>
        <v>7000</v>
      </c>
      <c r="E42" s="76" t="str">
        <f>'UTL COST'!$D$4</f>
        <v>#REF!</v>
      </c>
      <c r="F42" s="474"/>
      <c r="G42" s="321"/>
      <c r="H42" s="387"/>
      <c r="I42" s="388"/>
      <c r="J42" s="322"/>
      <c r="K42" s="75" t="s">
        <v>51</v>
      </c>
      <c r="L42" s="371" t="str">
        <f>'UTL COST'!$B$4</f>
        <v>#REF!</v>
      </c>
      <c r="M42" s="382">
        <f>'UTL COST'!$C$4</f>
        <v>7000</v>
      </c>
      <c r="N42" s="76" t="str">
        <f>'UTL COST'!$D$4</f>
        <v>#REF!</v>
      </c>
      <c r="O42" s="324"/>
    </row>
    <row r="43" ht="12.75" customHeight="1">
      <c r="A43" s="322"/>
      <c r="B43" s="75" t="s">
        <v>59</v>
      </c>
      <c r="C43" s="371" t="str">
        <f>'UTL COST'!$B$5</f>
        <v>#REF!</v>
      </c>
      <c r="D43" s="382">
        <f>'UTL COST'!$C$5</f>
        <v>45000</v>
      </c>
      <c r="E43" s="76" t="str">
        <f>'UTL COST'!$D$5</f>
        <v>#REF!</v>
      </c>
      <c r="F43" s="474"/>
      <c r="G43" s="321"/>
      <c r="H43" s="387"/>
      <c r="I43" s="388"/>
      <c r="J43" s="322"/>
      <c r="K43" s="75" t="s">
        <v>59</v>
      </c>
      <c r="L43" s="371" t="str">
        <f>'UTL COST'!$B$5</f>
        <v>#REF!</v>
      </c>
      <c r="M43" s="382">
        <f>'UTL COST'!$C$5</f>
        <v>45000</v>
      </c>
      <c r="N43" s="76" t="str">
        <f>'UTL COST'!$D$5</f>
        <v>#REF!</v>
      </c>
      <c r="O43" s="324"/>
    </row>
    <row r="44" ht="12.75" customHeight="1">
      <c r="A44" s="322"/>
      <c r="B44" s="87" t="s">
        <v>78</v>
      </c>
      <c r="C44" s="371" t="str">
        <f>'UTL COST'!$B$6</f>
        <v>#REF!</v>
      </c>
      <c r="D44" s="383">
        <f>'UTL COST'!$C$6</f>
        <v>525</v>
      </c>
      <c r="E44" s="89">
        <v>0.1</v>
      </c>
      <c r="F44" s="474"/>
      <c r="G44" s="321"/>
      <c r="H44" s="387"/>
      <c r="I44" s="388"/>
      <c r="J44" s="322"/>
      <c r="K44" s="87" t="s">
        <v>78</v>
      </c>
      <c r="L44" s="371" t="str">
        <f>'UTL COST'!$B$6</f>
        <v>#REF!</v>
      </c>
      <c r="M44" s="383">
        <f>'UTL COST'!$C$6</f>
        <v>525</v>
      </c>
      <c r="N44" s="89">
        <v>0.1</v>
      </c>
      <c r="O44" s="324"/>
    </row>
    <row r="45" ht="12.75" customHeight="1">
      <c r="A45" s="322"/>
      <c r="B45" s="34" t="s">
        <v>84</v>
      </c>
      <c r="C45" s="102"/>
      <c r="D45" s="102"/>
      <c r="E45" s="104" t="str">
        <f>IF(SUM(E41:E44)=0,"",SUM(E41:E44))</f>
        <v>#REF!</v>
      </c>
      <c r="F45" s="471" t="str">
        <f>E45/$C$10</f>
        <v>#REF!</v>
      </c>
      <c r="G45" s="321"/>
      <c r="H45" s="387"/>
      <c r="I45" s="388"/>
      <c r="J45" s="322"/>
      <c r="K45" s="34" t="s">
        <v>84</v>
      </c>
      <c r="L45" s="102"/>
      <c r="M45" s="102"/>
      <c r="N45" s="104" t="str">
        <f>IF(SUM(N41:N44)=0,"",SUM(N41:N44))</f>
        <v>#REF!</v>
      </c>
      <c r="O45" s="472" t="str">
        <f>N45/$L$10</f>
        <v>#REF!</v>
      </c>
    </row>
    <row r="46" ht="12.75" customHeight="1">
      <c r="A46" s="322"/>
      <c r="B46" s="360"/>
      <c r="C46" s="360"/>
      <c r="D46" s="360"/>
      <c r="E46" s="361"/>
      <c r="F46" s="324"/>
      <c r="G46" s="324"/>
      <c r="H46" s="387"/>
      <c r="I46" s="388"/>
      <c r="J46" s="322"/>
      <c r="K46" s="360"/>
      <c r="L46" s="360"/>
      <c r="M46" s="360"/>
      <c r="N46" s="361"/>
      <c r="O46" s="324"/>
    </row>
    <row r="47" ht="12.75" customHeight="1">
      <c r="A47" s="387"/>
      <c r="B47" s="387"/>
      <c r="C47" s="387"/>
      <c r="D47" s="387"/>
      <c r="E47" s="418"/>
      <c r="F47" s="387"/>
      <c r="G47" s="387"/>
      <c r="H47" s="387"/>
      <c r="I47" s="387"/>
      <c r="J47" s="387"/>
      <c r="K47" s="387"/>
      <c r="L47" s="387"/>
      <c r="M47" s="387"/>
      <c r="N47" s="387"/>
      <c r="O47" s="387"/>
    </row>
    <row r="48" ht="12.75" customHeight="1">
      <c r="A48" s="322"/>
      <c r="B48" s="322"/>
      <c r="C48" s="322"/>
      <c r="D48" s="322"/>
      <c r="E48" s="323"/>
      <c r="F48" s="324"/>
      <c r="G48" s="324"/>
      <c r="H48" s="387"/>
      <c r="I48" s="388"/>
      <c r="J48" s="322"/>
      <c r="K48" s="322"/>
      <c r="L48" s="322"/>
      <c r="M48" s="322"/>
      <c r="N48" s="323"/>
      <c r="O48" s="324"/>
    </row>
    <row r="49" ht="12.75" customHeight="1">
      <c r="A49" s="322"/>
      <c r="B49" s="325"/>
      <c r="C49" s="322"/>
      <c r="D49" s="322"/>
      <c r="E49" s="323"/>
      <c r="F49" s="326"/>
      <c r="G49" s="326"/>
      <c r="H49" s="404"/>
      <c r="I49" s="388"/>
      <c r="J49" s="322"/>
      <c r="K49" s="325"/>
      <c r="L49" s="322"/>
      <c r="M49" s="322"/>
      <c r="N49" s="323"/>
      <c r="O49" s="326"/>
    </row>
    <row r="50" ht="12.75" customHeight="1">
      <c r="A50" s="322"/>
      <c r="B50" s="327" t="s">
        <v>931</v>
      </c>
      <c r="C50" s="328" t="s">
        <v>1277</v>
      </c>
      <c r="D50" s="329"/>
      <c r="E50" s="323"/>
      <c r="F50" s="326"/>
      <c r="G50" s="326"/>
      <c r="H50" s="404"/>
      <c r="I50" s="388"/>
      <c r="J50" s="322"/>
      <c r="K50" s="327" t="s">
        <v>931</v>
      </c>
      <c r="L50" s="328" t="s">
        <v>1278</v>
      </c>
      <c r="M50" s="329"/>
      <c r="N50" s="323"/>
      <c r="O50" s="326"/>
    </row>
    <row r="51" ht="12.75" customHeight="1">
      <c r="A51" s="322"/>
      <c r="B51" s="325"/>
      <c r="C51" s="322"/>
      <c r="D51" s="322"/>
      <c r="E51" s="323"/>
      <c r="F51" s="326"/>
      <c r="G51" s="326"/>
      <c r="H51" s="404"/>
      <c r="I51" s="388"/>
      <c r="J51" s="322"/>
      <c r="K51" s="325"/>
      <c r="L51" s="322"/>
      <c r="M51" s="322"/>
      <c r="N51" s="323"/>
      <c r="O51" s="326"/>
    </row>
    <row r="52" ht="12.75" customHeight="1">
      <c r="A52" s="322"/>
      <c r="B52" s="327" t="s">
        <v>935</v>
      </c>
      <c r="C52" s="331">
        <v>410000.0</v>
      </c>
      <c r="D52" s="329"/>
      <c r="E52" s="323"/>
      <c r="F52" s="326"/>
      <c r="G52" s="326"/>
      <c r="H52" s="404"/>
      <c r="I52" s="388"/>
      <c r="J52" s="322"/>
      <c r="K52" s="327" t="s">
        <v>935</v>
      </c>
      <c r="L52" s="331">
        <v>215000.0</v>
      </c>
      <c r="M52" s="329"/>
      <c r="N52" s="323"/>
      <c r="O52" s="326"/>
    </row>
    <row r="53" ht="12.75" customHeight="1">
      <c r="A53" s="322"/>
      <c r="B53" s="327"/>
      <c r="C53" s="332"/>
      <c r="D53" s="332"/>
      <c r="E53" s="323"/>
      <c r="F53" s="326"/>
      <c r="G53" s="326"/>
      <c r="H53" s="404"/>
      <c r="I53" s="388"/>
      <c r="J53" s="322"/>
      <c r="K53" s="327"/>
      <c r="L53" s="332"/>
      <c r="M53" s="332"/>
      <c r="N53" s="323"/>
      <c r="O53" s="326"/>
    </row>
    <row r="54" ht="12.75" customHeight="1">
      <c r="A54" s="322"/>
      <c r="B54" s="327" t="s">
        <v>939</v>
      </c>
      <c r="C54" s="333" t="str">
        <f>IF(SUM(E66,E81,E89)=0,"",SUM(E66,E81,E89))</f>
        <v>#REF!</v>
      </c>
      <c r="D54" s="321"/>
      <c r="E54" s="323"/>
      <c r="F54" s="326"/>
      <c r="G54" s="326"/>
      <c r="H54" s="404"/>
      <c r="I54" s="388"/>
      <c r="J54" s="322"/>
      <c r="K54" s="327" t="s">
        <v>939</v>
      </c>
      <c r="L54" s="333" t="str">
        <f>IF(SUM(N66,N81,N89)=0,"",SUM(N66,N81,N89))</f>
        <v>#REF!</v>
      </c>
      <c r="M54" s="321"/>
      <c r="N54" s="323" t="str">
        <f>L54/90000</f>
        <v>#REF!</v>
      </c>
      <c r="O54" s="326"/>
    </row>
    <row r="55" ht="12.75" customHeight="1">
      <c r="A55" s="322"/>
      <c r="B55" s="327"/>
      <c r="C55" s="334"/>
      <c r="D55" s="334"/>
      <c r="E55" s="323"/>
      <c r="F55" s="326"/>
      <c r="G55" s="326"/>
      <c r="H55" s="404"/>
      <c r="I55" s="388"/>
      <c r="J55" s="322"/>
      <c r="K55" s="327"/>
      <c r="L55" s="334"/>
      <c r="M55" s="334"/>
      <c r="N55" s="323"/>
      <c r="O55" s="326"/>
    </row>
    <row r="56" ht="12.75" customHeight="1">
      <c r="A56" s="322"/>
      <c r="B56" s="327" t="s">
        <v>946</v>
      </c>
      <c r="C56" s="335" t="str">
        <f>IF(C54="","",IF(ISBLANK(C52),"",C54/C52))</f>
        <v>#REF!</v>
      </c>
      <c r="D56" s="321"/>
      <c r="E56" s="323"/>
      <c r="F56" s="326"/>
      <c r="G56" s="326"/>
      <c r="H56" s="404"/>
      <c r="I56" s="388"/>
      <c r="J56" s="322"/>
      <c r="K56" s="327" t="s">
        <v>946</v>
      </c>
      <c r="L56" s="335" t="str">
        <f>IF(L54="","",IF(ISBLANK(L52),"",L54/L52))</f>
        <v>#REF!</v>
      </c>
      <c r="M56" s="321"/>
      <c r="N56" s="323"/>
      <c r="O56" s="326"/>
    </row>
    <row r="57" ht="12.75" customHeight="1">
      <c r="A57" s="322"/>
      <c r="B57" s="327"/>
      <c r="C57" s="334"/>
      <c r="D57" s="334"/>
      <c r="E57" s="323"/>
      <c r="F57" s="326"/>
      <c r="G57" s="326"/>
      <c r="H57" s="404"/>
      <c r="I57" s="388"/>
      <c r="J57" s="322"/>
      <c r="K57" s="327"/>
      <c r="L57" s="334"/>
      <c r="M57" s="334"/>
      <c r="N57" s="323"/>
      <c r="O57" s="326"/>
    </row>
    <row r="58" ht="12.75" customHeight="1">
      <c r="A58" s="322"/>
      <c r="B58" s="327" t="s">
        <v>950</v>
      </c>
      <c r="C58" s="333" t="str">
        <f>C52-C54</f>
        <v>#REF!</v>
      </c>
      <c r="D58" s="321"/>
      <c r="E58" s="323"/>
      <c r="F58" s="326"/>
      <c r="G58" s="326"/>
      <c r="H58" s="404"/>
      <c r="I58" s="388"/>
      <c r="J58" s="322"/>
      <c r="K58" s="327" t="s">
        <v>950</v>
      </c>
      <c r="L58" s="333" t="str">
        <f>L52-L54</f>
        <v>#REF!</v>
      </c>
      <c r="M58" s="321"/>
      <c r="N58" s="323"/>
      <c r="O58" s="326"/>
    </row>
    <row r="59" ht="12.75" customHeight="1">
      <c r="A59" s="322"/>
      <c r="B59" s="322"/>
      <c r="C59" s="322"/>
      <c r="D59" s="322"/>
      <c r="E59" s="323"/>
      <c r="F59" s="324"/>
      <c r="G59" s="324"/>
      <c r="H59" s="404"/>
      <c r="I59" s="388"/>
      <c r="J59" s="322"/>
      <c r="K59" s="322"/>
      <c r="L59" s="322"/>
      <c r="M59" s="322"/>
      <c r="N59" s="323"/>
      <c r="O59" s="324"/>
    </row>
    <row r="60" ht="12.75" customHeight="1">
      <c r="A60" s="322"/>
      <c r="B60" s="322"/>
      <c r="C60" s="322"/>
      <c r="D60" s="322"/>
      <c r="E60" s="337"/>
      <c r="F60" s="324"/>
      <c r="G60" s="324"/>
      <c r="H60" s="387"/>
      <c r="I60" s="388"/>
      <c r="J60" s="322"/>
      <c r="K60" s="322"/>
      <c r="L60" s="322"/>
      <c r="M60" s="322"/>
      <c r="N60" s="337"/>
      <c r="O60" s="324"/>
    </row>
    <row r="61" ht="12.75" customHeight="1">
      <c r="A61" s="322"/>
      <c r="B61" s="338" t="s">
        <v>951</v>
      </c>
      <c r="C61" s="339"/>
      <c r="D61" s="339"/>
      <c r="E61" s="339"/>
      <c r="F61" s="324"/>
      <c r="G61" s="324"/>
      <c r="H61" s="410"/>
      <c r="I61" s="388"/>
      <c r="J61" s="322"/>
      <c r="K61" s="338" t="s">
        <v>951</v>
      </c>
      <c r="L61" s="339"/>
      <c r="M61" s="339"/>
      <c r="N61" s="339"/>
      <c r="O61" s="324"/>
    </row>
    <row r="62" ht="12.75" customHeight="1">
      <c r="A62" s="322"/>
      <c r="B62" s="340" t="s">
        <v>953</v>
      </c>
      <c r="C62" s="341" t="s">
        <v>954</v>
      </c>
      <c r="D62" s="341" t="s">
        <v>955</v>
      </c>
      <c r="E62" s="341" t="s">
        <v>35</v>
      </c>
      <c r="F62" s="324"/>
      <c r="G62" s="324"/>
      <c r="H62" s="387"/>
      <c r="I62" s="388"/>
      <c r="J62" s="322"/>
      <c r="K62" s="340" t="s">
        <v>953</v>
      </c>
      <c r="L62" s="341" t="s">
        <v>954</v>
      </c>
      <c r="M62" s="341" t="s">
        <v>955</v>
      </c>
      <c r="N62" s="341" t="s">
        <v>35</v>
      </c>
      <c r="O62" s="324"/>
    </row>
    <row r="63" ht="12.75" customHeight="1">
      <c r="A63" s="322"/>
      <c r="B63" s="60" t="s">
        <v>703</v>
      </c>
      <c r="C63" s="342">
        <v>0.16</v>
      </c>
      <c r="D63" s="343">
        <f t="shared" ref="D63:D64" si="9">D19</f>
        <v>81000</v>
      </c>
      <c r="E63" s="67">
        <f t="shared" ref="E63:E65" si="10">IF(OR(ISBLANK(C63),ISBLANK(D63)),"",D63*C63)</f>
        <v>12960</v>
      </c>
      <c r="F63" s="427" t="str">
        <f t="shared" ref="F63:F64" si="11">E63/$C$54</f>
        <v>#REF!</v>
      </c>
      <c r="G63" s="324"/>
      <c r="H63" s="387"/>
      <c r="I63" s="388"/>
      <c r="J63" s="322"/>
      <c r="K63" s="60" t="s">
        <v>703</v>
      </c>
      <c r="L63" s="342">
        <v>0.16</v>
      </c>
      <c r="M63" s="343">
        <f>D63</f>
        <v>81000</v>
      </c>
      <c r="N63" s="67">
        <f t="shared" ref="N63:N64" si="12">IF(OR(ISBLANK(L63),ISBLANK(M63)),"",M63*L63)</f>
        <v>12960</v>
      </c>
      <c r="O63" s="324"/>
    </row>
    <row r="64" ht="12.75" customHeight="1">
      <c r="A64" s="322"/>
      <c r="B64" s="75" t="s">
        <v>1271</v>
      </c>
      <c r="C64" s="370">
        <v>1.0</v>
      </c>
      <c r="D64" s="371">
        <f t="shared" si="9"/>
        <v>5940</v>
      </c>
      <c r="E64" s="67">
        <f t="shared" si="10"/>
        <v>5940</v>
      </c>
      <c r="F64" s="427" t="str">
        <f t="shared" si="11"/>
        <v>#REF!</v>
      </c>
      <c r="G64" s="324"/>
      <c r="H64" s="387"/>
      <c r="I64" s="388"/>
      <c r="J64" s="322"/>
      <c r="K64" s="87" t="s">
        <v>1280</v>
      </c>
      <c r="L64" s="412">
        <v>1.0</v>
      </c>
      <c r="M64" s="408">
        <f>M20</f>
        <v>11925</v>
      </c>
      <c r="N64" s="89">
        <f t="shared" si="12"/>
        <v>11925</v>
      </c>
      <c r="O64" s="324"/>
    </row>
    <row r="65" ht="12.75" customHeight="1">
      <c r="A65" s="322"/>
      <c r="B65" s="354"/>
      <c r="C65" s="355"/>
      <c r="D65" s="356"/>
      <c r="E65" s="357" t="str">
        <f t="shared" si="10"/>
        <v/>
      </c>
      <c r="F65" s="324"/>
      <c r="G65" s="324"/>
      <c r="H65" s="387"/>
      <c r="I65" s="388"/>
      <c r="J65" s="322"/>
      <c r="K65" s="87"/>
      <c r="L65" s="412"/>
      <c r="M65" s="408"/>
      <c r="N65" s="89"/>
      <c r="O65" s="324"/>
    </row>
    <row r="66" ht="12.75" customHeight="1">
      <c r="A66" s="322"/>
      <c r="B66" s="338" t="s">
        <v>84</v>
      </c>
      <c r="C66" s="358"/>
      <c r="D66" s="358"/>
      <c r="E66" s="359">
        <f>IF(SUM(E63:E65)=0,"",SUM(E63:E65))</f>
        <v>18900</v>
      </c>
      <c r="F66" s="324"/>
      <c r="G66" s="324"/>
      <c r="H66" s="387"/>
      <c r="I66" s="388"/>
      <c r="J66" s="322"/>
      <c r="K66" s="338" t="s">
        <v>84</v>
      </c>
      <c r="L66" s="358"/>
      <c r="M66" s="358"/>
      <c r="N66" s="359">
        <f>IF(SUM(N63:N65)=0,"",SUM(N63:N65))</f>
        <v>24885</v>
      </c>
      <c r="O66" s="324"/>
    </row>
    <row r="67" ht="12.75" customHeight="1">
      <c r="A67" s="322"/>
      <c r="B67" s="360"/>
      <c r="C67" s="360"/>
      <c r="D67" s="360"/>
      <c r="E67" s="361"/>
      <c r="F67" s="324"/>
      <c r="G67" s="324"/>
      <c r="H67" s="387"/>
      <c r="I67" s="388"/>
      <c r="J67" s="322"/>
      <c r="K67" s="360"/>
      <c r="L67" s="360"/>
      <c r="M67" s="360"/>
      <c r="N67" s="361"/>
      <c r="O67" s="324"/>
    </row>
    <row r="68" ht="12.75" customHeight="1">
      <c r="A68" s="322"/>
      <c r="B68" s="362" t="s">
        <v>972</v>
      </c>
      <c r="C68" s="363"/>
      <c r="D68" s="363"/>
      <c r="E68" s="363"/>
      <c r="F68" s="324"/>
      <c r="G68" s="324"/>
      <c r="H68" s="387"/>
      <c r="I68" s="388"/>
      <c r="J68" s="322"/>
      <c r="K68" s="362" t="s">
        <v>972</v>
      </c>
      <c r="L68" s="363"/>
      <c r="M68" s="363"/>
      <c r="N68" s="363"/>
      <c r="O68" s="324"/>
    </row>
    <row r="69" ht="12.75" customHeight="1">
      <c r="A69" s="322"/>
      <c r="B69" s="365" t="s">
        <v>953</v>
      </c>
      <c r="C69" s="366" t="s">
        <v>3</v>
      </c>
      <c r="D69" s="366" t="s">
        <v>975</v>
      </c>
      <c r="E69" s="367" t="s">
        <v>35</v>
      </c>
      <c r="F69" s="324"/>
      <c r="G69" s="324"/>
      <c r="H69" s="387"/>
      <c r="I69" s="388"/>
      <c r="J69" s="322"/>
      <c r="K69" s="365" t="s">
        <v>953</v>
      </c>
      <c r="L69" s="366" t="s">
        <v>3</v>
      </c>
      <c r="M69" s="366" t="s">
        <v>975</v>
      </c>
      <c r="N69" s="367" t="s">
        <v>35</v>
      </c>
      <c r="O69" s="324"/>
    </row>
    <row r="70" ht="12.75" customHeight="1">
      <c r="A70" s="322"/>
      <c r="B70" s="368"/>
      <c r="C70" s="366"/>
      <c r="D70" s="366"/>
      <c r="E70" s="368"/>
      <c r="F70" s="324"/>
      <c r="G70" s="324"/>
      <c r="H70" s="387"/>
      <c r="I70" s="388"/>
      <c r="J70" s="322"/>
      <c r="K70" s="368"/>
      <c r="L70" s="366"/>
      <c r="M70" s="366"/>
      <c r="N70" s="368"/>
      <c r="O70" s="324"/>
    </row>
    <row r="71" ht="12.75" customHeight="1">
      <c r="A71" s="322"/>
      <c r="B71" s="60" t="s">
        <v>1048</v>
      </c>
      <c r="C71" s="342">
        <v>0.05</v>
      </c>
      <c r="D71" s="343">
        <f>'F&amp;B'!$F$246/3.79</f>
        <v>56160.94987</v>
      </c>
      <c r="E71" s="67">
        <f t="shared" ref="E71:E80" si="13">D71*C71</f>
        <v>2808.047493</v>
      </c>
      <c r="F71" s="427" t="str">
        <f t="shared" ref="F71:F77" si="14">E71/$C$54</f>
        <v>#REF!</v>
      </c>
      <c r="G71" s="324"/>
      <c r="H71" s="387"/>
      <c r="I71" s="388"/>
      <c r="J71" s="322"/>
      <c r="K71" s="60" t="s">
        <v>1121</v>
      </c>
      <c r="L71" s="342">
        <v>0.06</v>
      </c>
      <c r="M71" s="343">
        <f>'F&amp;B'!$F$85</f>
        <v>129150</v>
      </c>
      <c r="N71" s="67">
        <f t="shared" ref="N71:N75" si="15">M71*L71</f>
        <v>7749</v>
      </c>
      <c r="O71" s="324"/>
    </row>
    <row r="72" ht="12.75" customHeight="1">
      <c r="A72" s="322"/>
      <c r="B72" s="75" t="s">
        <v>1046</v>
      </c>
      <c r="C72" s="370">
        <v>0.04</v>
      </c>
      <c r="D72" s="371">
        <f>'F&amp;B'!$F$80</f>
        <v>103500</v>
      </c>
      <c r="E72" s="67">
        <f t="shared" si="13"/>
        <v>4140</v>
      </c>
      <c r="F72" s="427" t="str">
        <f t="shared" si="14"/>
        <v>#REF!</v>
      </c>
      <c r="G72" s="324"/>
      <c r="H72" s="387"/>
      <c r="I72" s="388"/>
      <c r="J72" s="322"/>
      <c r="K72" s="75" t="s">
        <v>1222</v>
      </c>
      <c r="L72" s="370">
        <v>0.04</v>
      </c>
      <c r="M72" s="371">
        <f>'F&amp;B'!$F$223</f>
        <v>142920</v>
      </c>
      <c r="N72" s="67">
        <f t="shared" si="15"/>
        <v>5716.8</v>
      </c>
      <c r="O72" s="324"/>
    </row>
    <row r="73" ht="12.75" customHeight="1">
      <c r="A73" s="322"/>
      <c r="B73" s="75" t="s">
        <v>1283</v>
      </c>
      <c r="C73" s="370">
        <v>0.03</v>
      </c>
      <c r="D73" s="463">
        <f>D29</f>
        <v>8100</v>
      </c>
      <c r="E73" s="67">
        <f t="shared" si="13"/>
        <v>243</v>
      </c>
      <c r="F73" s="427" t="str">
        <f t="shared" si="14"/>
        <v>#REF!</v>
      </c>
      <c r="G73" s="324"/>
      <c r="H73" s="387"/>
      <c r="I73" s="388"/>
      <c r="J73" s="322"/>
      <c r="K73" s="75" t="s">
        <v>1041</v>
      </c>
      <c r="L73" s="370">
        <v>1.0</v>
      </c>
      <c r="M73" s="371">
        <f>SAUCES!$D$133</f>
        <v>2010.930109</v>
      </c>
      <c r="N73" s="67">
        <f t="shared" si="15"/>
        <v>2010.930109</v>
      </c>
      <c r="O73" s="324"/>
    </row>
    <row r="74" ht="12.75" customHeight="1">
      <c r="A74" s="322"/>
      <c r="B74" s="75" t="s">
        <v>214</v>
      </c>
      <c r="C74" s="346">
        <v>0.05</v>
      </c>
      <c r="D74" s="371">
        <f>'F&amp;B'!$F$290</f>
        <v>6300</v>
      </c>
      <c r="E74" s="67">
        <f t="shared" si="13"/>
        <v>315</v>
      </c>
      <c r="F74" s="427" t="str">
        <f t="shared" si="14"/>
        <v>#REF!</v>
      </c>
      <c r="G74" s="324"/>
      <c r="H74" s="387"/>
      <c r="I74" s="388"/>
      <c r="J74" s="322"/>
      <c r="K74" s="75" t="s">
        <v>205</v>
      </c>
      <c r="L74" s="346"/>
      <c r="M74" s="371">
        <f>D30</f>
        <v>923.2488</v>
      </c>
      <c r="N74" s="67">
        <f t="shared" si="15"/>
        <v>0</v>
      </c>
      <c r="O74" s="324"/>
    </row>
    <row r="75" ht="12.75" customHeight="1">
      <c r="A75" s="322"/>
      <c r="B75" s="75" t="s">
        <v>155</v>
      </c>
      <c r="C75" s="346">
        <v>1.0</v>
      </c>
      <c r="D75" s="371">
        <f>D32</f>
        <v>994.5</v>
      </c>
      <c r="E75" s="67">
        <f t="shared" si="13"/>
        <v>994.5</v>
      </c>
      <c r="F75" s="427" t="str">
        <f t="shared" si="14"/>
        <v>#REF!</v>
      </c>
      <c r="G75" s="324"/>
      <c r="H75" s="387"/>
      <c r="I75" s="388"/>
      <c r="J75" s="322"/>
      <c r="K75" s="75" t="s">
        <v>1000</v>
      </c>
      <c r="L75" s="346"/>
      <c r="M75" s="371">
        <f>D29</f>
        <v>8100</v>
      </c>
      <c r="N75" s="67">
        <f t="shared" si="15"/>
        <v>0</v>
      </c>
      <c r="O75" s="324"/>
    </row>
    <row r="76" ht="12.75" customHeight="1">
      <c r="A76" s="322"/>
      <c r="B76" s="75" t="s">
        <v>205</v>
      </c>
      <c r="C76" s="346">
        <v>1.0</v>
      </c>
      <c r="D76" s="371">
        <f>D30</f>
        <v>923.2488</v>
      </c>
      <c r="E76" s="67">
        <f t="shared" si="13"/>
        <v>923.2488</v>
      </c>
      <c r="F76" s="427" t="str">
        <f t="shared" si="14"/>
        <v>#REF!</v>
      </c>
      <c r="G76" s="324"/>
      <c r="H76" s="387"/>
      <c r="I76" s="388"/>
      <c r="J76" s="322"/>
      <c r="K76" s="75"/>
      <c r="L76" s="370"/>
      <c r="M76" s="371"/>
      <c r="N76" s="67"/>
      <c r="O76" s="324"/>
    </row>
    <row r="77" ht="12.75" customHeight="1">
      <c r="A77" s="322"/>
      <c r="B77" s="75" t="s">
        <v>934</v>
      </c>
      <c r="C77" s="342">
        <v>0.2</v>
      </c>
      <c r="D77" s="343">
        <f>'F&amp;B'!$F$68/10</f>
        <v>19665</v>
      </c>
      <c r="E77" s="67">
        <f t="shared" si="13"/>
        <v>3933</v>
      </c>
      <c r="F77" s="427" t="str">
        <f t="shared" si="14"/>
        <v>#REF!</v>
      </c>
      <c r="G77" s="324"/>
      <c r="H77" s="387"/>
      <c r="I77" s="388"/>
      <c r="J77" s="322"/>
      <c r="K77" s="75" t="s">
        <v>155</v>
      </c>
      <c r="L77" s="346"/>
      <c r="M77" s="371">
        <f>D75</f>
        <v>994.5</v>
      </c>
      <c r="N77" s="67">
        <f t="shared" ref="N77:N80" si="16">M77*L77</f>
        <v>0</v>
      </c>
      <c r="O77" s="324"/>
    </row>
    <row r="78" ht="12.75" customHeight="1">
      <c r="A78" s="322"/>
      <c r="B78" s="348"/>
      <c r="C78" s="346"/>
      <c r="D78" s="373"/>
      <c r="E78" s="67">
        <f t="shared" si="13"/>
        <v>0</v>
      </c>
      <c r="F78" s="324"/>
      <c r="G78" s="324"/>
      <c r="H78" s="387"/>
      <c r="I78" s="388"/>
      <c r="J78" s="322"/>
      <c r="K78" s="75" t="s">
        <v>934</v>
      </c>
      <c r="L78" s="342">
        <v>0.2</v>
      </c>
      <c r="M78" s="343">
        <f>'F&amp;B'!$F$68/10</f>
        <v>19665</v>
      </c>
      <c r="N78" s="67">
        <f t="shared" si="16"/>
        <v>3933</v>
      </c>
      <c r="O78" s="324"/>
    </row>
    <row r="79" ht="12.75" customHeight="1">
      <c r="A79" s="322"/>
      <c r="B79" s="348"/>
      <c r="C79" s="346"/>
      <c r="D79" s="373"/>
      <c r="E79" s="67">
        <f t="shared" si="13"/>
        <v>0</v>
      </c>
      <c r="F79" s="324"/>
      <c r="G79" s="324"/>
      <c r="H79" s="387"/>
      <c r="I79" s="388"/>
      <c r="J79" s="322"/>
      <c r="K79" s="75" t="s">
        <v>173</v>
      </c>
      <c r="L79" s="370">
        <v>0.065</v>
      </c>
      <c r="M79" s="475">
        <f>'F&amp;B'!$F$279</f>
        <v>7200</v>
      </c>
      <c r="N79" s="67">
        <f t="shared" si="16"/>
        <v>468</v>
      </c>
      <c r="O79" s="324"/>
    </row>
    <row r="80" ht="12.75" customHeight="1">
      <c r="A80" s="322"/>
      <c r="B80" s="354"/>
      <c r="C80" s="355"/>
      <c r="D80" s="356"/>
      <c r="E80" s="67">
        <f t="shared" si="13"/>
        <v>0</v>
      </c>
      <c r="F80" s="324"/>
      <c r="G80" s="324"/>
      <c r="H80" s="387"/>
      <c r="I80" s="388"/>
      <c r="J80" s="322"/>
      <c r="K80" s="354"/>
      <c r="L80" s="355"/>
      <c r="M80" s="356"/>
      <c r="N80" s="67">
        <f t="shared" si="16"/>
        <v>0</v>
      </c>
      <c r="O80" s="324"/>
    </row>
    <row r="81" ht="12.75" customHeight="1">
      <c r="A81" s="322"/>
      <c r="B81" s="362" t="s">
        <v>84</v>
      </c>
      <c r="C81" s="374"/>
      <c r="D81" s="374"/>
      <c r="E81" s="375">
        <f>IF(SUM(E71:E80)=0,"",SUM(E71:E80))</f>
        <v>13356.79629</v>
      </c>
      <c r="F81" s="324"/>
      <c r="G81" s="324"/>
      <c r="H81" s="387"/>
      <c r="I81" s="388"/>
      <c r="J81" s="322"/>
      <c r="K81" s="362" t="s">
        <v>84</v>
      </c>
      <c r="L81" s="374"/>
      <c r="M81" s="374"/>
      <c r="N81" s="375">
        <f>IF(SUM(N71:N80)=0,"",SUM(N71:N80))</f>
        <v>19877.73011</v>
      </c>
      <c r="O81" s="324"/>
    </row>
    <row r="82" ht="12.75" customHeight="1">
      <c r="A82" s="322"/>
      <c r="B82" s="360"/>
      <c r="C82" s="360"/>
      <c r="D82" s="360"/>
      <c r="E82" s="361"/>
      <c r="F82" s="324"/>
      <c r="G82" s="324"/>
      <c r="H82" s="387"/>
      <c r="I82" s="388"/>
      <c r="J82" s="322"/>
      <c r="K82" s="360"/>
      <c r="L82" s="360"/>
      <c r="M82" s="360"/>
      <c r="N82" s="361"/>
      <c r="O82" s="324"/>
    </row>
    <row r="83" ht="12.75" customHeight="1">
      <c r="A83" s="322"/>
      <c r="B83" s="34" t="s">
        <v>17</v>
      </c>
      <c r="C83" s="35"/>
      <c r="D83" s="35"/>
      <c r="E83" s="35"/>
      <c r="F83" s="324"/>
      <c r="G83" s="324"/>
      <c r="H83" s="387"/>
      <c r="I83" s="388"/>
      <c r="J83" s="322"/>
      <c r="K83" s="34" t="s">
        <v>17</v>
      </c>
      <c r="L83" s="35"/>
      <c r="M83" s="35"/>
      <c r="N83" s="35"/>
      <c r="O83" s="324"/>
    </row>
    <row r="84" ht="12.75" customHeight="1">
      <c r="A84" s="322"/>
      <c r="B84" s="52" t="s">
        <v>42</v>
      </c>
      <c r="C84" s="54"/>
      <c r="D84" s="54"/>
      <c r="E84" s="56" t="s">
        <v>35</v>
      </c>
      <c r="F84" s="324"/>
      <c r="G84" s="324"/>
      <c r="H84" s="387"/>
      <c r="I84" s="388"/>
      <c r="J84" s="322"/>
      <c r="K84" s="52" t="s">
        <v>42</v>
      </c>
      <c r="L84" s="54"/>
      <c r="M84" s="54"/>
      <c r="N84" s="56" t="s">
        <v>35</v>
      </c>
      <c r="O84" s="324"/>
    </row>
    <row r="85" ht="12.75" customHeight="1">
      <c r="A85" s="322"/>
      <c r="B85" s="60" t="s">
        <v>1284</v>
      </c>
      <c r="C85" s="343">
        <f>'UTL COST'!$B$3</f>
        <v>369000</v>
      </c>
      <c r="D85" s="379">
        <f>'UTL COST'!$C$3</f>
        <v>0.0075</v>
      </c>
      <c r="E85" s="67">
        <f>N85</f>
        <v>2767.5</v>
      </c>
      <c r="F85" s="324"/>
      <c r="G85" s="324"/>
      <c r="H85" s="387"/>
      <c r="I85" s="388"/>
      <c r="J85" s="322"/>
      <c r="K85" s="60" t="s">
        <v>1284</v>
      </c>
      <c r="L85" s="343">
        <f>'UTL COST'!$B$3</f>
        <v>369000</v>
      </c>
      <c r="M85" s="379">
        <f>'UTL COST'!$C$3</f>
        <v>0.0075</v>
      </c>
      <c r="N85" s="67">
        <f>N41</f>
        <v>2767.5</v>
      </c>
      <c r="O85" s="324"/>
    </row>
    <row r="86" ht="12.75" customHeight="1">
      <c r="A86" s="322"/>
      <c r="B86" s="75" t="s">
        <v>51</v>
      </c>
      <c r="C86" s="371" t="str">
        <f>'UTL COST'!$B$4</f>
        <v>#REF!</v>
      </c>
      <c r="D86" s="382">
        <f>'UTL COST'!$C$4</f>
        <v>7000</v>
      </c>
      <c r="E86" s="76" t="str">
        <f>'UTL COST'!$D$4</f>
        <v>#REF!</v>
      </c>
      <c r="F86" s="324"/>
      <c r="G86" s="324"/>
      <c r="H86" s="387"/>
      <c r="I86" s="388"/>
      <c r="J86" s="322"/>
      <c r="K86" s="75" t="s">
        <v>51</v>
      </c>
      <c r="L86" s="371" t="str">
        <f>'UTL COST'!$B$4</f>
        <v>#REF!</v>
      </c>
      <c r="M86" s="382">
        <f>'UTL COST'!$C$4</f>
        <v>7000</v>
      </c>
      <c r="N86" s="76" t="str">
        <f>'UTL COST'!$D$4</f>
        <v>#REF!</v>
      </c>
      <c r="O86" s="324"/>
    </row>
    <row r="87" ht="12.75" customHeight="1">
      <c r="A87" s="322"/>
      <c r="B87" s="75" t="s">
        <v>59</v>
      </c>
      <c r="C87" s="371" t="str">
        <f>'UTL COST'!$B$5</f>
        <v>#REF!</v>
      </c>
      <c r="D87" s="382">
        <f>'UTL COST'!$C$5</f>
        <v>45000</v>
      </c>
      <c r="E87" s="76" t="str">
        <f>'UTL COST'!$D$5</f>
        <v>#REF!</v>
      </c>
      <c r="F87" s="324"/>
      <c r="G87" s="324"/>
      <c r="H87" s="387"/>
      <c r="I87" s="388"/>
      <c r="J87" s="322"/>
      <c r="K87" s="75" t="s">
        <v>59</v>
      </c>
      <c r="L87" s="371" t="str">
        <f>'UTL COST'!$B$5</f>
        <v>#REF!</v>
      </c>
      <c r="M87" s="382">
        <f>'UTL COST'!$C$5</f>
        <v>45000</v>
      </c>
      <c r="N87" s="76" t="str">
        <f>'UTL COST'!$D$5</f>
        <v>#REF!</v>
      </c>
      <c r="O87" s="324"/>
    </row>
    <row r="88" ht="12.75" customHeight="1">
      <c r="A88" s="322"/>
      <c r="B88" s="87" t="s">
        <v>78</v>
      </c>
      <c r="C88" s="371" t="str">
        <f>'UTL COST'!$B$6</f>
        <v>#REF!</v>
      </c>
      <c r="D88" s="383">
        <f>'UTL COST'!$C$6</f>
        <v>525</v>
      </c>
      <c r="E88" s="89">
        <v>0.1</v>
      </c>
      <c r="F88" s="324"/>
      <c r="G88" s="324"/>
      <c r="H88" s="387"/>
      <c r="I88" s="388"/>
      <c r="J88" s="322"/>
      <c r="K88" s="87" t="s">
        <v>78</v>
      </c>
      <c r="L88" s="371" t="str">
        <f>'UTL COST'!$B$6</f>
        <v>#REF!</v>
      </c>
      <c r="M88" s="383">
        <f>'UTL COST'!$C$6</f>
        <v>525</v>
      </c>
      <c r="N88" s="89">
        <v>0.1</v>
      </c>
      <c r="O88" s="324"/>
    </row>
    <row r="89" ht="12.75" customHeight="1">
      <c r="A89" s="322"/>
      <c r="B89" s="34" t="s">
        <v>84</v>
      </c>
      <c r="C89" s="102"/>
      <c r="D89" s="102"/>
      <c r="E89" s="104" t="str">
        <f>IF(SUM(E85:E88)=0,"",SUM(E85:E88))</f>
        <v>#REF!</v>
      </c>
      <c r="F89" s="427" t="str">
        <f>E89/$C$54</f>
        <v>#REF!</v>
      </c>
      <c r="G89" s="324"/>
      <c r="H89" s="387"/>
      <c r="I89" s="388"/>
      <c r="J89" s="322"/>
      <c r="K89" s="34" t="s">
        <v>84</v>
      </c>
      <c r="L89" s="102"/>
      <c r="M89" s="102"/>
      <c r="N89" s="104" t="str">
        <f>IF(SUM(N85:N88)=0,"",SUM(N85:N88))</f>
        <v>#REF!</v>
      </c>
      <c r="O89" s="324"/>
    </row>
    <row r="90" ht="12.75" customHeight="1">
      <c r="A90" s="322"/>
      <c r="B90" s="360"/>
      <c r="C90" s="360"/>
      <c r="D90" s="360"/>
      <c r="E90" s="361"/>
      <c r="F90" s="324"/>
      <c r="G90" s="324"/>
      <c r="H90" s="387"/>
      <c r="I90" s="388"/>
      <c r="J90" s="322"/>
      <c r="K90" s="360"/>
      <c r="L90" s="360"/>
      <c r="M90" s="360"/>
      <c r="N90" s="361"/>
      <c r="O90" s="324"/>
    </row>
    <row r="91" ht="12.75" customHeight="1">
      <c r="A91" s="388"/>
      <c r="B91" s="432"/>
      <c r="C91" s="432"/>
      <c r="D91" s="432"/>
      <c r="E91" s="433"/>
      <c r="F91" s="387"/>
      <c r="G91" s="387"/>
      <c r="H91" s="387"/>
      <c r="I91" s="388"/>
      <c r="J91" s="388"/>
      <c r="K91" s="432"/>
      <c r="L91" s="432"/>
      <c r="M91" s="432"/>
      <c r="N91" s="433"/>
      <c r="O91" s="387"/>
    </row>
    <row r="92" ht="12.75" customHeight="1">
      <c r="A92" s="387"/>
      <c r="B92" s="387"/>
      <c r="C92" s="387"/>
      <c r="D92" s="387"/>
      <c r="E92" s="418"/>
      <c r="F92" s="387"/>
      <c r="G92" s="387"/>
      <c r="H92" s="387"/>
      <c r="I92" s="387"/>
      <c r="J92" s="387"/>
      <c r="K92" s="387"/>
      <c r="L92" s="387"/>
      <c r="M92" s="387"/>
      <c r="N92" s="387"/>
      <c r="O92" s="387"/>
    </row>
    <row r="93" ht="12.75" customHeight="1">
      <c r="A93" s="322"/>
      <c r="B93" s="322"/>
      <c r="C93" s="322"/>
      <c r="D93" s="322"/>
      <c r="E93" s="323"/>
      <c r="F93" s="324"/>
      <c r="G93" s="324"/>
      <c r="H93" s="387"/>
      <c r="I93" s="388"/>
      <c r="J93" s="322"/>
      <c r="K93" s="322"/>
      <c r="L93" s="322"/>
      <c r="M93" s="322"/>
      <c r="N93" s="323"/>
      <c r="O93" s="324"/>
    </row>
    <row r="94" ht="12.75" customHeight="1">
      <c r="A94" s="322"/>
      <c r="B94" s="325"/>
      <c r="C94" s="322"/>
      <c r="D94" s="322"/>
      <c r="E94" s="323"/>
      <c r="F94" s="326"/>
      <c r="G94" s="326"/>
      <c r="H94" s="404"/>
      <c r="I94" s="388"/>
      <c r="J94" s="322"/>
      <c r="K94" s="325"/>
      <c r="L94" s="322"/>
      <c r="M94" s="322"/>
      <c r="N94" s="323"/>
      <c r="O94" s="326"/>
    </row>
    <row r="95" ht="12.75" customHeight="1">
      <c r="A95" s="322"/>
      <c r="B95" s="327" t="s">
        <v>931</v>
      </c>
      <c r="C95" s="328" t="s">
        <v>1287</v>
      </c>
      <c r="D95" s="329"/>
      <c r="E95" s="323"/>
      <c r="F95" s="326"/>
      <c r="G95" s="326"/>
      <c r="H95" s="404"/>
      <c r="I95" s="388"/>
      <c r="J95" s="322"/>
      <c r="K95" s="327" t="s">
        <v>931</v>
      </c>
      <c r="L95" s="328" t="s">
        <v>146</v>
      </c>
      <c r="M95" s="329"/>
      <c r="N95" s="323"/>
      <c r="O95" s="326"/>
    </row>
    <row r="96" ht="12.75" customHeight="1">
      <c r="A96" s="322"/>
      <c r="B96" s="325"/>
      <c r="C96" s="322"/>
      <c r="D96" s="322"/>
      <c r="E96" s="323"/>
      <c r="F96" s="326"/>
      <c r="G96" s="326"/>
      <c r="H96" s="404"/>
      <c r="I96" s="388"/>
      <c r="J96" s="322"/>
      <c r="K96" s="325"/>
      <c r="L96" s="322"/>
      <c r="M96" s="322"/>
      <c r="N96" s="323"/>
      <c r="O96" s="326"/>
    </row>
    <row r="97" ht="12.75" customHeight="1">
      <c r="A97" s="322"/>
      <c r="B97" s="327" t="s">
        <v>935</v>
      </c>
      <c r="C97" s="331">
        <v>105000.0</v>
      </c>
      <c r="D97" s="329"/>
      <c r="E97" s="323"/>
      <c r="F97" s="326"/>
      <c r="G97" s="326"/>
      <c r="H97" s="404"/>
      <c r="I97" s="388"/>
      <c r="J97" s="322"/>
      <c r="K97" s="327" t="s">
        <v>935</v>
      </c>
      <c r="L97" s="331">
        <v>178000.0</v>
      </c>
      <c r="M97" s="329"/>
      <c r="N97" s="323"/>
      <c r="O97" s="326"/>
    </row>
    <row r="98" ht="12.75" customHeight="1">
      <c r="A98" s="322"/>
      <c r="B98" s="327"/>
      <c r="C98" s="332"/>
      <c r="D98" s="332"/>
      <c r="E98" s="323"/>
      <c r="F98" s="326"/>
      <c r="G98" s="326"/>
      <c r="H98" s="404"/>
      <c r="I98" s="388"/>
      <c r="J98" s="322"/>
      <c r="K98" s="327"/>
      <c r="L98" s="332"/>
      <c r="M98" s="332"/>
      <c r="N98" s="323"/>
      <c r="O98" s="326"/>
    </row>
    <row r="99" ht="12.75" customHeight="1">
      <c r="A99" s="322"/>
      <c r="B99" s="327" t="s">
        <v>939</v>
      </c>
      <c r="C99" s="333" t="str">
        <f>IF(SUM(E111,E126,E134)=0,"",SUM(E111,E126,E134))</f>
        <v>#REF!</v>
      </c>
      <c r="D99" s="321"/>
      <c r="E99" s="323"/>
      <c r="F99" s="326"/>
      <c r="G99" s="326"/>
      <c r="H99" s="404"/>
      <c r="I99" s="388"/>
      <c r="J99" s="322"/>
      <c r="K99" s="327" t="s">
        <v>939</v>
      </c>
      <c r="L99" s="333" t="str">
        <f>IF(SUM(N111,N126,N134)=0,"",SUM(N111,N126,N134))</f>
        <v>#REF!</v>
      </c>
      <c r="M99" s="321"/>
      <c r="N99" s="323"/>
      <c r="O99" s="326"/>
    </row>
    <row r="100" ht="12.75" customHeight="1">
      <c r="A100" s="322"/>
      <c r="B100" s="327"/>
      <c r="C100" s="334"/>
      <c r="D100" s="334"/>
      <c r="E100" s="323"/>
      <c r="F100" s="326"/>
      <c r="G100" s="326"/>
      <c r="H100" s="404"/>
      <c r="I100" s="388"/>
      <c r="J100" s="322"/>
      <c r="K100" s="327"/>
      <c r="L100" s="334"/>
      <c r="M100" s="334"/>
      <c r="N100" s="323"/>
      <c r="O100" s="326"/>
    </row>
    <row r="101" ht="12.75" customHeight="1">
      <c r="A101" s="322"/>
      <c r="B101" s="327" t="s">
        <v>946</v>
      </c>
      <c r="C101" s="335" t="str">
        <f>IF(C99="","",IF(ISBLANK(C97),"",C99/C97))</f>
        <v>#REF!</v>
      </c>
      <c r="D101" s="321"/>
      <c r="E101" s="323"/>
      <c r="F101" s="326"/>
      <c r="G101" s="326"/>
      <c r="H101" s="404"/>
      <c r="I101" s="388"/>
      <c r="J101" s="322"/>
      <c r="K101" s="327" t="s">
        <v>946</v>
      </c>
      <c r="L101" s="335" t="str">
        <f>IF(L99="","",IF(ISBLANK(L97),"",L99/L97))</f>
        <v>#REF!</v>
      </c>
      <c r="M101" s="321"/>
      <c r="N101" s="323"/>
      <c r="O101" s="326"/>
    </row>
    <row r="102" ht="12.75" customHeight="1">
      <c r="A102" s="322"/>
      <c r="B102" s="327"/>
      <c r="C102" s="334"/>
      <c r="D102" s="334"/>
      <c r="E102" s="323"/>
      <c r="F102" s="326"/>
      <c r="G102" s="326"/>
      <c r="H102" s="404"/>
      <c r="I102" s="388"/>
      <c r="J102" s="322"/>
      <c r="K102" s="327"/>
      <c r="L102" s="334"/>
      <c r="M102" s="334"/>
      <c r="N102" s="323"/>
      <c r="O102" s="326"/>
    </row>
    <row r="103" ht="12.75" customHeight="1">
      <c r="A103" s="322"/>
      <c r="B103" s="327" t="s">
        <v>950</v>
      </c>
      <c r="C103" s="333" t="str">
        <f>C97-C99</f>
        <v>#REF!</v>
      </c>
      <c r="D103" s="321"/>
      <c r="E103" s="323"/>
      <c r="F103" s="326"/>
      <c r="G103" s="326"/>
      <c r="H103" s="404"/>
      <c r="I103" s="388"/>
      <c r="J103" s="322"/>
      <c r="K103" s="327" t="s">
        <v>950</v>
      </c>
      <c r="L103" s="333" t="str">
        <f>L97-L99</f>
        <v>#REF!</v>
      </c>
      <c r="M103" s="321"/>
      <c r="N103" s="323"/>
      <c r="O103" s="326"/>
    </row>
    <row r="104" ht="12.75" customHeight="1">
      <c r="A104" s="322"/>
      <c r="B104" s="322"/>
      <c r="C104" s="322"/>
      <c r="D104" s="322"/>
      <c r="E104" s="323"/>
      <c r="F104" s="324"/>
      <c r="G104" s="324"/>
      <c r="H104" s="404"/>
      <c r="I104" s="388"/>
      <c r="J104" s="322"/>
      <c r="K104" s="322"/>
      <c r="L104" s="322"/>
      <c r="M104" s="322"/>
      <c r="N104" s="323"/>
      <c r="O104" s="324"/>
    </row>
    <row r="105" ht="12.75" customHeight="1">
      <c r="A105" s="322"/>
      <c r="B105" s="322"/>
      <c r="C105" s="322"/>
      <c r="D105" s="322"/>
      <c r="E105" s="337"/>
      <c r="F105" s="324"/>
      <c r="G105" s="324"/>
      <c r="H105" s="387"/>
      <c r="I105" s="388"/>
      <c r="J105" s="322"/>
      <c r="K105" s="322"/>
      <c r="L105" s="322"/>
      <c r="M105" s="322"/>
      <c r="N105" s="337"/>
      <c r="O105" s="324"/>
    </row>
    <row r="106" ht="12.75" customHeight="1">
      <c r="A106" s="322"/>
      <c r="B106" s="338" t="s">
        <v>951</v>
      </c>
      <c r="C106" s="339"/>
      <c r="D106" s="339"/>
      <c r="E106" s="339"/>
      <c r="F106" s="324"/>
      <c r="G106" s="324"/>
      <c r="H106" s="410"/>
      <c r="I106" s="388"/>
      <c r="J106" s="322"/>
      <c r="K106" s="338" t="s">
        <v>951</v>
      </c>
      <c r="L106" s="339"/>
      <c r="M106" s="339"/>
      <c r="N106" s="339"/>
      <c r="O106" s="324"/>
    </row>
    <row r="107" ht="12.75" customHeight="1">
      <c r="A107" s="322"/>
      <c r="B107" s="340" t="s">
        <v>953</v>
      </c>
      <c r="C107" s="341" t="s">
        <v>954</v>
      </c>
      <c r="D107" s="341" t="s">
        <v>955</v>
      </c>
      <c r="E107" s="341" t="s">
        <v>35</v>
      </c>
      <c r="F107" s="324"/>
      <c r="G107" s="324"/>
      <c r="H107" s="387"/>
      <c r="I107" s="388"/>
      <c r="J107" s="322"/>
      <c r="K107" s="340" t="s">
        <v>953</v>
      </c>
      <c r="L107" s="341" t="s">
        <v>954</v>
      </c>
      <c r="M107" s="341" t="s">
        <v>955</v>
      </c>
      <c r="N107" s="341" t="s">
        <v>35</v>
      </c>
      <c r="O107" s="324"/>
    </row>
    <row r="108" ht="12.75" customHeight="1">
      <c r="A108" s="322"/>
      <c r="B108" s="60" t="s">
        <v>703</v>
      </c>
      <c r="C108" s="342">
        <v>0.15</v>
      </c>
      <c r="D108" s="343">
        <f>D19</f>
        <v>81000</v>
      </c>
      <c r="E108" s="67">
        <f t="shared" ref="E108:E109" si="17">IF(OR(ISBLANK(C108),ISBLANK(D108)),"",D108*C108)</f>
        <v>12150</v>
      </c>
      <c r="F108" s="324"/>
      <c r="G108" s="324"/>
      <c r="H108" s="387"/>
      <c r="I108" s="388"/>
      <c r="J108" s="322"/>
      <c r="K108" s="60" t="s">
        <v>703</v>
      </c>
      <c r="L108" s="342">
        <v>0.16</v>
      </c>
      <c r="M108" s="343">
        <f>D108</f>
        <v>81000</v>
      </c>
      <c r="N108" s="67">
        <f t="shared" ref="N108:N110" si="18">IF(OR(ISBLANK(L108),ISBLANK(M108)),"",M108*L108)</f>
        <v>12960</v>
      </c>
      <c r="O108" s="324"/>
    </row>
    <row r="109" ht="12.75" customHeight="1">
      <c r="A109" s="322"/>
      <c r="B109" s="75" t="s">
        <v>1062</v>
      </c>
      <c r="C109" s="370">
        <v>1.0</v>
      </c>
      <c r="D109" s="371">
        <f>'F&amp;B'!F4/7</f>
        <v>1247.142857</v>
      </c>
      <c r="E109" s="67">
        <f t="shared" si="17"/>
        <v>1247.142857</v>
      </c>
      <c r="F109" s="324"/>
      <c r="G109" s="324"/>
      <c r="H109" s="387"/>
      <c r="I109" s="388"/>
      <c r="J109" s="322"/>
      <c r="K109" s="75" t="s">
        <v>1037</v>
      </c>
      <c r="L109" s="370">
        <v>1.0</v>
      </c>
      <c r="M109" s="371">
        <f>'F&amp;B'!$F$15/40</f>
        <v>5296.5</v>
      </c>
      <c r="N109" s="67">
        <f t="shared" si="18"/>
        <v>5296.5</v>
      </c>
      <c r="O109" s="324"/>
    </row>
    <row r="110" ht="12.75" customHeight="1">
      <c r="A110" s="322"/>
      <c r="B110" s="87"/>
      <c r="C110" s="412"/>
      <c r="D110" s="408"/>
      <c r="E110" s="89"/>
      <c r="F110" s="324"/>
      <c r="G110" s="324"/>
      <c r="H110" s="387"/>
      <c r="I110" s="388"/>
      <c r="J110" s="322"/>
      <c r="K110" s="87"/>
      <c r="L110" s="412"/>
      <c r="M110" s="477"/>
      <c r="N110" s="478" t="str">
        <f t="shared" si="18"/>
        <v/>
      </c>
      <c r="O110" s="324"/>
    </row>
    <row r="111" ht="12.75" customHeight="1">
      <c r="A111" s="322"/>
      <c r="B111" s="338" t="s">
        <v>84</v>
      </c>
      <c r="C111" s="358"/>
      <c r="D111" s="358"/>
      <c r="E111" s="359">
        <f>IF(SUM(E108:E110)=0,"",SUM(E108:E110))</f>
        <v>13397.14286</v>
      </c>
      <c r="F111" s="324"/>
      <c r="G111" s="324"/>
      <c r="H111" s="387"/>
      <c r="I111" s="388"/>
      <c r="J111" s="322"/>
      <c r="K111" s="338" t="s">
        <v>84</v>
      </c>
      <c r="L111" s="358"/>
      <c r="M111" s="358"/>
      <c r="N111" s="359">
        <f>IF(SUM(N108:N110)=0,"",SUM(N108:N110))</f>
        <v>18256.5</v>
      </c>
      <c r="O111" s="324"/>
    </row>
    <row r="112" ht="12.75" customHeight="1">
      <c r="A112" s="322"/>
      <c r="B112" s="360"/>
      <c r="C112" s="360"/>
      <c r="D112" s="360"/>
      <c r="E112" s="361"/>
      <c r="F112" s="324"/>
      <c r="G112" s="324"/>
      <c r="H112" s="387"/>
      <c r="I112" s="388"/>
      <c r="J112" s="322"/>
      <c r="K112" s="360"/>
      <c r="L112" s="360"/>
      <c r="M112" s="360"/>
      <c r="N112" s="361"/>
      <c r="O112" s="324"/>
    </row>
    <row r="113" ht="12.75" customHeight="1">
      <c r="A113" s="322"/>
      <c r="B113" s="362" t="s">
        <v>972</v>
      </c>
      <c r="C113" s="363"/>
      <c r="D113" s="363"/>
      <c r="E113" s="363"/>
      <c r="F113" s="324"/>
      <c r="G113" s="324"/>
      <c r="H113" s="387"/>
      <c r="I113" s="388"/>
      <c r="J113" s="322"/>
      <c r="K113" s="362" t="s">
        <v>972</v>
      </c>
      <c r="L113" s="363"/>
      <c r="M113" s="363"/>
      <c r="N113" s="363"/>
      <c r="O113" s="324"/>
    </row>
    <row r="114" ht="12.75" customHeight="1">
      <c r="A114" s="322"/>
      <c r="B114" s="365" t="s">
        <v>953</v>
      </c>
      <c r="C114" s="366" t="s">
        <v>3</v>
      </c>
      <c r="D114" s="366" t="s">
        <v>975</v>
      </c>
      <c r="E114" s="367" t="s">
        <v>35</v>
      </c>
      <c r="F114" s="324"/>
      <c r="G114" s="324"/>
      <c r="H114" s="387"/>
      <c r="I114" s="388"/>
      <c r="J114" s="322"/>
      <c r="K114" s="365" t="s">
        <v>953</v>
      </c>
      <c r="L114" s="366" t="s">
        <v>3</v>
      </c>
      <c r="M114" s="366" t="s">
        <v>975</v>
      </c>
      <c r="N114" s="367" t="s">
        <v>35</v>
      </c>
      <c r="O114" s="324"/>
    </row>
    <row r="115" ht="12.75" customHeight="1">
      <c r="A115" s="322"/>
      <c r="B115" s="368"/>
      <c r="C115" s="366"/>
      <c r="D115" s="366"/>
      <c r="E115" s="368"/>
      <c r="F115" s="324"/>
      <c r="G115" s="324"/>
      <c r="H115" s="387"/>
      <c r="I115" s="388"/>
      <c r="J115" s="322"/>
      <c r="K115" s="368"/>
      <c r="L115" s="366"/>
      <c r="M115" s="366"/>
      <c r="N115" s="368"/>
      <c r="O115" s="324"/>
    </row>
    <row r="116" ht="12.75" customHeight="1">
      <c r="A116" s="322"/>
      <c r="B116" s="60" t="s">
        <v>33</v>
      </c>
      <c r="C116" s="342">
        <v>0.2</v>
      </c>
      <c r="D116" s="343">
        <f>STARTERS!$D$19</f>
        <v>19665</v>
      </c>
      <c r="E116" s="67">
        <f t="shared" ref="E116:E120" si="19">D116*C116</f>
        <v>3933</v>
      </c>
      <c r="F116" s="324"/>
      <c r="G116" s="324"/>
      <c r="H116" s="387"/>
      <c r="I116" s="388"/>
      <c r="J116" s="322"/>
      <c r="K116" s="60" t="s">
        <v>989</v>
      </c>
      <c r="L116" s="342">
        <v>0.03</v>
      </c>
      <c r="M116" s="343">
        <f>M72</f>
        <v>142920</v>
      </c>
      <c r="N116" s="67">
        <f t="shared" ref="N116:N125" si="20">M116*L116</f>
        <v>4287.6</v>
      </c>
      <c r="O116" s="324"/>
    </row>
    <row r="117" ht="12.75" customHeight="1">
      <c r="A117" s="322"/>
      <c r="B117" s="75" t="s">
        <v>1291</v>
      </c>
      <c r="C117" s="370">
        <v>0.03</v>
      </c>
      <c r="D117" s="371">
        <f>SAUCES!L20</f>
        <v>10676.625</v>
      </c>
      <c r="E117" s="67">
        <f t="shared" si="19"/>
        <v>320.29875</v>
      </c>
      <c r="F117" s="324"/>
      <c r="G117" s="324"/>
      <c r="H117" s="387"/>
      <c r="I117" s="388"/>
      <c r="J117" s="322"/>
      <c r="K117" s="75" t="s">
        <v>765</v>
      </c>
      <c r="L117" s="370">
        <v>0.2</v>
      </c>
      <c r="M117" s="371">
        <f>'F&amp;B'!F288</f>
        <v>54000</v>
      </c>
      <c r="N117" s="67">
        <f t="shared" si="20"/>
        <v>10800</v>
      </c>
      <c r="O117" s="324"/>
    </row>
    <row r="118" ht="12.75" customHeight="1">
      <c r="A118" s="322"/>
      <c r="B118" s="75" t="s">
        <v>205</v>
      </c>
      <c r="C118" s="370">
        <v>0.09</v>
      </c>
      <c r="D118" s="371">
        <f>D30</f>
        <v>923.2488</v>
      </c>
      <c r="E118" s="67">
        <f t="shared" si="19"/>
        <v>83.092392</v>
      </c>
      <c r="F118" s="324"/>
      <c r="G118" s="324"/>
      <c r="H118" s="387"/>
      <c r="I118" s="388"/>
      <c r="J118" s="322"/>
      <c r="K118" s="75" t="s">
        <v>1263</v>
      </c>
      <c r="L118" s="370">
        <v>0.03</v>
      </c>
      <c r="M118" s="371">
        <f>SAUCES!$L$107</f>
        <v>30314.17895</v>
      </c>
      <c r="N118" s="67">
        <f t="shared" si="20"/>
        <v>909.4253684</v>
      </c>
      <c r="O118" s="324"/>
    </row>
    <row r="119" ht="12.75" customHeight="1">
      <c r="A119" s="322"/>
      <c r="B119" s="75" t="s">
        <v>155</v>
      </c>
      <c r="C119" s="346">
        <v>1.0</v>
      </c>
      <c r="D119" s="371">
        <f>M77</f>
        <v>994.5</v>
      </c>
      <c r="E119" s="67">
        <f t="shared" si="19"/>
        <v>994.5</v>
      </c>
      <c r="F119" s="324"/>
      <c r="G119" s="324"/>
      <c r="H119" s="387"/>
      <c r="I119" s="388"/>
      <c r="J119" s="322"/>
      <c r="K119" s="75" t="s">
        <v>1107</v>
      </c>
      <c r="L119" s="346">
        <v>0.09</v>
      </c>
      <c r="M119" s="371">
        <f>'F&amp;B'!$F$258/3.75</f>
        <v>55440</v>
      </c>
      <c r="N119" s="67">
        <f t="shared" si="20"/>
        <v>4989.6</v>
      </c>
      <c r="O119" s="324"/>
    </row>
    <row r="120" ht="12.75" customHeight="1">
      <c r="A120" s="322"/>
      <c r="B120" s="75" t="s">
        <v>161</v>
      </c>
      <c r="C120" s="370">
        <v>0.05</v>
      </c>
      <c r="D120" s="371">
        <f>'F&amp;B'!$F$49/10</f>
        <v>13500</v>
      </c>
      <c r="E120" s="67">
        <f t="shared" si="19"/>
        <v>675</v>
      </c>
      <c r="F120" s="324"/>
      <c r="G120" s="324"/>
      <c r="H120" s="387"/>
      <c r="I120" s="388"/>
      <c r="J120" s="322"/>
      <c r="K120" s="75" t="s">
        <v>205</v>
      </c>
      <c r="L120" s="370">
        <v>1.0</v>
      </c>
      <c r="M120" s="371">
        <f>D30</f>
        <v>923.2488</v>
      </c>
      <c r="N120" s="67">
        <f t="shared" si="20"/>
        <v>923.2488</v>
      </c>
      <c r="O120" s="324"/>
    </row>
    <row r="121" ht="12.75" customHeight="1">
      <c r="A121" s="322"/>
      <c r="B121" s="75"/>
      <c r="C121" s="342"/>
      <c r="D121" s="343"/>
      <c r="E121" s="67"/>
      <c r="F121" s="324"/>
      <c r="G121" s="324"/>
      <c r="H121" s="387"/>
      <c r="I121" s="388"/>
      <c r="J121" s="322"/>
      <c r="K121" s="75" t="s">
        <v>155</v>
      </c>
      <c r="L121" s="370">
        <v>1.0</v>
      </c>
      <c r="M121" s="371">
        <f>M77</f>
        <v>994.5</v>
      </c>
      <c r="N121" s="67">
        <f t="shared" si="20"/>
        <v>994.5</v>
      </c>
      <c r="O121" s="324"/>
    </row>
    <row r="122" ht="12.75" customHeight="1">
      <c r="A122" s="322"/>
      <c r="B122" s="348"/>
      <c r="C122" s="346"/>
      <c r="D122" s="373"/>
      <c r="E122" s="67">
        <f t="shared" ref="E122:E125" si="21">D122*C122</f>
        <v>0</v>
      </c>
      <c r="F122" s="324"/>
      <c r="G122" s="324"/>
      <c r="H122" s="387"/>
      <c r="I122" s="388"/>
      <c r="J122" s="322"/>
      <c r="K122" s="75" t="s">
        <v>934</v>
      </c>
      <c r="L122" s="342">
        <v>0.2</v>
      </c>
      <c r="M122" s="343">
        <f>'F&amp;B'!$F$68/10</f>
        <v>19665</v>
      </c>
      <c r="N122" s="67">
        <f t="shared" si="20"/>
        <v>3933</v>
      </c>
      <c r="O122" s="324"/>
    </row>
    <row r="123" ht="12.75" customHeight="1">
      <c r="A123" s="322"/>
      <c r="B123" s="348"/>
      <c r="C123" s="346"/>
      <c r="D123" s="373"/>
      <c r="E123" s="67">
        <f t="shared" si="21"/>
        <v>0</v>
      </c>
      <c r="F123" s="324"/>
      <c r="G123" s="324"/>
      <c r="H123" s="387"/>
      <c r="I123" s="388"/>
      <c r="J123" s="322"/>
      <c r="K123" s="75" t="s">
        <v>1000</v>
      </c>
      <c r="L123" s="370">
        <v>0.03</v>
      </c>
      <c r="M123" s="343">
        <f>'F&amp;B'!$F$277</f>
        <v>13500</v>
      </c>
      <c r="N123" s="67">
        <f t="shared" si="20"/>
        <v>405</v>
      </c>
      <c r="O123" s="324"/>
    </row>
    <row r="124" ht="12.75" customHeight="1">
      <c r="A124" s="322"/>
      <c r="B124" s="348"/>
      <c r="C124" s="346"/>
      <c r="D124" s="373"/>
      <c r="E124" s="67">
        <f t="shared" si="21"/>
        <v>0</v>
      </c>
      <c r="F124" s="324"/>
      <c r="G124" s="324"/>
      <c r="H124" s="387"/>
      <c r="I124" s="388"/>
      <c r="J124" s="322"/>
      <c r="K124" s="348"/>
      <c r="L124" s="346"/>
      <c r="M124" s="373"/>
      <c r="N124" s="67">
        <f t="shared" si="20"/>
        <v>0</v>
      </c>
      <c r="O124" s="324"/>
    </row>
    <row r="125" ht="12.75" customHeight="1">
      <c r="A125" s="322"/>
      <c r="B125" s="354"/>
      <c r="C125" s="355"/>
      <c r="D125" s="356"/>
      <c r="E125" s="67">
        <f t="shared" si="21"/>
        <v>0</v>
      </c>
      <c r="F125" s="324"/>
      <c r="G125" s="324"/>
      <c r="H125" s="387"/>
      <c r="I125" s="388"/>
      <c r="J125" s="322"/>
      <c r="K125" s="354"/>
      <c r="L125" s="355"/>
      <c r="M125" s="356"/>
      <c r="N125" s="67">
        <f t="shared" si="20"/>
        <v>0</v>
      </c>
      <c r="O125" s="324"/>
    </row>
    <row r="126" ht="12.75" customHeight="1">
      <c r="A126" s="322"/>
      <c r="B126" s="362" t="s">
        <v>84</v>
      </c>
      <c r="C126" s="374"/>
      <c r="D126" s="374"/>
      <c r="E126" s="375">
        <f>IF(SUM(E116:E125)=0,"",SUM(E116:E125))</f>
        <v>6005.891142</v>
      </c>
      <c r="F126" s="324"/>
      <c r="G126" s="324"/>
      <c r="H126" s="387"/>
      <c r="I126" s="388"/>
      <c r="J126" s="322"/>
      <c r="K126" s="362" t="s">
        <v>84</v>
      </c>
      <c r="L126" s="374"/>
      <c r="M126" s="374"/>
      <c r="N126" s="375">
        <f>IF(SUM(N116:N125)=0,"",SUM(N116:N125))</f>
        <v>27242.37417</v>
      </c>
      <c r="O126" s="324"/>
    </row>
    <row r="127" ht="12.75" customHeight="1">
      <c r="A127" s="322"/>
      <c r="B127" s="360"/>
      <c r="C127" s="360"/>
      <c r="D127" s="360"/>
      <c r="E127" s="361"/>
      <c r="F127" s="324"/>
      <c r="G127" s="324"/>
      <c r="H127" s="387"/>
      <c r="I127" s="388"/>
      <c r="J127" s="322"/>
      <c r="K127" s="360"/>
      <c r="L127" s="360"/>
      <c r="M127" s="360"/>
      <c r="N127" s="361"/>
      <c r="O127" s="324"/>
    </row>
    <row r="128" ht="12.75" customHeight="1">
      <c r="A128" s="322"/>
      <c r="B128" s="34" t="s">
        <v>17</v>
      </c>
      <c r="C128" s="35"/>
      <c r="D128" s="35"/>
      <c r="E128" s="35"/>
      <c r="F128" s="324"/>
      <c r="G128" s="324"/>
      <c r="H128" s="387"/>
      <c r="I128" s="388"/>
      <c r="J128" s="322"/>
      <c r="K128" s="34" t="s">
        <v>17</v>
      </c>
      <c r="L128" s="35"/>
      <c r="M128" s="35"/>
      <c r="N128" s="35"/>
      <c r="O128" s="324"/>
    </row>
    <row r="129" ht="12.75" customHeight="1">
      <c r="A129" s="322"/>
      <c r="B129" s="52" t="s">
        <v>42</v>
      </c>
      <c r="C129" s="54"/>
      <c r="D129" s="54"/>
      <c r="E129" s="56" t="s">
        <v>35</v>
      </c>
      <c r="F129" s="324"/>
      <c r="G129" s="324"/>
      <c r="H129" s="387"/>
      <c r="I129" s="388"/>
      <c r="J129" s="322"/>
      <c r="K129" s="52" t="s">
        <v>42</v>
      </c>
      <c r="L129" s="54"/>
      <c r="M129" s="54"/>
      <c r="N129" s="56" t="s">
        <v>35</v>
      </c>
      <c r="O129" s="324"/>
    </row>
    <row r="130" ht="12.75" customHeight="1">
      <c r="A130" s="322"/>
      <c r="B130" s="60" t="s">
        <v>40</v>
      </c>
      <c r="C130" s="343">
        <f>'UTL COST'!$B$3</f>
        <v>369000</v>
      </c>
      <c r="D130" s="379">
        <f>'UTL COST'!$C$3</f>
        <v>0.0075</v>
      </c>
      <c r="E130" s="67">
        <f>N85</f>
        <v>2767.5</v>
      </c>
      <c r="F130" s="324"/>
      <c r="G130" s="324"/>
      <c r="H130" s="387"/>
      <c r="I130" s="388"/>
      <c r="J130" s="322"/>
      <c r="K130" s="60" t="s">
        <v>40</v>
      </c>
      <c r="L130" s="343">
        <f>'UTL COST'!$B$3</f>
        <v>369000</v>
      </c>
      <c r="M130" s="379">
        <f>'UTL COST'!$C$3</f>
        <v>0.0075</v>
      </c>
      <c r="N130" s="67">
        <f>E130</f>
        <v>2767.5</v>
      </c>
      <c r="O130" s="324"/>
    </row>
    <row r="131" ht="12.75" customHeight="1">
      <c r="A131" s="322"/>
      <c r="B131" s="75" t="s">
        <v>51</v>
      </c>
      <c r="C131" s="371" t="str">
        <f>'UTL COST'!$B$4</f>
        <v>#REF!</v>
      </c>
      <c r="D131" s="382">
        <f>'UTL COST'!$C$4</f>
        <v>7000</v>
      </c>
      <c r="E131" s="76" t="str">
        <f>'UTL COST'!$D$4</f>
        <v>#REF!</v>
      </c>
      <c r="F131" s="324"/>
      <c r="G131" s="324"/>
      <c r="H131" s="387"/>
      <c r="I131" s="388"/>
      <c r="J131" s="322"/>
      <c r="K131" s="75" t="s">
        <v>51</v>
      </c>
      <c r="L131" s="371" t="str">
        <f>'UTL COST'!$B$4</f>
        <v>#REF!</v>
      </c>
      <c r="M131" s="382">
        <f>'UTL COST'!$C$4</f>
        <v>7000</v>
      </c>
      <c r="N131" s="76" t="str">
        <f>'UTL COST'!$D$4</f>
        <v>#REF!</v>
      </c>
      <c r="O131" s="324"/>
    </row>
    <row r="132" ht="12.75" customHeight="1">
      <c r="A132" s="322"/>
      <c r="B132" s="75" t="s">
        <v>59</v>
      </c>
      <c r="C132" s="371" t="str">
        <f>'UTL COST'!$B$5</f>
        <v>#REF!</v>
      </c>
      <c r="D132" s="382">
        <f>'UTL COST'!$C$5</f>
        <v>45000</v>
      </c>
      <c r="E132" s="76" t="str">
        <f>'UTL COST'!$D$5</f>
        <v>#REF!</v>
      </c>
      <c r="F132" s="324"/>
      <c r="G132" s="324"/>
      <c r="H132" s="387"/>
      <c r="I132" s="388"/>
      <c r="J132" s="322"/>
      <c r="K132" s="75" t="s">
        <v>59</v>
      </c>
      <c r="L132" s="371" t="str">
        <f>'UTL COST'!$B$5</f>
        <v>#REF!</v>
      </c>
      <c r="M132" s="382">
        <f>'UTL COST'!$C$5</f>
        <v>45000</v>
      </c>
      <c r="N132" s="76" t="str">
        <f>'UTL COST'!$D$5</f>
        <v>#REF!</v>
      </c>
      <c r="O132" s="324"/>
    </row>
    <row r="133" ht="12.75" customHeight="1">
      <c r="A133" s="322"/>
      <c r="B133" s="87" t="s">
        <v>78</v>
      </c>
      <c r="C133" s="371" t="str">
        <f>'UTL COST'!$B$6</f>
        <v>#REF!</v>
      </c>
      <c r="D133" s="383">
        <f>'UTL COST'!$C$6</f>
        <v>525</v>
      </c>
      <c r="E133" s="89">
        <v>0.1</v>
      </c>
      <c r="F133" s="324"/>
      <c r="G133" s="324"/>
      <c r="H133" s="387"/>
      <c r="I133" s="388"/>
      <c r="J133" s="322"/>
      <c r="K133" s="87" t="s">
        <v>78</v>
      </c>
      <c r="L133" s="371" t="str">
        <f>'UTL COST'!$B$6</f>
        <v>#REF!</v>
      </c>
      <c r="M133" s="383">
        <f>'UTL COST'!$C$6</f>
        <v>525</v>
      </c>
      <c r="N133" s="89">
        <v>0.1</v>
      </c>
      <c r="O133" s="324"/>
    </row>
    <row r="134" ht="12.75" customHeight="1">
      <c r="A134" s="322"/>
      <c r="B134" s="34" t="s">
        <v>84</v>
      </c>
      <c r="C134" s="102"/>
      <c r="D134" s="102"/>
      <c r="E134" s="104" t="str">
        <f>IF(SUM(E130:E133)=0,"",SUM(E130:E133))</f>
        <v>#REF!</v>
      </c>
      <c r="F134" s="324"/>
      <c r="G134" s="324"/>
      <c r="H134" s="387"/>
      <c r="I134" s="388"/>
      <c r="J134" s="322"/>
      <c r="K134" s="34" t="s">
        <v>84</v>
      </c>
      <c r="L134" s="102"/>
      <c r="M134" s="102"/>
      <c r="N134" s="104" t="str">
        <f>IF(SUM(N130:N133)=0,"",SUM(N130:N133))</f>
        <v>#REF!</v>
      </c>
      <c r="O134" s="324"/>
    </row>
    <row r="135" ht="12.75" customHeight="1">
      <c r="A135" s="322"/>
      <c r="B135" s="360"/>
      <c r="C135" s="360"/>
      <c r="D135" s="360"/>
      <c r="E135" s="361"/>
      <c r="F135" s="324"/>
      <c r="G135" s="324"/>
      <c r="H135" s="387"/>
      <c r="I135" s="388"/>
      <c r="J135" s="322"/>
      <c r="K135" s="360"/>
      <c r="L135" s="360"/>
      <c r="M135" s="360"/>
      <c r="N135" s="361"/>
      <c r="O135" s="324"/>
    </row>
    <row r="136" ht="12.75" customHeight="1">
      <c r="A136" s="387"/>
      <c r="B136" s="387"/>
      <c r="C136" s="387"/>
      <c r="D136" s="387"/>
      <c r="E136" s="418"/>
      <c r="F136" s="387"/>
      <c r="G136" s="387"/>
      <c r="H136" s="387"/>
      <c r="I136" s="387"/>
      <c r="J136" s="387"/>
      <c r="K136" s="387"/>
      <c r="L136" s="387"/>
      <c r="M136" s="387"/>
      <c r="N136" s="387"/>
      <c r="O136" s="387"/>
    </row>
    <row r="137" ht="12.75" customHeight="1">
      <c r="A137" s="388"/>
      <c r="B137" s="388"/>
      <c r="C137" s="388"/>
      <c r="D137" s="388"/>
      <c r="E137" s="389"/>
      <c r="F137" s="387"/>
      <c r="G137" s="387"/>
      <c r="H137" s="387"/>
      <c r="I137" s="388"/>
      <c r="J137" s="388"/>
      <c r="K137" s="388"/>
      <c r="L137" s="388"/>
      <c r="M137" s="388"/>
      <c r="N137" s="389"/>
      <c r="O137" s="387"/>
    </row>
    <row r="138" ht="12.75" customHeight="1">
      <c r="A138" s="322"/>
      <c r="B138" s="322"/>
      <c r="C138" s="322"/>
      <c r="D138" s="322"/>
      <c r="E138" s="323"/>
      <c r="F138" s="324"/>
      <c r="G138" s="324"/>
      <c r="H138" s="387"/>
      <c r="I138" s="388"/>
      <c r="J138" s="322"/>
      <c r="K138" s="322"/>
      <c r="L138" s="322"/>
      <c r="M138" s="322"/>
      <c r="N138" s="323"/>
      <c r="O138" s="324"/>
    </row>
    <row r="139" ht="12.75" customHeight="1">
      <c r="A139" s="322"/>
      <c r="B139" s="325"/>
      <c r="C139" s="322"/>
      <c r="D139" s="322"/>
      <c r="E139" s="323"/>
      <c r="F139" s="326"/>
      <c r="G139" s="326"/>
      <c r="H139" s="404"/>
      <c r="I139" s="388"/>
      <c r="J139" s="322"/>
      <c r="K139" s="325"/>
      <c r="L139" s="322"/>
      <c r="M139" s="322"/>
      <c r="N139" s="323"/>
      <c r="O139" s="326"/>
    </row>
    <row r="140" ht="12.75" customHeight="1">
      <c r="A140" s="322"/>
      <c r="B140" s="327" t="s">
        <v>931</v>
      </c>
      <c r="C140" s="328" t="s">
        <v>1296</v>
      </c>
      <c r="D140" s="329"/>
      <c r="E140" s="323"/>
      <c r="F140" s="326"/>
      <c r="G140" s="326"/>
      <c r="H140" s="404"/>
      <c r="I140" s="388"/>
      <c r="J140" s="322"/>
      <c r="K140" s="327" t="s">
        <v>931</v>
      </c>
      <c r="L140" s="328" t="s">
        <v>677</v>
      </c>
      <c r="M140" s="329"/>
      <c r="N140" s="323"/>
      <c r="O140" s="326"/>
    </row>
    <row r="141" ht="12.75" customHeight="1">
      <c r="A141" s="322"/>
      <c r="B141" s="325"/>
      <c r="C141" s="322"/>
      <c r="D141" s="322"/>
      <c r="E141" s="323"/>
      <c r="F141" s="326"/>
      <c r="G141" s="326"/>
      <c r="H141" s="404"/>
      <c r="I141" s="388"/>
      <c r="J141" s="322"/>
      <c r="K141" s="325"/>
      <c r="L141" s="322"/>
      <c r="M141" s="322"/>
      <c r="N141" s="323"/>
      <c r="O141" s="326"/>
    </row>
    <row r="142" ht="12.75" customHeight="1">
      <c r="A142" s="322"/>
      <c r="B142" s="327" t="s">
        <v>935</v>
      </c>
      <c r="C142" s="331">
        <f>E142*90000</f>
        <v>900000</v>
      </c>
      <c r="D142" s="329"/>
      <c r="E142" s="394">
        <v>10.0</v>
      </c>
      <c r="F142" s="326"/>
      <c r="G142" s="326"/>
      <c r="H142" s="404"/>
      <c r="I142" s="388"/>
      <c r="J142" s="322"/>
      <c r="K142" s="327" t="s">
        <v>935</v>
      </c>
      <c r="L142" s="331">
        <v>190000.0</v>
      </c>
      <c r="M142" s="329"/>
      <c r="N142" s="323"/>
      <c r="O142" s="326"/>
    </row>
    <row r="143" ht="12.75" customHeight="1">
      <c r="A143" s="322"/>
      <c r="B143" s="327"/>
      <c r="C143" s="332"/>
      <c r="D143" s="332"/>
      <c r="E143" s="323"/>
      <c r="F143" s="326"/>
      <c r="G143" s="326"/>
      <c r="H143" s="404"/>
      <c r="I143" s="388"/>
      <c r="J143" s="322"/>
      <c r="K143" s="327"/>
      <c r="L143" s="332"/>
      <c r="M143" s="332"/>
      <c r="N143" s="323"/>
      <c r="O143" s="326"/>
    </row>
    <row r="144" ht="12.75" customHeight="1">
      <c r="A144" s="322"/>
      <c r="B144" s="327" t="s">
        <v>939</v>
      </c>
      <c r="C144" s="333" t="str">
        <f>IF(SUM(E156,E171,E179)=0,"",SUM(E156,E171,E179))</f>
        <v>#REF!</v>
      </c>
      <c r="D144" s="321"/>
      <c r="E144" s="323" t="str">
        <f>C144/90000</f>
        <v>#REF!</v>
      </c>
      <c r="F144" s="326"/>
      <c r="G144" s="326"/>
      <c r="H144" s="404"/>
      <c r="I144" s="388"/>
      <c r="J144" s="322"/>
      <c r="K144" s="327" t="s">
        <v>939</v>
      </c>
      <c r="L144" s="333" t="str">
        <f>IF(SUM(N156,N171,N179)=0,"",SUM(N156,N171,N179))</f>
        <v>#REF!</v>
      </c>
      <c r="M144" s="321"/>
      <c r="N144" s="323"/>
      <c r="O144" s="326"/>
    </row>
    <row r="145" ht="12.75" customHeight="1">
      <c r="A145" s="322"/>
      <c r="B145" s="327"/>
      <c r="C145" s="334"/>
      <c r="D145" s="334"/>
      <c r="E145" s="323"/>
      <c r="F145" s="326"/>
      <c r="G145" s="326"/>
      <c r="H145" s="404"/>
      <c r="I145" s="388"/>
      <c r="J145" s="322"/>
      <c r="K145" s="327"/>
      <c r="L145" s="334"/>
      <c r="M145" s="334"/>
      <c r="N145" s="323"/>
      <c r="O145" s="326"/>
    </row>
    <row r="146" ht="12.75" customHeight="1">
      <c r="A146" s="322"/>
      <c r="B146" s="327" t="s">
        <v>946</v>
      </c>
      <c r="C146" s="335" t="str">
        <f>IF(C144="","",IF(ISBLANK(C142),"",C144/C142))</f>
        <v>#REF!</v>
      </c>
      <c r="D146" s="321"/>
      <c r="E146" s="323"/>
      <c r="F146" s="326"/>
      <c r="G146" s="326"/>
      <c r="H146" s="404"/>
      <c r="I146" s="388"/>
      <c r="J146" s="322"/>
      <c r="K146" s="327" t="s">
        <v>946</v>
      </c>
      <c r="L146" s="335" t="str">
        <f>IF(L144="","",IF(ISBLANK(L142),"",L144/L142))</f>
        <v>#REF!</v>
      </c>
      <c r="M146" s="321"/>
      <c r="N146" s="323"/>
      <c r="O146" s="326"/>
    </row>
    <row r="147" ht="12.75" customHeight="1">
      <c r="A147" s="322"/>
      <c r="B147" s="327"/>
      <c r="C147" s="334"/>
      <c r="D147" s="334"/>
      <c r="E147" s="323"/>
      <c r="F147" s="326"/>
      <c r="G147" s="326"/>
      <c r="H147" s="404"/>
      <c r="I147" s="388"/>
      <c r="J147" s="322"/>
      <c r="K147" s="327"/>
      <c r="L147" s="334"/>
      <c r="M147" s="334"/>
      <c r="N147" s="323"/>
      <c r="O147" s="326"/>
    </row>
    <row r="148" ht="12.75" customHeight="1">
      <c r="A148" s="322"/>
      <c r="B148" s="327" t="s">
        <v>950</v>
      </c>
      <c r="C148" s="333" t="str">
        <f>C142-C144</f>
        <v>#REF!</v>
      </c>
      <c r="D148" s="321"/>
      <c r="E148" s="323"/>
      <c r="F148" s="326"/>
      <c r="G148" s="326"/>
      <c r="H148" s="404"/>
      <c r="I148" s="388"/>
      <c r="J148" s="322"/>
      <c r="K148" s="327" t="s">
        <v>950</v>
      </c>
      <c r="L148" s="333" t="str">
        <f>L142-L144</f>
        <v>#REF!</v>
      </c>
      <c r="M148" s="321"/>
      <c r="N148" s="323"/>
      <c r="O148" s="326"/>
    </row>
    <row r="149" ht="12.75" customHeight="1">
      <c r="A149" s="322"/>
      <c r="B149" s="322"/>
      <c r="C149" s="322"/>
      <c r="D149" s="322"/>
      <c r="E149" s="323"/>
      <c r="F149" s="324"/>
      <c r="G149" s="324"/>
      <c r="H149" s="404"/>
      <c r="I149" s="388"/>
      <c r="J149" s="322"/>
      <c r="K149" s="322"/>
      <c r="L149" s="322"/>
      <c r="M149" s="322"/>
      <c r="N149" s="323"/>
      <c r="O149" s="324"/>
    </row>
    <row r="150" ht="12.75" customHeight="1">
      <c r="A150" s="322"/>
      <c r="B150" s="322"/>
      <c r="C150" s="322"/>
      <c r="D150" s="322"/>
      <c r="E150" s="337"/>
      <c r="F150" s="324"/>
      <c r="G150" s="324"/>
      <c r="H150" s="387"/>
      <c r="I150" s="388"/>
      <c r="J150" s="322"/>
      <c r="K150" s="322"/>
      <c r="L150" s="322"/>
      <c r="M150" s="322"/>
      <c r="N150" s="337"/>
      <c r="O150" s="324"/>
    </row>
    <row r="151" ht="12.75" customHeight="1">
      <c r="A151" s="322"/>
      <c r="B151" s="338" t="s">
        <v>951</v>
      </c>
      <c r="C151" s="339"/>
      <c r="D151" s="339"/>
      <c r="E151" s="339"/>
      <c r="F151" s="324"/>
      <c r="G151" s="324"/>
      <c r="H151" s="410"/>
      <c r="I151" s="388"/>
      <c r="J151" s="322"/>
      <c r="K151" s="338" t="s">
        <v>951</v>
      </c>
      <c r="L151" s="339"/>
      <c r="M151" s="339"/>
      <c r="N151" s="339"/>
      <c r="O151" s="324"/>
    </row>
    <row r="152" ht="12.75" customHeight="1">
      <c r="A152" s="322"/>
      <c r="B152" s="340" t="s">
        <v>953</v>
      </c>
      <c r="C152" s="341" t="s">
        <v>954</v>
      </c>
      <c r="D152" s="341" t="s">
        <v>955</v>
      </c>
      <c r="E152" s="341" t="s">
        <v>35</v>
      </c>
      <c r="F152" s="324"/>
      <c r="G152" s="324"/>
      <c r="H152" s="387"/>
      <c r="I152" s="388"/>
      <c r="J152" s="322"/>
      <c r="K152" s="340" t="s">
        <v>953</v>
      </c>
      <c r="L152" s="341" t="s">
        <v>954</v>
      </c>
      <c r="M152" s="341" t="s">
        <v>955</v>
      </c>
      <c r="N152" s="341" t="s">
        <v>35</v>
      </c>
      <c r="O152" s="324"/>
    </row>
    <row r="153" ht="12.75" customHeight="1">
      <c r="A153" s="322"/>
      <c r="B153" s="60" t="s">
        <v>1160</v>
      </c>
      <c r="C153" s="342">
        <v>0.15</v>
      </c>
      <c r="D153" s="343">
        <f>'F&amp;B'!$F$270</f>
        <v>15840</v>
      </c>
      <c r="E153" s="67">
        <f t="shared" ref="E153:E154" si="22">IF(OR(ISBLANK(C153),ISBLANK(D153)),"",D153*C153)</f>
        <v>2376</v>
      </c>
      <c r="F153" s="324"/>
      <c r="G153" s="324"/>
      <c r="H153" s="387"/>
      <c r="I153" s="388"/>
      <c r="J153" s="322"/>
      <c r="K153" s="60" t="s">
        <v>703</v>
      </c>
      <c r="L153" s="342">
        <v>0.16</v>
      </c>
      <c r="M153" s="343">
        <f>'F&amp;B'!$F$229</f>
        <v>81000</v>
      </c>
      <c r="N153" s="67">
        <f t="shared" ref="N153:N155" si="23">IF(OR(ISBLANK(L153),ISBLANK(M153)),"",M153*L153)</f>
        <v>12960</v>
      </c>
      <c r="O153" s="324"/>
    </row>
    <row r="154" ht="12.75" customHeight="1">
      <c r="A154" s="322"/>
      <c r="B154" s="75" t="s">
        <v>1220</v>
      </c>
      <c r="C154" s="370">
        <v>1.0</v>
      </c>
      <c r="D154" s="371">
        <f>$M$64</f>
        <v>11925</v>
      </c>
      <c r="E154" s="67">
        <f t="shared" si="22"/>
        <v>11925</v>
      </c>
      <c r="F154" s="324"/>
      <c r="G154" s="324"/>
      <c r="H154" s="387"/>
      <c r="I154" s="388"/>
      <c r="J154" s="322"/>
      <c r="K154" s="75" t="s">
        <v>1262</v>
      </c>
      <c r="L154" s="370">
        <v>1.0</v>
      </c>
      <c r="M154" s="371">
        <f>M20</f>
        <v>11925</v>
      </c>
      <c r="N154" s="67">
        <f t="shared" si="23"/>
        <v>11925</v>
      </c>
      <c r="O154" s="324"/>
    </row>
    <row r="155" ht="12.75" customHeight="1">
      <c r="A155" s="322"/>
      <c r="B155" s="87"/>
      <c r="C155" s="412"/>
      <c r="D155" s="408"/>
      <c r="E155" s="89"/>
      <c r="F155" s="324"/>
      <c r="G155" s="324"/>
      <c r="H155" s="387"/>
      <c r="I155" s="388"/>
      <c r="J155" s="322"/>
      <c r="K155" s="87" t="s">
        <v>850</v>
      </c>
      <c r="L155" s="412">
        <v>0.04</v>
      </c>
      <c r="M155" s="371">
        <f>'F&amp;B'!$F$99/12</f>
        <v>63000</v>
      </c>
      <c r="N155" s="67">
        <f t="shared" si="23"/>
        <v>2520</v>
      </c>
      <c r="O155" s="324"/>
    </row>
    <row r="156" ht="12.75" customHeight="1">
      <c r="A156" s="322"/>
      <c r="B156" s="338" t="s">
        <v>84</v>
      </c>
      <c r="C156" s="358"/>
      <c r="D156" s="358"/>
      <c r="E156" s="359">
        <f>IF(SUM(E153:E155)=0,"",SUM(E153:E155))</f>
        <v>14301</v>
      </c>
      <c r="F156" s="324"/>
      <c r="G156" s="324"/>
      <c r="H156" s="387"/>
      <c r="I156" s="388"/>
      <c r="J156" s="322"/>
      <c r="K156" s="338" t="s">
        <v>84</v>
      </c>
      <c r="L156" s="358"/>
      <c r="M156" s="358"/>
      <c r="N156" s="359">
        <f>IF(SUM(N153:N155)=0,"",SUM(N153:N155))</f>
        <v>27405</v>
      </c>
      <c r="O156" s="324"/>
    </row>
    <row r="157" ht="12.75" customHeight="1">
      <c r="A157" s="322"/>
      <c r="B157" s="360"/>
      <c r="C157" s="360"/>
      <c r="D157" s="360"/>
      <c r="E157" s="361"/>
      <c r="F157" s="324"/>
      <c r="G157" s="324"/>
      <c r="H157" s="387"/>
      <c r="I157" s="388"/>
      <c r="J157" s="322"/>
      <c r="K157" s="360"/>
      <c r="L157" s="360"/>
      <c r="M157" s="360"/>
      <c r="N157" s="361"/>
      <c r="O157" s="324"/>
    </row>
    <row r="158" ht="12.75" customHeight="1">
      <c r="A158" s="322"/>
      <c r="B158" s="362" t="s">
        <v>972</v>
      </c>
      <c r="C158" s="363"/>
      <c r="D158" s="363"/>
      <c r="E158" s="363"/>
      <c r="F158" s="324"/>
      <c r="G158" s="324"/>
      <c r="H158" s="387"/>
      <c r="I158" s="388"/>
      <c r="J158" s="322"/>
      <c r="K158" s="362" t="s">
        <v>972</v>
      </c>
      <c r="L158" s="363"/>
      <c r="M158" s="363"/>
      <c r="N158" s="363"/>
      <c r="O158" s="324"/>
    </row>
    <row r="159" ht="12.75" customHeight="1">
      <c r="A159" s="322"/>
      <c r="B159" s="365" t="s">
        <v>953</v>
      </c>
      <c r="C159" s="366" t="s">
        <v>3</v>
      </c>
      <c r="D159" s="366" t="s">
        <v>975</v>
      </c>
      <c r="E159" s="367" t="s">
        <v>35</v>
      </c>
      <c r="F159" s="324"/>
      <c r="G159" s="324"/>
      <c r="H159" s="387"/>
      <c r="I159" s="388"/>
      <c r="J159" s="322"/>
      <c r="K159" s="365" t="s">
        <v>953</v>
      </c>
      <c r="L159" s="366" t="s">
        <v>3</v>
      </c>
      <c r="M159" s="366" t="s">
        <v>975</v>
      </c>
      <c r="N159" s="367" t="s">
        <v>35</v>
      </c>
      <c r="O159" s="324"/>
    </row>
    <row r="160" ht="12.75" customHeight="1">
      <c r="A160" s="322"/>
      <c r="B160" s="368"/>
      <c r="C160" s="366"/>
      <c r="D160" s="366"/>
      <c r="E160" s="368"/>
      <c r="F160" s="324"/>
      <c r="G160" s="324"/>
      <c r="H160" s="387"/>
      <c r="I160" s="388"/>
      <c r="J160" s="322"/>
      <c r="K160" s="368"/>
      <c r="L160" s="366"/>
      <c r="M160" s="366"/>
      <c r="N160" s="368"/>
      <c r="O160" s="324"/>
    </row>
    <row r="161" ht="12.75" customHeight="1">
      <c r="A161" s="322"/>
      <c r="B161" s="60" t="s">
        <v>1000</v>
      </c>
      <c r="C161" s="342">
        <v>0.03</v>
      </c>
      <c r="D161" s="343">
        <f>'F&amp;B'!$F$277</f>
        <v>13500</v>
      </c>
      <c r="E161" s="67">
        <f t="shared" ref="E161:E170" si="24">D161*C161</f>
        <v>405</v>
      </c>
      <c r="F161" s="324"/>
      <c r="G161" s="324"/>
      <c r="H161" s="387"/>
      <c r="I161" s="388"/>
      <c r="J161" s="322"/>
      <c r="K161" s="60" t="s">
        <v>1194</v>
      </c>
      <c r="L161" s="342">
        <v>0.12</v>
      </c>
      <c r="M161" s="343">
        <f>SAUCES!L186</f>
        <v>37140.77491</v>
      </c>
      <c r="N161" s="67">
        <f>M161*L161</f>
        <v>4456.892989</v>
      </c>
      <c r="O161" s="324"/>
    </row>
    <row r="162" ht="12.75" customHeight="1">
      <c r="A162" s="322"/>
      <c r="B162" s="75" t="s">
        <v>1080</v>
      </c>
      <c r="C162" s="370">
        <v>0.04</v>
      </c>
      <c r="D162" s="371">
        <f>'F&amp;B'!$F$60*3</f>
        <v>29700</v>
      </c>
      <c r="E162" s="67">
        <f t="shared" si="24"/>
        <v>1188</v>
      </c>
      <c r="F162" s="324"/>
      <c r="G162" s="324"/>
      <c r="H162" s="387"/>
      <c r="I162" s="388"/>
      <c r="J162" s="322"/>
      <c r="K162" s="75"/>
      <c r="L162" s="370"/>
      <c r="M162" s="343"/>
      <c r="N162" s="67"/>
      <c r="O162" s="324"/>
    </row>
    <row r="163" ht="12.75" customHeight="1">
      <c r="A163" s="322"/>
      <c r="B163" s="75" t="s">
        <v>205</v>
      </c>
      <c r="C163" s="370">
        <v>1.0</v>
      </c>
      <c r="D163" s="371">
        <f>D76</f>
        <v>923.2488</v>
      </c>
      <c r="E163" s="67">
        <f t="shared" si="24"/>
        <v>923.2488</v>
      </c>
      <c r="F163" s="324"/>
      <c r="G163" s="324"/>
      <c r="H163" s="387"/>
      <c r="I163" s="388"/>
      <c r="J163" s="322"/>
      <c r="K163" s="75" t="s">
        <v>161</v>
      </c>
      <c r="L163" s="370">
        <v>0.07</v>
      </c>
      <c r="M163" s="371">
        <f>'F&amp;B'!$F$49/10</f>
        <v>13500</v>
      </c>
      <c r="N163" s="67">
        <f t="shared" ref="N163:N170" si="25">M163*L163</f>
        <v>945</v>
      </c>
      <c r="O163" s="324"/>
    </row>
    <row r="164" ht="12.75" customHeight="1">
      <c r="A164" s="322"/>
      <c r="B164" s="75" t="s">
        <v>155</v>
      </c>
      <c r="C164" s="346">
        <v>1.0</v>
      </c>
      <c r="D164" s="371">
        <f>D119</f>
        <v>994.5</v>
      </c>
      <c r="E164" s="67">
        <f t="shared" si="24"/>
        <v>994.5</v>
      </c>
      <c r="F164" s="324"/>
      <c r="G164" s="324"/>
      <c r="H164" s="387"/>
      <c r="I164" s="388"/>
      <c r="J164" s="322"/>
      <c r="K164" s="75" t="s">
        <v>934</v>
      </c>
      <c r="L164" s="346">
        <v>0.2</v>
      </c>
      <c r="M164" s="371">
        <f>'F&amp;B'!$F$68/10</f>
        <v>19665</v>
      </c>
      <c r="N164" s="67">
        <f t="shared" si="25"/>
        <v>3933</v>
      </c>
      <c r="O164" s="324"/>
    </row>
    <row r="165" ht="12.75" customHeight="1">
      <c r="A165" s="322"/>
      <c r="B165" s="75" t="s">
        <v>765</v>
      </c>
      <c r="C165" s="370">
        <v>0.03</v>
      </c>
      <c r="D165" s="371">
        <f>'F&amp;B'!$F$288</f>
        <v>54000</v>
      </c>
      <c r="E165" s="67">
        <f t="shared" si="24"/>
        <v>1620</v>
      </c>
      <c r="F165" s="324"/>
      <c r="G165" s="324"/>
      <c r="H165" s="387"/>
      <c r="I165" s="388"/>
      <c r="J165" s="322"/>
      <c r="K165" s="75" t="s">
        <v>205</v>
      </c>
      <c r="L165" s="342">
        <v>1.0</v>
      </c>
      <c r="M165" s="343">
        <f>$D$163</f>
        <v>923.2488</v>
      </c>
      <c r="N165" s="67">
        <f t="shared" si="25"/>
        <v>923.2488</v>
      </c>
      <c r="O165" s="324"/>
    </row>
    <row r="166" ht="12.75" customHeight="1">
      <c r="A166" s="322"/>
      <c r="B166" s="75" t="s">
        <v>934</v>
      </c>
      <c r="C166" s="342">
        <v>0.2</v>
      </c>
      <c r="D166" s="343">
        <f>'F&amp;B'!$F$68/10</f>
        <v>19665</v>
      </c>
      <c r="E166" s="67">
        <f t="shared" si="24"/>
        <v>3933</v>
      </c>
      <c r="F166" s="324"/>
      <c r="G166" s="324"/>
      <c r="H166" s="387"/>
      <c r="I166" s="388"/>
      <c r="J166" s="322"/>
      <c r="K166" s="75" t="s">
        <v>1299</v>
      </c>
      <c r="L166" s="398">
        <v>0.1</v>
      </c>
      <c r="M166" s="371">
        <f>'F&amp;B'!$F$302</f>
        <v>10800</v>
      </c>
      <c r="N166" s="67">
        <f t="shared" si="25"/>
        <v>1080</v>
      </c>
      <c r="O166" s="324"/>
    </row>
    <row r="167" ht="12.75" customHeight="1">
      <c r="A167" s="322"/>
      <c r="B167" s="348"/>
      <c r="C167" s="346"/>
      <c r="D167" s="373"/>
      <c r="E167" s="67">
        <f t="shared" si="24"/>
        <v>0</v>
      </c>
      <c r="F167" s="324"/>
      <c r="G167" s="324"/>
      <c r="H167" s="387"/>
      <c r="I167" s="388"/>
      <c r="J167" s="322"/>
      <c r="K167" s="75" t="s">
        <v>1080</v>
      </c>
      <c r="L167" s="342">
        <v>0.03</v>
      </c>
      <c r="M167" s="343">
        <f>'F&amp;B'!$F$60*3</f>
        <v>29700</v>
      </c>
      <c r="N167" s="67">
        <f t="shared" si="25"/>
        <v>891</v>
      </c>
      <c r="O167" s="324"/>
    </row>
    <row r="168" ht="12.75" customHeight="1">
      <c r="A168" s="322"/>
      <c r="B168" s="348"/>
      <c r="C168" s="346"/>
      <c r="D168" s="373"/>
      <c r="E168" s="67">
        <f t="shared" si="24"/>
        <v>0</v>
      </c>
      <c r="F168" s="324"/>
      <c r="G168" s="324"/>
      <c r="H168" s="387"/>
      <c r="I168" s="388"/>
      <c r="J168" s="322"/>
      <c r="K168" s="348"/>
      <c r="L168" s="346"/>
      <c r="M168" s="343"/>
      <c r="N168" s="67">
        <f t="shared" si="25"/>
        <v>0</v>
      </c>
      <c r="O168" s="324"/>
    </row>
    <row r="169" ht="12.75" customHeight="1">
      <c r="A169" s="322"/>
      <c r="B169" s="348"/>
      <c r="C169" s="346"/>
      <c r="D169" s="373"/>
      <c r="E169" s="67">
        <f t="shared" si="24"/>
        <v>0</v>
      </c>
      <c r="F169" s="324"/>
      <c r="G169" s="324"/>
      <c r="H169" s="387"/>
      <c r="I169" s="388"/>
      <c r="J169" s="322"/>
      <c r="K169" s="348"/>
      <c r="L169" s="346"/>
      <c r="M169" s="373"/>
      <c r="N169" s="67">
        <f t="shared" si="25"/>
        <v>0</v>
      </c>
      <c r="O169" s="324"/>
    </row>
    <row r="170" ht="12.75" customHeight="1">
      <c r="A170" s="322"/>
      <c r="B170" s="354"/>
      <c r="C170" s="355"/>
      <c r="D170" s="356"/>
      <c r="E170" s="67">
        <f t="shared" si="24"/>
        <v>0</v>
      </c>
      <c r="F170" s="324"/>
      <c r="G170" s="324"/>
      <c r="H170" s="387"/>
      <c r="I170" s="388"/>
      <c r="J170" s="322"/>
      <c r="K170" s="354"/>
      <c r="L170" s="355"/>
      <c r="M170" s="356"/>
      <c r="N170" s="67">
        <f t="shared" si="25"/>
        <v>0</v>
      </c>
      <c r="O170" s="324"/>
    </row>
    <row r="171" ht="12.75" customHeight="1">
      <c r="A171" s="322"/>
      <c r="B171" s="362" t="s">
        <v>84</v>
      </c>
      <c r="C171" s="374"/>
      <c r="D171" s="374"/>
      <c r="E171" s="375">
        <f>IF(SUM(E161:E170)=0,"",SUM(E161:E170))</f>
        <v>9063.7488</v>
      </c>
      <c r="F171" s="324"/>
      <c r="G171" s="324"/>
      <c r="H171" s="387"/>
      <c r="I171" s="388"/>
      <c r="J171" s="322"/>
      <c r="K171" s="362" t="s">
        <v>84</v>
      </c>
      <c r="L171" s="374"/>
      <c r="M171" s="374"/>
      <c r="N171" s="375">
        <f>IF(SUM(N161:N170)=0,"",SUM(N161:N170))</f>
        <v>12229.14179</v>
      </c>
      <c r="O171" s="324"/>
    </row>
    <row r="172" ht="12.75" customHeight="1">
      <c r="A172" s="322"/>
      <c r="B172" s="360"/>
      <c r="C172" s="360"/>
      <c r="D172" s="360"/>
      <c r="E172" s="361"/>
      <c r="F172" s="324"/>
      <c r="G172" s="324"/>
      <c r="H172" s="387"/>
      <c r="I172" s="388"/>
      <c r="J172" s="322"/>
      <c r="K172" s="360"/>
      <c r="L172" s="360"/>
      <c r="M172" s="360"/>
      <c r="N172" s="361"/>
      <c r="O172" s="324"/>
    </row>
    <row r="173" ht="12.75" customHeight="1">
      <c r="A173" s="322"/>
      <c r="B173" s="34" t="s">
        <v>17</v>
      </c>
      <c r="C173" s="35"/>
      <c r="D173" s="35"/>
      <c r="E173" s="35"/>
      <c r="F173" s="324"/>
      <c r="G173" s="324"/>
      <c r="H173" s="387"/>
      <c r="I173" s="388"/>
      <c r="J173" s="322"/>
      <c r="K173" s="34" t="s">
        <v>17</v>
      </c>
      <c r="L173" s="35"/>
      <c r="M173" s="35"/>
      <c r="N173" s="35"/>
      <c r="O173" s="324"/>
    </row>
    <row r="174" ht="12.75" customHeight="1">
      <c r="A174" s="322"/>
      <c r="B174" s="52" t="s">
        <v>42</v>
      </c>
      <c r="C174" s="54"/>
      <c r="D174" s="54"/>
      <c r="E174" s="56" t="s">
        <v>35</v>
      </c>
      <c r="F174" s="324"/>
      <c r="G174" s="324"/>
      <c r="H174" s="387"/>
      <c r="I174" s="388"/>
      <c r="J174" s="322"/>
      <c r="K174" s="52" t="s">
        <v>42</v>
      </c>
      <c r="L174" s="54"/>
      <c r="M174" s="54"/>
      <c r="N174" s="56" t="s">
        <v>35</v>
      </c>
      <c r="O174" s="324"/>
    </row>
    <row r="175" ht="12.75" customHeight="1">
      <c r="A175" s="322"/>
      <c r="B175" s="60" t="s">
        <v>40</v>
      </c>
      <c r="C175" s="343">
        <f>'UTL COST'!$B$3</f>
        <v>369000</v>
      </c>
      <c r="D175" s="379">
        <f>'UTL COST'!$C$3</f>
        <v>0.0075</v>
      </c>
      <c r="E175" s="67">
        <f>'UTL COST'!$D$3</f>
        <v>2767.5</v>
      </c>
      <c r="F175" s="324"/>
      <c r="G175" s="324"/>
      <c r="H175" s="387"/>
      <c r="I175" s="388"/>
      <c r="J175" s="322"/>
      <c r="K175" s="60" t="s">
        <v>40</v>
      </c>
      <c r="L175" s="343">
        <f>'UTL COST'!$B$3</f>
        <v>369000</v>
      </c>
      <c r="M175" s="379">
        <f>'UTL COST'!$C$3</f>
        <v>0.0075</v>
      </c>
      <c r="N175" s="67">
        <f>'UTL COST'!$D$3</f>
        <v>2767.5</v>
      </c>
      <c r="O175" s="324"/>
    </row>
    <row r="176" ht="12.75" customHeight="1">
      <c r="A176" s="322"/>
      <c r="B176" s="75" t="s">
        <v>51</v>
      </c>
      <c r="C176" s="371" t="str">
        <f>'UTL COST'!$B$4</f>
        <v>#REF!</v>
      </c>
      <c r="D176" s="382">
        <f>'UTL COST'!$C$4</f>
        <v>7000</v>
      </c>
      <c r="E176" s="76" t="str">
        <f>'UTL COST'!$D$4</f>
        <v>#REF!</v>
      </c>
      <c r="F176" s="324"/>
      <c r="G176" s="324"/>
      <c r="H176" s="387"/>
      <c r="I176" s="388"/>
      <c r="J176" s="322"/>
      <c r="K176" s="75" t="s">
        <v>51</v>
      </c>
      <c r="L176" s="371" t="str">
        <f>'UTL COST'!$B$4</f>
        <v>#REF!</v>
      </c>
      <c r="M176" s="382">
        <f>'UTL COST'!$C$4</f>
        <v>7000</v>
      </c>
      <c r="N176" s="76" t="str">
        <f>'UTL COST'!$D$4</f>
        <v>#REF!</v>
      </c>
      <c r="O176" s="324"/>
    </row>
    <row r="177" ht="12.75" customHeight="1">
      <c r="A177" s="322"/>
      <c r="B177" s="75" t="s">
        <v>59</v>
      </c>
      <c r="C177" s="371" t="str">
        <f>'UTL COST'!$B$5</f>
        <v>#REF!</v>
      </c>
      <c r="D177" s="382">
        <f>'UTL COST'!$C$5</f>
        <v>45000</v>
      </c>
      <c r="E177" s="76" t="str">
        <f>'UTL COST'!$D$5</f>
        <v>#REF!</v>
      </c>
      <c r="F177" s="324"/>
      <c r="G177" s="324"/>
      <c r="H177" s="387"/>
      <c r="I177" s="388"/>
      <c r="J177" s="322"/>
      <c r="K177" s="75" t="s">
        <v>59</v>
      </c>
      <c r="L177" s="371" t="str">
        <f>'UTL COST'!$B$5</f>
        <v>#REF!</v>
      </c>
      <c r="M177" s="382">
        <f>'UTL COST'!$C$5</f>
        <v>45000</v>
      </c>
      <c r="N177" s="76" t="str">
        <f>'UTL COST'!$D$5</f>
        <v>#REF!</v>
      </c>
      <c r="O177" s="324"/>
    </row>
    <row r="178" ht="12.75" customHeight="1">
      <c r="A178" s="322"/>
      <c r="B178" s="87" t="s">
        <v>78</v>
      </c>
      <c r="C178" s="371" t="str">
        <f>'UTL COST'!$B$6</f>
        <v>#REF!</v>
      </c>
      <c r="D178" s="383">
        <f>'UTL COST'!$C$6</f>
        <v>525</v>
      </c>
      <c r="E178" s="89">
        <v>0.1</v>
      </c>
      <c r="F178" s="324"/>
      <c r="G178" s="324"/>
      <c r="H178" s="387"/>
      <c r="I178" s="388"/>
      <c r="J178" s="322"/>
      <c r="K178" s="87" t="s">
        <v>78</v>
      </c>
      <c r="L178" s="371" t="str">
        <f>'UTL COST'!$B$6</f>
        <v>#REF!</v>
      </c>
      <c r="M178" s="383">
        <f>'UTL COST'!$C$6</f>
        <v>525</v>
      </c>
      <c r="N178" s="89">
        <v>0.1</v>
      </c>
      <c r="O178" s="324"/>
    </row>
    <row r="179" ht="12.75" customHeight="1">
      <c r="A179" s="322"/>
      <c r="B179" s="34" t="s">
        <v>84</v>
      </c>
      <c r="C179" s="102"/>
      <c r="D179" s="102"/>
      <c r="E179" s="104" t="str">
        <f>IF(SUM(E175:E178)=0,"",SUM(E175:E178))</f>
        <v>#REF!</v>
      </c>
      <c r="F179" s="324"/>
      <c r="G179" s="324"/>
      <c r="H179" s="387"/>
      <c r="I179" s="388"/>
      <c r="J179" s="322"/>
      <c r="K179" s="34" t="s">
        <v>84</v>
      </c>
      <c r="L179" s="102"/>
      <c r="M179" s="102"/>
      <c r="N179" s="104" t="str">
        <f>IF(SUM(N175:N178)=0,"",SUM(N175:N178))</f>
        <v>#REF!</v>
      </c>
      <c r="O179" s="324"/>
    </row>
    <row r="180" ht="12.75" customHeight="1">
      <c r="A180" s="322"/>
      <c r="B180" s="360"/>
      <c r="C180" s="360"/>
      <c r="D180" s="360"/>
      <c r="E180" s="361"/>
      <c r="F180" s="324"/>
      <c r="G180" s="324"/>
      <c r="H180" s="387"/>
      <c r="I180" s="388"/>
      <c r="J180" s="322"/>
      <c r="K180" s="360"/>
      <c r="L180" s="360"/>
      <c r="M180" s="360"/>
      <c r="N180" s="361"/>
      <c r="O180" s="324"/>
    </row>
    <row r="181" ht="12.75" customHeight="1">
      <c r="A181" s="387"/>
      <c r="B181" s="387"/>
      <c r="C181" s="387"/>
      <c r="D181" s="387"/>
      <c r="E181" s="418"/>
      <c r="F181" s="387"/>
      <c r="G181" s="387"/>
      <c r="H181" s="387"/>
      <c r="I181" s="387"/>
      <c r="J181" s="387"/>
      <c r="K181" s="387"/>
      <c r="L181" s="387"/>
      <c r="M181" s="387"/>
      <c r="N181" s="387"/>
      <c r="O181" s="387"/>
    </row>
    <row r="182" ht="12.75" customHeight="1">
      <c r="A182" s="387"/>
      <c r="B182" s="387"/>
      <c r="C182" s="387"/>
      <c r="D182" s="387"/>
      <c r="E182" s="418"/>
      <c r="F182" s="387"/>
      <c r="G182" s="387"/>
      <c r="H182" s="387"/>
      <c r="I182" s="387"/>
      <c r="J182" s="387"/>
      <c r="K182" s="387"/>
      <c r="L182" s="387"/>
      <c r="M182" s="387"/>
      <c r="N182" s="387"/>
      <c r="O182" s="387"/>
    </row>
    <row r="183" ht="12.75" customHeight="1">
      <c r="A183" s="387"/>
      <c r="B183" s="387"/>
      <c r="C183" s="387"/>
      <c r="D183" s="387"/>
      <c r="E183" s="418"/>
      <c r="F183" s="387"/>
      <c r="G183" s="387"/>
      <c r="H183" s="387"/>
      <c r="I183" s="387"/>
      <c r="J183" s="387"/>
      <c r="K183" s="387"/>
      <c r="L183" s="387"/>
      <c r="M183" s="387"/>
      <c r="N183" s="387"/>
      <c r="O183" s="387"/>
    </row>
    <row r="184" ht="12.75" customHeight="1">
      <c r="A184" s="387"/>
      <c r="B184" s="387"/>
      <c r="C184" s="387"/>
      <c r="D184" s="387"/>
      <c r="E184" s="418"/>
      <c r="F184" s="387"/>
      <c r="G184" s="387"/>
      <c r="H184" s="387"/>
      <c r="I184" s="387"/>
      <c r="J184" s="387"/>
      <c r="K184" s="387"/>
      <c r="L184" s="387"/>
      <c r="M184" s="387"/>
      <c r="N184" s="387"/>
      <c r="O184" s="387"/>
    </row>
    <row r="185" ht="12.75" customHeight="1">
      <c r="A185" s="322"/>
      <c r="B185" s="322"/>
      <c r="C185" s="322"/>
      <c r="D185" s="322"/>
      <c r="E185" s="323"/>
      <c r="F185" s="324"/>
      <c r="G185" s="324"/>
      <c r="H185" s="387"/>
      <c r="I185" s="388"/>
      <c r="J185" s="322"/>
      <c r="K185" s="322"/>
      <c r="L185" s="322"/>
      <c r="M185" s="322"/>
      <c r="N185" s="323"/>
      <c r="O185" s="324"/>
    </row>
    <row r="186" ht="12.75" customHeight="1">
      <c r="A186" s="322"/>
      <c r="B186" s="325"/>
      <c r="C186" s="322"/>
      <c r="D186" s="322"/>
      <c r="E186" s="323"/>
      <c r="F186" s="326"/>
      <c r="G186" s="326"/>
      <c r="H186" s="404"/>
      <c r="I186" s="388"/>
      <c r="J186" s="322"/>
      <c r="K186" s="325"/>
      <c r="L186" s="322"/>
      <c r="M186" s="322"/>
      <c r="N186" s="323"/>
      <c r="O186" s="326"/>
    </row>
    <row r="187" ht="12.75" customHeight="1">
      <c r="A187" s="322"/>
      <c r="B187" s="327" t="s">
        <v>931</v>
      </c>
      <c r="C187" s="328" t="s">
        <v>1302</v>
      </c>
      <c r="D187" s="329"/>
      <c r="E187" s="323"/>
      <c r="F187" s="326"/>
      <c r="G187" s="326"/>
      <c r="H187" s="404"/>
      <c r="I187" s="388"/>
      <c r="J187" s="322"/>
      <c r="K187" s="327" t="s">
        <v>931</v>
      </c>
      <c r="L187" s="328" t="s">
        <v>1142</v>
      </c>
      <c r="M187" s="329"/>
      <c r="N187" s="323"/>
      <c r="O187" s="326"/>
    </row>
    <row r="188" ht="12.75" customHeight="1">
      <c r="A188" s="322"/>
      <c r="B188" s="325"/>
      <c r="C188" s="322"/>
      <c r="D188" s="322"/>
      <c r="E188" s="323"/>
      <c r="F188" s="326"/>
      <c r="G188" s="326"/>
      <c r="H188" s="404"/>
      <c r="I188" s="388"/>
      <c r="J188" s="322"/>
      <c r="K188" s="325"/>
      <c r="L188" s="322"/>
      <c r="M188" s="322"/>
      <c r="N188" s="323"/>
      <c r="O188" s="326"/>
    </row>
    <row r="189" ht="12.75" customHeight="1">
      <c r="A189" s="322"/>
      <c r="B189" s="327" t="s">
        <v>935</v>
      </c>
      <c r="C189" s="331">
        <v>215000.0</v>
      </c>
      <c r="D189" s="329"/>
      <c r="E189" s="323"/>
      <c r="F189" s="326"/>
      <c r="G189" s="326"/>
      <c r="H189" s="404"/>
      <c r="I189" s="388"/>
      <c r="J189" s="322"/>
      <c r="K189" s="327" t="s">
        <v>935</v>
      </c>
      <c r="L189" s="331">
        <v>290000.0</v>
      </c>
      <c r="M189" s="329"/>
      <c r="N189" s="323"/>
      <c r="O189" s="326"/>
    </row>
    <row r="190" ht="12.75" customHeight="1">
      <c r="A190" s="322"/>
      <c r="B190" s="327"/>
      <c r="C190" s="332"/>
      <c r="D190" s="332"/>
      <c r="E190" s="323"/>
      <c r="F190" s="326"/>
      <c r="G190" s="326"/>
      <c r="H190" s="404"/>
      <c r="I190" s="388"/>
      <c r="J190" s="322"/>
      <c r="K190" s="327"/>
      <c r="L190" s="332"/>
      <c r="M190" s="332"/>
      <c r="N190" s="323"/>
      <c r="O190" s="326"/>
    </row>
    <row r="191" ht="12.75" customHeight="1">
      <c r="A191" s="322"/>
      <c r="B191" s="327" t="s">
        <v>939</v>
      </c>
      <c r="C191" s="333" t="str">
        <f>IF(SUM(E203,E218,E226)=0,"",SUM(E203,E218,E226))</f>
        <v>#REF!</v>
      </c>
      <c r="D191" s="321"/>
      <c r="E191" s="323" t="str">
        <f>C191/90000</f>
        <v>#REF!</v>
      </c>
      <c r="F191" s="326"/>
      <c r="G191" s="326"/>
      <c r="H191" s="404"/>
      <c r="I191" s="388"/>
      <c r="J191" s="322"/>
      <c r="K191" s="327" t="s">
        <v>939</v>
      </c>
      <c r="L191" s="333" t="str">
        <f>IF(SUM(N203,N218,N226)=0,"",SUM(N203,N218,N226))</f>
        <v>#REF!</v>
      </c>
      <c r="M191" s="321"/>
      <c r="N191" s="323"/>
      <c r="O191" s="326"/>
    </row>
    <row r="192" ht="12.75" customHeight="1">
      <c r="A192" s="322"/>
      <c r="B192" s="327"/>
      <c r="C192" s="334"/>
      <c r="D192" s="334"/>
      <c r="E192" s="323"/>
      <c r="F192" s="326"/>
      <c r="G192" s="326"/>
      <c r="H192" s="404"/>
      <c r="I192" s="388"/>
      <c r="J192" s="322"/>
      <c r="K192" s="327"/>
      <c r="L192" s="334"/>
      <c r="M192" s="334"/>
      <c r="N192" s="323"/>
      <c r="O192" s="326"/>
    </row>
    <row r="193" ht="12.75" customHeight="1">
      <c r="A193" s="322"/>
      <c r="B193" s="327" t="s">
        <v>946</v>
      </c>
      <c r="C193" s="335" t="str">
        <f>IF(C191="","",IF(ISBLANK(C189),"",C191/C189))</f>
        <v>#REF!</v>
      </c>
      <c r="D193" s="321"/>
      <c r="E193" s="323"/>
      <c r="F193" s="326"/>
      <c r="G193" s="326"/>
      <c r="H193" s="404"/>
      <c r="I193" s="388"/>
      <c r="J193" s="322"/>
      <c r="K193" s="327" t="s">
        <v>946</v>
      </c>
      <c r="L193" s="335" t="str">
        <f>IF(L191="","",IF(ISBLANK(L189),"",L191/L189))</f>
        <v>#REF!</v>
      </c>
      <c r="M193" s="321"/>
      <c r="N193" s="323"/>
      <c r="O193" s="326"/>
    </row>
    <row r="194" ht="12.75" customHeight="1">
      <c r="A194" s="322"/>
      <c r="B194" s="327"/>
      <c r="C194" s="334"/>
      <c r="D194" s="334"/>
      <c r="E194" s="323"/>
      <c r="F194" s="326"/>
      <c r="G194" s="326"/>
      <c r="H194" s="404"/>
      <c r="I194" s="388"/>
      <c r="J194" s="322"/>
      <c r="K194" s="327"/>
      <c r="L194" s="334"/>
      <c r="M194" s="334"/>
      <c r="N194" s="323"/>
      <c r="O194" s="326"/>
    </row>
    <row r="195" ht="12.75" customHeight="1">
      <c r="A195" s="322"/>
      <c r="B195" s="327" t="s">
        <v>950</v>
      </c>
      <c r="C195" s="333" t="str">
        <f>C189-C191</f>
        <v>#REF!</v>
      </c>
      <c r="D195" s="321"/>
      <c r="E195" s="323"/>
      <c r="F195" s="326"/>
      <c r="G195" s="326"/>
      <c r="H195" s="404"/>
      <c r="I195" s="388"/>
      <c r="J195" s="322"/>
      <c r="K195" s="327" t="s">
        <v>950</v>
      </c>
      <c r="L195" s="333" t="str">
        <f>L189-L191</f>
        <v>#REF!</v>
      </c>
      <c r="M195" s="321"/>
      <c r="N195" s="323"/>
      <c r="O195" s="326"/>
    </row>
    <row r="196" ht="12.75" customHeight="1">
      <c r="A196" s="322"/>
      <c r="B196" s="322"/>
      <c r="C196" s="322"/>
      <c r="D196" s="322"/>
      <c r="E196" s="323"/>
      <c r="F196" s="324"/>
      <c r="G196" s="324"/>
      <c r="H196" s="404"/>
      <c r="I196" s="388"/>
      <c r="J196" s="322"/>
      <c r="K196" s="322"/>
      <c r="L196" s="322"/>
      <c r="M196" s="322"/>
      <c r="N196" s="323"/>
      <c r="O196" s="324"/>
    </row>
    <row r="197" ht="12.75" customHeight="1">
      <c r="A197" s="322"/>
      <c r="B197" s="322"/>
      <c r="C197" s="322"/>
      <c r="D197" s="322"/>
      <c r="E197" s="337"/>
      <c r="F197" s="324"/>
      <c r="G197" s="324"/>
      <c r="H197" s="387"/>
      <c r="I197" s="388"/>
      <c r="J197" s="322"/>
      <c r="K197" s="322"/>
      <c r="L197" s="322"/>
      <c r="M197" s="322"/>
      <c r="N197" s="337"/>
      <c r="O197" s="324"/>
    </row>
    <row r="198" ht="12.75" customHeight="1">
      <c r="A198" s="322"/>
      <c r="B198" s="338" t="s">
        <v>951</v>
      </c>
      <c r="C198" s="339"/>
      <c r="D198" s="339"/>
      <c r="E198" s="339"/>
      <c r="F198" s="324"/>
      <c r="G198" s="324"/>
      <c r="H198" s="410"/>
      <c r="I198" s="388"/>
      <c r="J198" s="322"/>
      <c r="K198" s="338" t="s">
        <v>951</v>
      </c>
      <c r="L198" s="339"/>
      <c r="M198" s="339"/>
      <c r="N198" s="339"/>
      <c r="O198" s="324"/>
    </row>
    <row r="199" ht="12.75" customHeight="1">
      <c r="A199" s="322"/>
      <c r="B199" s="340" t="s">
        <v>953</v>
      </c>
      <c r="C199" s="341" t="s">
        <v>954</v>
      </c>
      <c r="D199" s="341" t="s">
        <v>955</v>
      </c>
      <c r="E199" s="341" t="s">
        <v>35</v>
      </c>
      <c r="F199" s="324"/>
      <c r="G199" s="324"/>
      <c r="H199" s="387"/>
      <c r="I199" s="388"/>
      <c r="J199" s="322"/>
      <c r="K199" s="340" t="s">
        <v>953</v>
      </c>
      <c r="L199" s="341" t="s">
        <v>954</v>
      </c>
      <c r="M199" s="341" t="s">
        <v>955</v>
      </c>
      <c r="N199" s="341" t="s">
        <v>35</v>
      </c>
      <c r="O199" s="324"/>
    </row>
    <row r="200" ht="12.75" customHeight="1">
      <c r="A200" s="322"/>
      <c r="B200" s="60" t="s">
        <v>703</v>
      </c>
      <c r="C200" s="342">
        <v>0.16</v>
      </c>
      <c r="D200" s="343">
        <f>$M$153</f>
        <v>81000</v>
      </c>
      <c r="E200" s="67">
        <f t="shared" ref="E200:E202" si="26">IF(OR(ISBLANK(C200),ISBLANK(D200)),"",D200*C200)</f>
        <v>12960</v>
      </c>
      <c r="F200" s="324"/>
      <c r="G200" s="324"/>
      <c r="H200" s="387"/>
      <c r="I200" s="388"/>
      <c r="J200" s="322"/>
      <c r="K200" s="60" t="s">
        <v>1142</v>
      </c>
      <c r="L200" s="342">
        <v>0.08</v>
      </c>
      <c r="M200" s="343">
        <f>'F&amp;B'!$F$268</f>
        <v>234000</v>
      </c>
      <c r="N200" s="67">
        <f t="shared" ref="N200:N202" si="27">IF(OR(ISBLANK(L200),ISBLANK(M200)),"",M200*L200)</f>
        <v>18720</v>
      </c>
      <c r="O200" s="324"/>
    </row>
    <row r="201" ht="12.75" customHeight="1">
      <c r="A201" s="322"/>
      <c r="B201" s="75" t="s">
        <v>1304</v>
      </c>
      <c r="C201" s="370">
        <v>1.0</v>
      </c>
      <c r="D201" s="371">
        <f>'F&amp;B'!$F$27/5</f>
        <v>5940</v>
      </c>
      <c r="E201" s="67">
        <f t="shared" si="26"/>
        <v>5940</v>
      </c>
      <c r="F201" s="324"/>
      <c r="G201" s="324"/>
      <c r="H201" s="387"/>
      <c r="I201" s="388"/>
      <c r="J201" s="322"/>
      <c r="K201" s="75" t="s">
        <v>1262</v>
      </c>
      <c r="L201" s="370">
        <v>1.0</v>
      </c>
      <c r="M201" s="371">
        <f>'F&amp;B'!$F$15/40</f>
        <v>5296.5</v>
      </c>
      <c r="N201" s="67">
        <f t="shared" si="27"/>
        <v>5296.5</v>
      </c>
      <c r="O201" s="324"/>
    </row>
    <row r="202" ht="12.75" customHeight="1">
      <c r="A202" s="322"/>
      <c r="B202" s="87" t="s">
        <v>850</v>
      </c>
      <c r="C202" s="412">
        <v>0.05</v>
      </c>
      <c r="D202" s="408">
        <f>$M$155</f>
        <v>63000</v>
      </c>
      <c r="E202" s="67">
        <f t="shared" si="26"/>
        <v>3150</v>
      </c>
      <c r="F202" s="324"/>
      <c r="G202" s="324"/>
      <c r="H202" s="387"/>
      <c r="I202" s="388"/>
      <c r="J202" s="322"/>
      <c r="K202" s="87" t="s">
        <v>1305</v>
      </c>
      <c r="L202" s="412">
        <v>0.03</v>
      </c>
      <c r="M202" s="371">
        <f>M166</f>
        <v>10800</v>
      </c>
      <c r="N202" s="67">
        <f t="shared" si="27"/>
        <v>324</v>
      </c>
      <c r="O202" s="324"/>
    </row>
    <row r="203" ht="12.75" customHeight="1">
      <c r="A203" s="322"/>
      <c r="B203" s="338" t="s">
        <v>84</v>
      </c>
      <c r="C203" s="358"/>
      <c r="D203" s="358"/>
      <c r="E203" s="359">
        <f>IF(SUM(E200:E202)=0,"",SUM(E200:E202))</f>
        <v>22050</v>
      </c>
      <c r="F203" s="324"/>
      <c r="G203" s="324"/>
      <c r="H203" s="387"/>
      <c r="I203" s="388"/>
      <c r="J203" s="322"/>
      <c r="K203" s="338" t="s">
        <v>84</v>
      </c>
      <c r="L203" s="358"/>
      <c r="M203" s="358"/>
      <c r="N203" s="359">
        <f>IF(SUM(N200:N202)=0,"",SUM(N200:N202))</f>
        <v>24340.5</v>
      </c>
      <c r="O203" s="324"/>
    </row>
    <row r="204" ht="12.75" customHeight="1">
      <c r="A204" s="322"/>
      <c r="B204" s="360"/>
      <c r="C204" s="360"/>
      <c r="D204" s="360"/>
      <c r="E204" s="361"/>
      <c r="F204" s="324"/>
      <c r="G204" s="324"/>
      <c r="H204" s="387"/>
      <c r="I204" s="388"/>
      <c r="J204" s="322"/>
      <c r="K204" s="360"/>
      <c r="L204" s="360"/>
      <c r="M204" s="360"/>
      <c r="N204" s="361"/>
      <c r="O204" s="324"/>
    </row>
    <row r="205" ht="12.75" customHeight="1">
      <c r="A205" s="322"/>
      <c r="B205" s="362" t="s">
        <v>972</v>
      </c>
      <c r="C205" s="363"/>
      <c r="D205" s="363"/>
      <c r="E205" s="363"/>
      <c r="F205" s="324"/>
      <c r="G205" s="324"/>
      <c r="H205" s="387"/>
      <c r="I205" s="388"/>
      <c r="J205" s="322"/>
      <c r="K205" s="362" t="s">
        <v>972</v>
      </c>
      <c r="L205" s="363"/>
      <c r="M205" s="363"/>
      <c r="N205" s="363"/>
      <c r="O205" s="324"/>
    </row>
    <row r="206" ht="12.75" customHeight="1">
      <c r="A206" s="322"/>
      <c r="B206" s="365" t="s">
        <v>953</v>
      </c>
      <c r="C206" s="366" t="s">
        <v>3</v>
      </c>
      <c r="D206" s="366" t="s">
        <v>975</v>
      </c>
      <c r="E206" s="367" t="s">
        <v>35</v>
      </c>
      <c r="F206" s="324"/>
      <c r="G206" s="324"/>
      <c r="H206" s="387"/>
      <c r="I206" s="388"/>
      <c r="J206" s="322"/>
      <c r="K206" s="365" t="s">
        <v>953</v>
      </c>
      <c r="L206" s="366" t="s">
        <v>3</v>
      </c>
      <c r="M206" s="366" t="s">
        <v>975</v>
      </c>
      <c r="N206" s="367" t="s">
        <v>35</v>
      </c>
      <c r="O206" s="324"/>
    </row>
    <row r="207" ht="12.75" customHeight="1">
      <c r="A207" s="322"/>
      <c r="B207" s="368"/>
      <c r="C207" s="366"/>
      <c r="D207" s="366"/>
      <c r="E207" s="368"/>
      <c r="F207" s="324"/>
      <c r="G207" s="324"/>
      <c r="H207" s="387"/>
      <c r="I207" s="388"/>
      <c r="J207" s="322"/>
      <c r="K207" s="368"/>
      <c r="L207" s="366"/>
      <c r="M207" s="366"/>
      <c r="N207" s="368"/>
      <c r="O207" s="324"/>
    </row>
    <row r="208" ht="12.75" customHeight="1">
      <c r="A208" s="322"/>
      <c r="B208" s="60" t="s">
        <v>1194</v>
      </c>
      <c r="C208" s="342">
        <v>0.09</v>
      </c>
      <c r="D208" s="343">
        <f>$M$161</f>
        <v>37140.77491</v>
      </c>
      <c r="E208" s="67">
        <f t="shared" ref="E208:E217" si="28">D208*C208</f>
        <v>3342.669742</v>
      </c>
      <c r="F208" s="324"/>
      <c r="G208" s="324"/>
      <c r="H208" s="387"/>
      <c r="I208" s="388"/>
      <c r="J208" s="322"/>
      <c r="K208" s="60" t="s">
        <v>1307</v>
      </c>
      <c r="L208" s="342">
        <v>2.0</v>
      </c>
      <c r="M208" s="343">
        <f>'F&amp;B'!$F$82/24</f>
        <v>2625</v>
      </c>
      <c r="N208" s="67">
        <f t="shared" ref="N208:N217" si="29">M208*L208</f>
        <v>5250</v>
      </c>
      <c r="O208" s="324"/>
    </row>
    <row r="209" ht="12.75" customHeight="1">
      <c r="A209" s="322"/>
      <c r="B209" s="75" t="s">
        <v>1080</v>
      </c>
      <c r="C209" s="370">
        <v>0.015</v>
      </c>
      <c r="D209" s="371">
        <f>'F&amp;B'!$F$60*3</f>
        <v>29700</v>
      </c>
      <c r="E209" s="67">
        <f t="shared" si="28"/>
        <v>445.5</v>
      </c>
      <c r="F209" s="324"/>
      <c r="G209" s="324"/>
      <c r="H209" s="387"/>
      <c r="I209" s="388"/>
      <c r="J209" s="322"/>
      <c r="K209" s="75" t="s">
        <v>544</v>
      </c>
      <c r="L209" s="370">
        <v>0.5</v>
      </c>
      <c r="M209" s="343">
        <f>SAUCES!D133</f>
        <v>2010.930109</v>
      </c>
      <c r="N209" s="67">
        <f t="shared" si="29"/>
        <v>1005.465055</v>
      </c>
      <c r="O209" s="324"/>
    </row>
    <row r="210" ht="12.75" customHeight="1">
      <c r="A210" s="322"/>
      <c r="B210" s="75" t="s">
        <v>205</v>
      </c>
      <c r="C210" s="370"/>
      <c r="D210" s="371">
        <f>$M$165</f>
        <v>923.2488</v>
      </c>
      <c r="E210" s="67">
        <f t="shared" si="28"/>
        <v>0</v>
      </c>
      <c r="F210" s="324"/>
      <c r="G210" s="324"/>
      <c r="H210" s="387"/>
      <c r="I210" s="388"/>
      <c r="J210" s="322"/>
      <c r="K210" s="75" t="s">
        <v>256</v>
      </c>
      <c r="L210" s="370">
        <v>1.0</v>
      </c>
      <c r="M210" s="371">
        <f>SAUCES!$D$68</f>
        <v>3768.104768</v>
      </c>
      <c r="N210" s="67">
        <f t="shared" si="29"/>
        <v>3768.104768</v>
      </c>
      <c r="O210" s="324"/>
    </row>
    <row r="211" ht="12.75" customHeight="1">
      <c r="A211" s="322"/>
      <c r="B211" s="75" t="s">
        <v>714</v>
      </c>
      <c r="C211" s="346">
        <v>0.04</v>
      </c>
      <c r="D211" s="371">
        <f>'F&amp;B'!$F$309</f>
        <v>22500</v>
      </c>
      <c r="E211" s="67">
        <f t="shared" si="28"/>
        <v>900</v>
      </c>
      <c r="F211" s="324"/>
      <c r="G211" s="324"/>
      <c r="H211" s="387"/>
      <c r="I211" s="388"/>
      <c r="J211" s="322"/>
      <c r="K211" s="75" t="s">
        <v>105</v>
      </c>
      <c r="L211" s="346">
        <v>0.5</v>
      </c>
      <c r="M211" s="371">
        <f>SAUCES!D34</f>
        <v>1195.819259</v>
      </c>
      <c r="N211" s="67">
        <f t="shared" si="29"/>
        <v>597.9096296</v>
      </c>
      <c r="O211" s="324"/>
    </row>
    <row r="212" ht="12.75" customHeight="1">
      <c r="A212" s="322"/>
      <c r="B212" s="75" t="s">
        <v>708</v>
      </c>
      <c r="C212" s="370">
        <v>0.04</v>
      </c>
      <c r="D212" s="371">
        <f>'F&amp;B'!$F$296</f>
        <v>9000</v>
      </c>
      <c r="E212" s="67">
        <f t="shared" si="28"/>
        <v>360</v>
      </c>
      <c r="F212" s="324"/>
      <c r="G212" s="324"/>
      <c r="H212" s="387"/>
      <c r="I212" s="388"/>
      <c r="J212" s="322"/>
      <c r="K212" s="75" t="s">
        <v>33</v>
      </c>
      <c r="L212" s="342">
        <v>0.2</v>
      </c>
      <c r="M212" s="343">
        <f>D214</f>
        <v>19665</v>
      </c>
      <c r="N212" s="67">
        <f t="shared" si="29"/>
        <v>3933</v>
      </c>
      <c r="O212" s="324"/>
    </row>
    <row r="213" ht="12.75" customHeight="1">
      <c r="A213" s="322"/>
      <c r="B213" s="75" t="s">
        <v>214</v>
      </c>
      <c r="C213" s="342">
        <v>0.08</v>
      </c>
      <c r="D213" s="371">
        <f>'F&amp;B'!$F$290</f>
        <v>6300</v>
      </c>
      <c r="E213" s="67">
        <f t="shared" si="28"/>
        <v>504</v>
      </c>
      <c r="F213" s="324"/>
      <c r="G213" s="324"/>
      <c r="H213" s="387"/>
      <c r="I213" s="388"/>
      <c r="J213" s="322"/>
      <c r="K213" s="75" t="s">
        <v>256</v>
      </c>
      <c r="L213" s="346">
        <v>1.0</v>
      </c>
      <c r="M213" s="371">
        <f>SAUCES!$D$68</f>
        <v>3768.104768</v>
      </c>
      <c r="N213" s="67">
        <f t="shared" si="29"/>
        <v>3768.104768</v>
      </c>
      <c r="O213" s="324"/>
    </row>
    <row r="214" ht="12.75" customHeight="1">
      <c r="A214" s="322"/>
      <c r="B214" s="75" t="s">
        <v>934</v>
      </c>
      <c r="C214" s="370">
        <v>0.2</v>
      </c>
      <c r="D214" s="371">
        <f>$M$164</f>
        <v>19665</v>
      </c>
      <c r="E214" s="67">
        <f t="shared" si="28"/>
        <v>3933</v>
      </c>
      <c r="F214" s="324"/>
      <c r="G214" s="324"/>
      <c r="H214" s="387"/>
      <c r="I214" s="388"/>
      <c r="J214" s="322"/>
      <c r="K214" s="75"/>
      <c r="L214" s="342"/>
      <c r="M214" s="343"/>
      <c r="N214" s="67">
        <f t="shared" si="29"/>
        <v>0</v>
      </c>
      <c r="O214" s="324"/>
    </row>
    <row r="215" ht="12.75" customHeight="1">
      <c r="A215" s="322"/>
      <c r="B215" s="348"/>
      <c r="C215" s="346"/>
      <c r="D215" s="373"/>
      <c r="E215" s="67">
        <f t="shared" si="28"/>
        <v>0</v>
      </c>
      <c r="F215" s="324"/>
      <c r="G215" s="324"/>
      <c r="H215" s="387"/>
      <c r="I215" s="388"/>
      <c r="J215" s="322"/>
      <c r="K215" s="348"/>
      <c r="L215" s="346"/>
      <c r="M215" s="343"/>
      <c r="N215" s="67">
        <f t="shared" si="29"/>
        <v>0</v>
      </c>
      <c r="O215" s="324"/>
    </row>
    <row r="216" ht="12.75" customHeight="1">
      <c r="A216" s="322"/>
      <c r="B216" s="348"/>
      <c r="C216" s="346"/>
      <c r="D216" s="373"/>
      <c r="E216" s="67">
        <f t="shared" si="28"/>
        <v>0</v>
      </c>
      <c r="F216" s="324"/>
      <c r="G216" s="324"/>
      <c r="H216" s="387"/>
      <c r="I216" s="388"/>
      <c r="J216" s="322"/>
      <c r="K216" s="348"/>
      <c r="L216" s="346"/>
      <c r="M216" s="373"/>
      <c r="N216" s="67">
        <f t="shared" si="29"/>
        <v>0</v>
      </c>
      <c r="O216" s="324"/>
    </row>
    <row r="217" ht="12.75" customHeight="1">
      <c r="A217" s="322"/>
      <c r="B217" s="354"/>
      <c r="C217" s="355"/>
      <c r="D217" s="356"/>
      <c r="E217" s="67">
        <f t="shared" si="28"/>
        <v>0</v>
      </c>
      <c r="F217" s="324"/>
      <c r="G217" s="324"/>
      <c r="H217" s="387"/>
      <c r="I217" s="388"/>
      <c r="J217" s="322"/>
      <c r="K217" s="354"/>
      <c r="L217" s="355"/>
      <c r="M217" s="356"/>
      <c r="N217" s="67">
        <f t="shared" si="29"/>
        <v>0</v>
      </c>
      <c r="O217" s="324"/>
    </row>
    <row r="218" ht="12.75" customHeight="1">
      <c r="A218" s="322"/>
      <c r="B218" s="362" t="s">
        <v>84</v>
      </c>
      <c r="C218" s="374"/>
      <c r="D218" s="374"/>
      <c r="E218" s="375">
        <f>IF(SUM(E208:E217)=0,"",SUM(E208:E217))</f>
        <v>9485.169742</v>
      </c>
      <c r="F218" s="324"/>
      <c r="G218" s="324"/>
      <c r="H218" s="387"/>
      <c r="I218" s="388"/>
      <c r="J218" s="322"/>
      <c r="K218" s="362" t="s">
        <v>84</v>
      </c>
      <c r="L218" s="374"/>
      <c r="M218" s="374"/>
      <c r="N218" s="375">
        <f>IF(SUM(N208:N217)=0,"",SUM(N208:N217))</f>
        <v>18322.58422</v>
      </c>
      <c r="O218" s="324"/>
    </row>
    <row r="219" ht="12.75" customHeight="1">
      <c r="A219" s="322"/>
      <c r="B219" s="360"/>
      <c r="C219" s="360"/>
      <c r="D219" s="360"/>
      <c r="E219" s="361"/>
      <c r="F219" s="324"/>
      <c r="G219" s="324"/>
      <c r="H219" s="387"/>
      <c r="I219" s="388"/>
      <c r="J219" s="322"/>
      <c r="K219" s="360"/>
      <c r="L219" s="360"/>
      <c r="M219" s="360"/>
      <c r="N219" s="361"/>
      <c r="O219" s="324"/>
    </row>
    <row r="220" ht="12.75" customHeight="1">
      <c r="A220" s="322"/>
      <c r="B220" s="34" t="s">
        <v>17</v>
      </c>
      <c r="C220" s="35"/>
      <c r="D220" s="35"/>
      <c r="E220" s="35"/>
      <c r="F220" s="324"/>
      <c r="G220" s="324"/>
      <c r="H220" s="387"/>
      <c r="I220" s="388"/>
      <c r="J220" s="322"/>
      <c r="K220" s="34" t="s">
        <v>17</v>
      </c>
      <c r="L220" s="35"/>
      <c r="M220" s="35"/>
      <c r="N220" s="35"/>
      <c r="O220" s="324"/>
    </row>
    <row r="221" ht="12.75" customHeight="1">
      <c r="A221" s="322"/>
      <c r="B221" s="52" t="s">
        <v>42</v>
      </c>
      <c r="C221" s="54"/>
      <c r="D221" s="54"/>
      <c r="E221" s="56" t="s">
        <v>35</v>
      </c>
      <c r="F221" s="324"/>
      <c r="G221" s="324"/>
      <c r="H221" s="387"/>
      <c r="I221" s="388"/>
      <c r="J221" s="322"/>
      <c r="K221" s="52" t="s">
        <v>42</v>
      </c>
      <c r="L221" s="54"/>
      <c r="M221" s="54"/>
      <c r="N221" s="56" t="s">
        <v>35</v>
      </c>
      <c r="O221" s="324"/>
    </row>
    <row r="222" ht="12.75" customHeight="1">
      <c r="A222" s="322"/>
      <c r="B222" s="60" t="s">
        <v>40</v>
      </c>
      <c r="C222" s="343">
        <f>'UTL COST'!$B$3</f>
        <v>369000</v>
      </c>
      <c r="D222" s="379">
        <f>'UTL COST'!$C$3</f>
        <v>0.0075</v>
      </c>
      <c r="E222" s="67">
        <f>'UTL COST'!$D$3</f>
        <v>2767.5</v>
      </c>
      <c r="F222" s="324"/>
      <c r="G222" s="324"/>
      <c r="H222" s="387"/>
      <c r="I222" s="388"/>
      <c r="J222" s="322"/>
      <c r="K222" s="60" t="s">
        <v>40</v>
      </c>
      <c r="L222" s="343">
        <f>'UTL COST'!$B$3</f>
        <v>369000</v>
      </c>
      <c r="M222" s="379">
        <f>'UTL COST'!$C$3</f>
        <v>0.0075</v>
      </c>
      <c r="N222" s="67">
        <f>'UTL COST'!$D$3</f>
        <v>2767.5</v>
      </c>
      <c r="O222" s="324"/>
    </row>
    <row r="223" ht="12.75" customHeight="1">
      <c r="A223" s="322"/>
      <c r="B223" s="75" t="s">
        <v>51</v>
      </c>
      <c r="C223" s="371" t="str">
        <f>'UTL COST'!$B$4</f>
        <v>#REF!</v>
      </c>
      <c r="D223" s="382">
        <f>'UTL COST'!$C$4</f>
        <v>7000</v>
      </c>
      <c r="E223" s="76" t="str">
        <f>'UTL COST'!$D$4</f>
        <v>#REF!</v>
      </c>
      <c r="F223" s="324"/>
      <c r="G223" s="324"/>
      <c r="H223" s="387"/>
      <c r="I223" s="388"/>
      <c r="J223" s="322"/>
      <c r="K223" s="75" t="s">
        <v>51</v>
      </c>
      <c r="L223" s="371" t="str">
        <f>'UTL COST'!$B$4</f>
        <v>#REF!</v>
      </c>
      <c r="M223" s="382">
        <f>'UTL COST'!$C$4</f>
        <v>7000</v>
      </c>
      <c r="N223" s="76" t="str">
        <f>'UTL COST'!$D$4</f>
        <v>#REF!</v>
      </c>
      <c r="O223" s="324"/>
    </row>
    <row r="224" ht="12.75" customHeight="1">
      <c r="A224" s="322"/>
      <c r="B224" s="75" t="s">
        <v>59</v>
      </c>
      <c r="C224" s="371" t="str">
        <f>'UTL COST'!$B$5</f>
        <v>#REF!</v>
      </c>
      <c r="D224" s="382">
        <f>'UTL COST'!$C$5</f>
        <v>45000</v>
      </c>
      <c r="E224" s="76" t="str">
        <f>'UTL COST'!$D$5</f>
        <v>#REF!</v>
      </c>
      <c r="F224" s="324"/>
      <c r="G224" s="324"/>
      <c r="H224" s="387"/>
      <c r="I224" s="388"/>
      <c r="J224" s="322"/>
      <c r="K224" s="75" t="s">
        <v>59</v>
      </c>
      <c r="L224" s="371" t="str">
        <f>'UTL COST'!$B$5</f>
        <v>#REF!</v>
      </c>
      <c r="M224" s="382">
        <f>'UTL COST'!$C$5</f>
        <v>45000</v>
      </c>
      <c r="N224" s="76" t="str">
        <f>'UTL COST'!$D$5</f>
        <v>#REF!</v>
      </c>
      <c r="O224" s="324"/>
    </row>
    <row r="225" ht="12.75" customHeight="1">
      <c r="A225" s="322"/>
      <c r="B225" s="87" t="s">
        <v>78</v>
      </c>
      <c r="C225" s="371" t="str">
        <f>'UTL COST'!$B$6</f>
        <v>#REF!</v>
      </c>
      <c r="D225" s="383">
        <f>'UTL COST'!$C$6</f>
        <v>525</v>
      </c>
      <c r="E225" s="89">
        <v>0.1</v>
      </c>
      <c r="F225" s="324"/>
      <c r="G225" s="324"/>
      <c r="H225" s="387"/>
      <c r="I225" s="388"/>
      <c r="J225" s="322"/>
      <c r="K225" s="87" t="s">
        <v>78</v>
      </c>
      <c r="L225" s="371" t="str">
        <f>'UTL COST'!$B$6</f>
        <v>#REF!</v>
      </c>
      <c r="M225" s="383">
        <f>'UTL COST'!$C$6</f>
        <v>525</v>
      </c>
      <c r="N225" s="89">
        <v>0.1</v>
      </c>
      <c r="O225" s="324"/>
    </row>
    <row r="226" ht="12.75" customHeight="1">
      <c r="A226" s="322"/>
      <c r="B226" s="34" t="s">
        <v>84</v>
      </c>
      <c r="C226" s="102"/>
      <c r="D226" s="102"/>
      <c r="E226" s="104" t="str">
        <f>IF(SUM(E222:E225)=0,"",SUM(E222:E225))</f>
        <v>#REF!</v>
      </c>
      <c r="F226" s="324"/>
      <c r="G226" s="324"/>
      <c r="H226" s="387"/>
      <c r="I226" s="388"/>
      <c r="J226" s="322"/>
      <c r="K226" s="34" t="s">
        <v>84</v>
      </c>
      <c r="L226" s="102"/>
      <c r="M226" s="102"/>
      <c r="N226" s="104" t="str">
        <f>IF(SUM(N222:N225)=0,"",SUM(N222:N225))</f>
        <v>#REF!</v>
      </c>
      <c r="O226" s="324"/>
    </row>
    <row r="227" ht="12.75" customHeight="1">
      <c r="A227" s="322"/>
      <c r="B227" s="360"/>
      <c r="C227" s="360"/>
      <c r="D227" s="360"/>
      <c r="E227" s="361"/>
      <c r="F227" s="324"/>
      <c r="G227" s="324"/>
      <c r="H227" s="387"/>
      <c r="I227" s="388"/>
      <c r="J227" s="322"/>
      <c r="K227" s="360"/>
      <c r="L227" s="360"/>
      <c r="M227" s="360"/>
      <c r="N227" s="361"/>
      <c r="O227" s="324"/>
    </row>
    <row r="228" ht="12.75" customHeight="1">
      <c r="A228" s="387"/>
      <c r="B228" s="387"/>
      <c r="C228" s="387"/>
      <c r="D228" s="387"/>
      <c r="E228" s="418"/>
      <c r="F228" s="387"/>
      <c r="G228" s="387"/>
      <c r="H228" s="387"/>
      <c r="I228" s="387"/>
      <c r="J228" s="387"/>
      <c r="K228" s="387"/>
      <c r="L228" s="387"/>
      <c r="M228" s="387"/>
      <c r="N228" s="387"/>
      <c r="O228" s="387"/>
    </row>
    <row r="229" ht="12.75" customHeight="1">
      <c r="A229" s="387"/>
      <c r="B229" s="387"/>
      <c r="C229" s="387"/>
      <c r="D229" s="387"/>
      <c r="E229" s="418"/>
      <c r="F229" s="387"/>
      <c r="G229" s="387"/>
      <c r="H229" s="387"/>
      <c r="I229" s="387"/>
      <c r="J229" s="387"/>
      <c r="K229" s="387"/>
      <c r="L229" s="387"/>
      <c r="M229" s="387"/>
      <c r="N229" s="387"/>
      <c r="O229" s="387"/>
    </row>
    <row r="230" ht="12.75" customHeight="1">
      <c r="A230" s="387"/>
      <c r="B230" s="387"/>
      <c r="C230" s="387"/>
      <c r="D230" s="387"/>
      <c r="E230" s="418"/>
      <c r="F230" s="387"/>
      <c r="G230" s="387"/>
      <c r="H230" s="387"/>
      <c r="I230" s="387"/>
      <c r="J230" s="387"/>
      <c r="K230" s="387"/>
      <c r="L230" s="387"/>
      <c r="M230" s="387"/>
      <c r="N230" s="387"/>
      <c r="O230" s="387"/>
    </row>
    <row r="231" ht="12.75" customHeight="1">
      <c r="A231" s="322"/>
      <c r="B231" s="322"/>
      <c r="C231" s="322"/>
      <c r="D231" s="322"/>
      <c r="E231" s="323"/>
      <c r="F231" s="324"/>
      <c r="G231" s="324"/>
      <c r="H231" s="387"/>
      <c r="I231" s="388"/>
      <c r="J231" s="322"/>
      <c r="K231" s="481"/>
      <c r="L231" s="481"/>
      <c r="M231" s="481"/>
      <c r="N231" s="482"/>
      <c r="O231" s="324"/>
    </row>
    <row r="232" ht="12.75" customHeight="1">
      <c r="A232" s="322"/>
      <c r="B232" s="325"/>
      <c r="C232" s="322"/>
      <c r="D232" s="322"/>
      <c r="E232" s="323"/>
      <c r="F232" s="326"/>
      <c r="G232" s="326"/>
      <c r="H232" s="404"/>
      <c r="I232" s="388"/>
      <c r="J232" s="322"/>
      <c r="K232" s="325"/>
      <c r="L232" s="322"/>
      <c r="M232" s="322"/>
      <c r="N232" s="323"/>
      <c r="O232" s="326"/>
    </row>
    <row r="233" ht="12.75" customHeight="1">
      <c r="A233" s="322"/>
      <c r="B233" s="327" t="s">
        <v>931</v>
      </c>
      <c r="C233" s="328" t="s">
        <v>686</v>
      </c>
      <c r="D233" s="329"/>
      <c r="E233" s="323"/>
      <c r="F233" s="326"/>
      <c r="G233" s="326"/>
      <c r="H233" s="404"/>
      <c r="I233" s="388"/>
      <c r="J233" s="322"/>
      <c r="K233" s="327" t="s">
        <v>931</v>
      </c>
      <c r="L233" s="328" t="s">
        <v>1311</v>
      </c>
      <c r="M233" s="329"/>
      <c r="N233" s="323"/>
      <c r="O233" s="326"/>
    </row>
    <row r="234" ht="12.75" customHeight="1">
      <c r="A234" s="322"/>
      <c r="B234" s="325"/>
      <c r="C234" s="322"/>
      <c r="D234" s="322"/>
      <c r="E234" s="323"/>
      <c r="F234" s="326"/>
      <c r="G234" s="326"/>
      <c r="H234" s="404"/>
      <c r="I234" s="388"/>
      <c r="J234" s="322"/>
      <c r="K234" s="325"/>
      <c r="L234" s="322"/>
      <c r="M234" s="322"/>
      <c r="N234" s="323"/>
      <c r="O234" s="326"/>
    </row>
    <row r="235" ht="12.75" customHeight="1">
      <c r="A235" s="322"/>
      <c r="B235" s="327" t="s">
        <v>935</v>
      </c>
      <c r="C235" s="331">
        <v>215000.0</v>
      </c>
      <c r="D235" s="329"/>
      <c r="E235" s="323"/>
      <c r="F235" s="326"/>
      <c r="G235" s="326"/>
      <c r="H235" s="404"/>
      <c r="I235" s="388"/>
      <c r="J235" s="322"/>
      <c r="K235" s="327" t="s">
        <v>935</v>
      </c>
      <c r="L235" s="331">
        <v>290000.0</v>
      </c>
      <c r="M235" s="329"/>
      <c r="N235" s="323"/>
      <c r="O235" s="326"/>
    </row>
    <row r="236" ht="12.75" customHeight="1">
      <c r="A236" s="322"/>
      <c r="B236" s="327"/>
      <c r="C236" s="332"/>
      <c r="D236" s="332"/>
      <c r="E236" s="323"/>
      <c r="F236" s="326"/>
      <c r="G236" s="326"/>
      <c r="H236" s="404"/>
      <c r="I236" s="388"/>
      <c r="J236" s="322"/>
      <c r="K236" s="327"/>
      <c r="L236" s="332"/>
      <c r="M236" s="332"/>
      <c r="N236" s="323"/>
      <c r="O236" s="326"/>
    </row>
    <row r="237" ht="12.75" customHeight="1">
      <c r="A237" s="322"/>
      <c r="B237" s="327" t="s">
        <v>939</v>
      </c>
      <c r="C237" s="333" t="str">
        <f>IF(SUM(E249,E264,E272)=0,"",SUM(E249,E264,E272))</f>
        <v>#REF!</v>
      </c>
      <c r="D237" s="321"/>
      <c r="E237" s="323" t="str">
        <f>C237/90000</f>
        <v>#REF!</v>
      </c>
      <c r="F237" s="326"/>
      <c r="G237" s="326"/>
      <c r="H237" s="404"/>
      <c r="I237" s="388"/>
      <c r="J237" s="322"/>
      <c r="K237" s="327" t="s">
        <v>939</v>
      </c>
      <c r="L237" s="333" t="str">
        <f>IF(SUM(N249,N264,N272)=0,"",SUM(N249,N264,N272))</f>
        <v>#REF!</v>
      </c>
      <c r="M237" s="321"/>
      <c r="N237" s="323"/>
      <c r="O237" s="326"/>
    </row>
    <row r="238" ht="12.75" customHeight="1">
      <c r="A238" s="322"/>
      <c r="B238" s="327"/>
      <c r="C238" s="334"/>
      <c r="D238" s="334"/>
      <c r="E238" s="323"/>
      <c r="F238" s="326"/>
      <c r="G238" s="326"/>
      <c r="H238" s="404"/>
      <c r="I238" s="388"/>
      <c r="J238" s="322"/>
      <c r="K238" s="327"/>
      <c r="L238" s="334"/>
      <c r="M238" s="334"/>
      <c r="N238" s="323"/>
      <c r="O238" s="326"/>
    </row>
    <row r="239" ht="12.75" customHeight="1">
      <c r="A239" s="322"/>
      <c r="B239" s="327" t="s">
        <v>946</v>
      </c>
      <c r="C239" s="335" t="str">
        <f>IF(C237="","",IF(ISBLANK(C235),"",C237/C235))</f>
        <v>#REF!</v>
      </c>
      <c r="D239" s="321"/>
      <c r="E239" s="323"/>
      <c r="F239" s="326"/>
      <c r="G239" s="326"/>
      <c r="H239" s="404"/>
      <c r="I239" s="388"/>
      <c r="J239" s="322"/>
      <c r="K239" s="327" t="s">
        <v>946</v>
      </c>
      <c r="L239" s="335" t="str">
        <f>IF(L237="","",IF(ISBLANK(L235),"",L237/L235))</f>
        <v>#REF!</v>
      </c>
      <c r="M239" s="321"/>
      <c r="N239" s="323"/>
      <c r="O239" s="326"/>
    </row>
    <row r="240" ht="12.75" customHeight="1">
      <c r="A240" s="322"/>
      <c r="B240" s="327"/>
      <c r="C240" s="334"/>
      <c r="D240" s="334"/>
      <c r="E240" s="323"/>
      <c r="F240" s="326"/>
      <c r="G240" s="326"/>
      <c r="H240" s="404"/>
      <c r="I240" s="388"/>
      <c r="J240" s="322"/>
      <c r="K240" s="327"/>
      <c r="L240" s="334"/>
      <c r="M240" s="334"/>
      <c r="N240" s="323"/>
      <c r="O240" s="326"/>
    </row>
    <row r="241" ht="12.75" customHeight="1">
      <c r="A241" s="322"/>
      <c r="B241" s="327" t="s">
        <v>950</v>
      </c>
      <c r="C241" s="333" t="str">
        <f>C235-C237</f>
        <v>#REF!</v>
      </c>
      <c r="D241" s="321"/>
      <c r="E241" s="323"/>
      <c r="F241" s="326"/>
      <c r="G241" s="326"/>
      <c r="H241" s="404"/>
      <c r="I241" s="388"/>
      <c r="J241" s="322"/>
      <c r="K241" s="327" t="s">
        <v>950</v>
      </c>
      <c r="L241" s="333" t="str">
        <f>L235-L237</f>
        <v>#REF!</v>
      </c>
      <c r="M241" s="321"/>
      <c r="N241" s="323"/>
      <c r="O241" s="326"/>
    </row>
    <row r="242" ht="12.75" customHeight="1">
      <c r="A242" s="322"/>
      <c r="B242" s="322"/>
      <c r="C242" s="322"/>
      <c r="D242" s="322"/>
      <c r="E242" s="323"/>
      <c r="F242" s="324"/>
      <c r="G242" s="324"/>
      <c r="H242" s="404"/>
      <c r="I242" s="388"/>
      <c r="J242" s="322"/>
      <c r="K242" s="322"/>
      <c r="L242" s="322"/>
      <c r="M242" s="322"/>
      <c r="N242" s="323"/>
      <c r="O242" s="324"/>
    </row>
    <row r="243" ht="12.75" customHeight="1">
      <c r="A243" s="322"/>
      <c r="B243" s="322"/>
      <c r="C243" s="322"/>
      <c r="D243" s="322"/>
      <c r="E243" s="337"/>
      <c r="F243" s="324"/>
      <c r="G243" s="324"/>
      <c r="H243" s="387"/>
      <c r="I243" s="388"/>
      <c r="J243" s="322"/>
      <c r="K243" s="322"/>
      <c r="L243" s="322"/>
      <c r="M243" s="322"/>
      <c r="N243" s="337"/>
      <c r="O243" s="324"/>
    </row>
    <row r="244" ht="12.75" customHeight="1">
      <c r="A244" s="322"/>
      <c r="B244" s="338" t="s">
        <v>951</v>
      </c>
      <c r="C244" s="339"/>
      <c r="D244" s="339"/>
      <c r="E244" s="339"/>
      <c r="F244" s="324"/>
      <c r="G244" s="324"/>
      <c r="H244" s="410"/>
      <c r="I244" s="388"/>
      <c r="J244" s="322"/>
      <c r="K244" s="338" t="s">
        <v>951</v>
      </c>
      <c r="L244" s="339"/>
      <c r="M244" s="339"/>
      <c r="N244" s="339"/>
      <c r="O244" s="324"/>
    </row>
    <row r="245" ht="12.75" customHeight="1">
      <c r="A245" s="322"/>
      <c r="B245" s="340" t="s">
        <v>953</v>
      </c>
      <c r="C245" s="341" t="s">
        <v>954</v>
      </c>
      <c r="D245" s="341" t="s">
        <v>955</v>
      </c>
      <c r="E245" s="341" t="s">
        <v>35</v>
      </c>
      <c r="F245" s="324"/>
      <c r="G245" s="324"/>
      <c r="H245" s="387"/>
      <c r="I245" s="388"/>
      <c r="J245" s="322"/>
      <c r="K245" s="340" t="s">
        <v>953</v>
      </c>
      <c r="L245" s="341" t="s">
        <v>954</v>
      </c>
      <c r="M245" s="341" t="s">
        <v>955</v>
      </c>
      <c r="N245" s="341" t="s">
        <v>35</v>
      </c>
      <c r="O245" s="324"/>
    </row>
    <row r="246" ht="12.75" customHeight="1">
      <c r="A246" s="322"/>
      <c r="B246" s="60" t="s">
        <v>703</v>
      </c>
      <c r="C246" s="342">
        <v>0.16</v>
      </c>
      <c r="D246" s="343">
        <f>$M$153</f>
        <v>81000</v>
      </c>
      <c r="E246" s="67">
        <f t="shared" ref="E246:E248" si="30">IF(OR(ISBLANK(C246),ISBLANK(D246)),"",D246*C246)</f>
        <v>12960</v>
      </c>
      <c r="F246" s="324"/>
      <c r="G246" s="324"/>
      <c r="H246" s="387"/>
      <c r="I246" s="388"/>
      <c r="J246" s="322"/>
      <c r="K246" s="60" t="s">
        <v>703</v>
      </c>
      <c r="L246" s="342">
        <v>0.16</v>
      </c>
      <c r="M246" s="343">
        <f>D246</f>
        <v>81000</v>
      </c>
      <c r="N246" s="67">
        <f t="shared" ref="N246:N248" si="31">IF(OR(ISBLANK(L246),ISBLANK(M246)),"",M246*L246)</f>
        <v>12960</v>
      </c>
      <c r="O246" s="324"/>
    </row>
    <row r="247" ht="12.75" customHeight="1">
      <c r="A247" s="322"/>
      <c r="B247" s="228" t="s">
        <v>1220</v>
      </c>
      <c r="C247" s="370">
        <v>1.0</v>
      </c>
      <c r="D247" s="371">
        <f>$M$20</f>
        <v>11925</v>
      </c>
      <c r="E247" s="67">
        <f t="shared" si="30"/>
        <v>11925</v>
      </c>
      <c r="F247" s="324"/>
      <c r="G247" s="324"/>
      <c r="H247" s="387"/>
      <c r="I247" s="388"/>
      <c r="J247" s="322"/>
      <c r="K247" s="75" t="s">
        <v>1271</v>
      </c>
      <c r="L247" s="370">
        <v>1.0</v>
      </c>
      <c r="M247" s="371">
        <f>D64</f>
        <v>5940</v>
      </c>
      <c r="N247" s="67">
        <f t="shared" si="31"/>
        <v>5940</v>
      </c>
      <c r="O247" s="324"/>
    </row>
    <row r="248" ht="12.75" customHeight="1">
      <c r="A248" s="322"/>
      <c r="B248" s="87" t="s">
        <v>850</v>
      </c>
      <c r="C248" s="412">
        <v>0.05</v>
      </c>
      <c r="D248" s="408">
        <f>$M$155</f>
        <v>63000</v>
      </c>
      <c r="E248" s="67">
        <f t="shared" si="30"/>
        <v>3150</v>
      </c>
      <c r="F248" s="324"/>
      <c r="G248" s="324"/>
      <c r="H248" s="387"/>
      <c r="I248" s="388"/>
      <c r="J248" s="322"/>
      <c r="K248" s="87" t="s">
        <v>1121</v>
      </c>
      <c r="L248" s="412">
        <v>0.032</v>
      </c>
      <c r="M248" s="371">
        <f>'F&amp;B'!$F$85</f>
        <v>129150</v>
      </c>
      <c r="N248" s="67">
        <f t="shared" si="31"/>
        <v>4132.8</v>
      </c>
      <c r="O248" s="324"/>
    </row>
    <row r="249" ht="12.75" customHeight="1">
      <c r="A249" s="322"/>
      <c r="B249" s="338" t="s">
        <v>84</v>
      </c>
      <c r="C249" s="483"/>
      <c r="D249" s="358"/>
      <c r="E249" s="359">
        <f>IF(SUM(E246:E248)=0,"",SUM(E246:E248))</f>
        <v>28035</v>
      </c>
      <c r="F249" s="324"/>
      <c r="G249" s="324"/>
      <c r="H249" s="387"/>
      <c r="I249" s="388"/>
      <c r="J249" s="322"/>
      <c r="K249" s="338" t="s">
        <v>84</v>
      </c>
      <c r="L249" s="358"/>
      <c r="M249" s="358"/>
      <c r="N249" s="359">
        <f>IF(SUM(N246:N248)=0,"",SUM(N246:N248))</f>
        <v>23032.8</v>
      </c>
      <c r="O249" s="324"/>
    </row>
    <row r="250" ht="12.75" customHeight="1">
      <c r="A250" s="322"/>
      <c r="B250" s="360"/>
      <c r="C250" s="484"/>
      <c r="D250" s="360"/>
      <c r="E250" s="361"/>
      <c r="F250" s="324"/>
      <c r="G250" s="324"/>
      <c r="H250" s="387"/>
      <c r="I250" s="388"/>
      <c r="J250" s="322"/>
      <c r="K250" s="360"/>
      <c r="L250" s="360"/>
      <c r="M250" s="360"/>
      <c r="N250" s="361"/>
      <c r="O250" s="324"/>
    </row>
    <row r="251" ht="12.75" customHeight="1">
      <c r="A251" s="322"/>
      <c r="B251" s="362" t="s">
        <v>972</v>
      </c>
      <c r="C251" s="485"/>
      <c r="D251" s="363"/>
      <c r="E251" s="363"/>
      <c r="F251" s="324"/>
      <c r="G251" s="324"/>
      <c r="H251" s="387"/>
      <c r="I251" s="388"/>
      <c r="J251" s="322"/>
      <c r="K251" s="362" t="s">
        <v>972</v>
      </c>
      <c r="L251" s="363"/>
      <c r="M251" s="363"/>
      <c r="N251" s="363"/>
      <c r="O251" s="324"/>
    </row>
    <row r="252" ht="12.75" customHeight="1">
      <c r="A252" s="322"/>
      <c r="B252" s="365" t="s">
        <v>953</v>
      </c>
      <c r="C252" s="366" t="s">
        <v>3</v>
      </c>
      <c r="D252" s="366" t="s">
        <v>975</v>
      </c>
      <c r="E252" s="367" t="s">
        <v>35</v>
      </c>
      <c r="F252" s="324"/>
      <c r="G252" s="324"/>
      <c r="H252" s="387"/>
      <c r="I252" s="388"/>
      <c r="J252" s="322"/>
      <c r="K252" s="365" t="s">
        <v>953</v>
      </c>
      <c r="L252" s="366" t="s">
        <v>3</v>
      </c>
      <c r="M252" s="366" t="s">
        <v>975</v>
      </c>
      <c r="N252" s="367" t="s">
        <v>35</v>
      </c>
      <c r="O252" s="324"/>
    </row>
    <row r="253" ht="12.75" customHeight="1">
      <c r="A253" s="322"/>
      <c r="B253" s="368"/>
      <c r="C253" s="366"/>
      <c r="D253" s="366"/>
      <c r="E253" s="368"/>
      <c r="F253" s="324"/>
      <c r="G253" s="324"/>
      <c r="H253" s="387"/>
      <c r="I253" s="388"/>
      <c r="J253" s="322"/>
      <c r="K253" s="368"/>
      <c r="L253" s="366"/>
      <c r="M253" s="366"/>
      <c r="N253" s="368"/>
      <c r="O253" s="324"/>
    </row>
    <row r="254" ht="12.75" customHeight="1">
      <c r="A254" s="322"/>
      <c r="B254" s="60" t="s">
        <v>1048</v>
      </c>
      <c r="C254" s="342">
        <v>0.06</v>
      </c>
      <c r="D254" s="343">
        <f>'F&amp;B'!$F$246/3.8</f>
        <v>56013.15789</v>
      </c>
      <c r="E254" s="67">
        <f t="shared" ref="E254:E258" si="32">D254*C254</f>
        <v>3360.789474</v>
      </c>
      <c r="F254" s="324"/>
      <c r="G254" s="324"/>
      <c r="H254" s="387"/>
      <c r="I254" s="388"/>
      <c r="J254" s="322"/>
      <c r="K254" s="60" t="s">
        <v>1261</v>
      </c>
      <c r="L254" s="342">
        <v>0.015</v>
      </c>
      <c r="M254" s="343">
        <f>'F&amp;B'!F49/10</f>
        <v>13500</v>
      </c>
      <c r="N254" s="67">
        <f t="shared" ref="N254:N263" si="33">M254*L254</f>
        <v>202.5</v>
      </c>
      <c r="O254" s="324"/>
    </row>
    <row r="255" ht="12.75" customHeight="1">
      <c r="A255" s="322"/>
      <c r="B255" s="75" t="s">
        <v>1164</v>
      </c>
      <c r="C255" s="370">
        <v>0.06</v>
      </c>
      <c r="D255" s="371">
        <f>SAUCES!$D$137</f>
        <v>32710.58771</v>
      </c>
      <c r="E255" s="67">
        <f t="shared" si="32"/>
        <v>1962.635263</v>
      </c>
      <c r="F255" s="324"/>
      <c r="G255" s="324"/>
      <c r="H255" s="387"/>
      <c r="I255" s="388"/>
      <c r="J255" s="322"/>
      <c r="K255" s="75" t="s">
        <v>1316</v>
      </c>
      <c r="L255" s="370">
        <v>0.025</v>
      </c>
      <c r="M255" s="343">
        <f>'F&amp;B'!$F$279</f>
        <v>7200</v>
      </c>
      <c r="N255" s="67">
        <f t="shared" si="33"/>
        <v>180</v>
      </c>
      <c r="O255" s="324"/>
    </row>
    <row r="256" ht="12.75" customHeight="1">
      <c r="A256" s="322"/>
      <c r="B256" s="75" t="s">
        <v>205</v>
      </c>
      <c r="C256" s="370">
        <v>1.0</v>
      </c>
      <c r="D256" s="371">
        <f>$M$165</f>
        <v>923.2488</v>
      </c>
      <c r="E256" s="67">
        <f t="shared" si="32"/>
        <v>923.2488</v>
      </c>
      <c r="F256" s="324"/>
      <c r="G256" s="324"/>
      <c r="H256" s="387"/>
      <c r="I256" s="388"/>
      <c r="J256" s="322"/>
      <c r="K256" s="75" t="s">
        <v>934</v>
      </c>
      <c r="L256" s="370">
        <v>0.2</v>
      </c>
      <c r="M256" s="371">
        <f>D258</f>
        <v>19665</v>
      </c>
      <c r="N256" s="67">
        <f t="shared" si="33"/>
        <v>3933</v>
      </c>
      <c r="O256" s="324"/>
    </row>
    <row r="257" ht="12.75" customHeight="1">
      <c r="A257" s="322"/>
      <c r="B257" s="75" t="s">
        <v>1151</v>
      </c>
      <c r="C257" s="346">
        <v>0.04</v>
      </c>
      <c r="D257" s="371">
        <f>'F&amp;B'!$F$285</f>
        <v>8100</v>
      </c>
      <c r="E257" s="67">
        <f t="shared" si="32"/>
        <v>324</v>
      </c>
      <c r="F257" s="324"/>
      <c r="G257" s="324"/>
      <c r="H257" s="387"/>
      <c r="I257" s="388"/>
      <c r="J257" s="322"/>
      <c r="K257" s="75" t="s">
        <v>1022</v>
      </c>
      <c r="L257" s="346">
        <v>0.03</v>
      </c>
      <c r="M257" s="371">
        <f>M118</f>
        <v>30314.17895</v>
      </c>
      <c r="N257" s="67">
        <f t="shared" si="33"/>
        <v>909.4253684</v>
      </c>
      <c r="O257" s="324"/>
    </row>
    <row r="258" ht="12.75" customHeight="1">
      <c r="A258" s="322"/>
      <c r="B258" s="75" t="s">
        <v>934</v>
      </c>
      <c r="C258" s="370">
        <v>0.2</v>
      </c>
      <c r="D258" s="371">
        <f>$M$164</f>
        <v>19665</v>
      </c>
      <c r="E258" s="67">
        <f t="shared" si="32"/>
        <v>3933</v>
      </c>
      <c r="F258" s="324"/>
      <c r="G258" s="324"/>
      <c r="H258" s="387"/>
      <c r="I258" s="388"/>
      <c r="J258" s="322"/>
      <c r="K258" s="75"/>
      <c r="L258" s="342"/>
      <c r="M258" s="343"/>
      <c r="N258" s="67">
        <f t="shared" si="33"/>
        <v>0</v>
      </c>
      <c r="O258" s="324"/>
    </row>
    <row r="259" ht="12.75" customHeight="1">
      <c r="A259" s="322"/>
      <c r="B259" s="87" t="s">
        <v>1205</v>
      </c>
      <c r="C259" s="412">
        <v>0.052</v>
      </c>
      <c r="D259" s="371">
        <f>'F&amp;B'!$F$220</f>
        <v>128700</v>
      </c>
      <c r="E259" s="67">
        <f>IF(OR(ISBLANK(C259),ISBLANK(D259)),"",D259*C259)</f>
        <v>6692.4</v>
      </c>
      <c r="F259" s="324"/>
      <c r="G259" s="324"/>
      <c r="H259" s="387"/>
      <c r="I259" s="388"/>
      <c r="J259" s="322"/>
      <c r="K259" s="75"/>
      <c r="L259" s="346"/>
      <c r="M259" s="371"/>
      <c r="N259" s="67">
        <f t="shared" si="33"/>
        <v>0</v>
      </c>
      <c r="O259" s="324"/>
    </row>
    <row r="260" ht="12.75" customHeight="1">
      <c r="A260" s="322"/>
      <c r="B260" s="75" t="s">
        <v>1261</v>
      </c>
      <c r="C260" s="370">
        <v>0.015</v>
      </c>
      <c r="D260" s="371">
        <f>'F&amp;B'!F49/10</f>
        <v>13500</v>
      </c>
      <c r="E260" s="67">
        <f t="shared" ref="E260:E263" si="34">D260*C260</f>
        <v>202.5</v>
      </c>
      <c r="F260" s="324"/>
      <c r="G260" s="324"/>
      <c r="H260" s="387"/>
      <c r="I260" s="388"/>
      <c r="J260" s="322"/>
      <c r="K260" s="75"/>
      <c r="L260" s="342"/>
      <c r="M260" s="343"/>
      <c r="N260" s="67">
        <f t="shared" si="33"/>
        <v>0</v>
      </c>
      <c r="O260" s="324"/>
    </row>
    <row r="261" ht="12.75" customHeight="1">
      <c r="A261" s="322"/>
      <c r="B261" s="348"/>
      <c r="C261" s="346"/>
      <c r="D261" s="373"/>
      <c r="E261" s="67">
        <f t="shared" si="34"/>
        <v>0</v>
      </c>
      <c r="F261" s="324"/>
      <c r="G261" s="324"/>
      <c r="H261" s="387"/>
      <c r="I261" s="388"/>
      <c r="J261" s="322"/>
      <c r="K261" s="348"/>
      <c r="L261" s="346"/>
      <c r="M261" s="343"/>
      <c r="N261" s="67">
        <f t="shared" si="33"/>
        <v>0</v>
      </c>
      <c r="O261" s="324"/>
    </row>
    <row r="262" ht="12.75" customHeight="1">
      <c r="A262" s="322"/>
      <c r="B262" s="348"/>
      <c r="C262" s="346"/>
      <c r="D262" s="373"/>
      <c r="E262" s="67">
        <f t="shared" si="34"/>
        <v>0</v>
      </c>
      <c r="F262" s="324"/>
      <c r="G262" s="324"/>
      <c r="H262" s="387"/>
      <c r="I262" s="388"/>
      <c r="J262" s="322"/>
      <c r="K262" s="348"/>
      <c r="L262" s="346"/>
      <c r="M262" s="373"/>
      <c r="N262" s="67">
        <f t="shared" si="33"/>
        <v>0</v>
      </c>
      <c r="O262" s="324"/>
    </row>
    <row r="263" ht="12.75" customHeight="1">
      <c r="A263" s="322"/>
      <c r="B263" s="354"/>
      <c r="C263" s="355"/>
      <c r="D263" s="356"/>
      <c r="E263" s="67">
        <f t="shared" si="34"/>
        <v>0</v>
      </c>
      <c r="F263" s="324"/>
      <c r="G263" s="324"/>
      <c r="H263" s="387"/>
      <c r="I263" s="388"/>
      <c r="J263" s="322"/>
      <c r="K263" s="354"/>
      <c r="L263" s="355"/>
      <c r="M263" s="356"/>
      <c r="N263" s="67">
        <f t="shared" si="33"/>
        <v>0</v>
      </c>
      <c r="O263" s="324"/>
    </row>
    <row r="264" ht="12.75" customHeight="1">
      <c r="A264" s="322"/>
      <c r="B264" s="362" t="s">
        <v>84</v>
      </c>
      <c r="C264" s="374"/>
      <c r="D264" s="374"/>
      <c r="E264" s="375">
        <f>IF(SUM(E254:E263)=0,"",SUM(E254:E263))</f>
        <v>17398.57354</v>
      </c>
      <c r="F264" s="324"/>
      <c r="G264" s="324"/>
      <c r="H264" s="387"/>
      <c r="I264" s="388"/>
      <c r="J264" s="322"/>
      <c r="K264" s="362" t="s">
        <v>84</v>
      </c>
      <c r="L264" s="374"/>
      <c r="M264" s="374"/>
      <c r="N264" s="375">
        <f>IF(SUM(N254:N263)=0,"",SUM(N254:N263))</f>
        <v>5224.925368</v>
      </c>
      <c r="O264" s="324"/>
    </row>
    <row r="265" ht="12.75" customHeight="1">
      <c r="A265" s="322"/>
      <c r="B265" s="360"/>
      <c r="C265" s="360"/>
      <c r="D265" s="360"/>
      <c r="E265" s="361"/>
      <c r="F265" s="324"/>
      <c r="G265" s="324"/>
      <c r="H265" s="387"/>
      <c r="I265" s="388"/>
      <c r="J265" s="322"/>
      <c r="K265" s="360"/>
      <c r="L265" s="360"/>
      <c r="M265" s="360"/>
      <c r="N265" s="361"/>
      <c r="O265" s="324"/>
    </row>
    <row r="266" ht="12.75" customHeight="1">
      <c r="A266" s="322"/>
      <c r="B266" s="34" t="s">
        <v>17</v>
      </c>
      <c r="C266" s="35"/>
      <c r="D266" s="35"/>
      <c r="E266" s="35"/>
      <c r="F266" s="324"/>
      <c r="G266" s="324"/>
      <c r="H266" s="387"/>
      <c r="I266" s="388"/>
      <c r="J266" s="322"/>
      <c r="K266" s="34" t="s">
        <v>17</v>
      </c>
      <c r="L266" s="35"/>
      <c r="M266" s="35"/>
      <c r="N266" s="35"/>
      <c r="O266" s="324"/>
    </row>
    <row r="267" ht="12.75" customHeight="1">
      <c r="A267" s="322"/>
      <c r="B267" s="52" t="s">
        <v>42</v>
      </c>
      <c r="C267" s="54"/>
      <c r="D267" s="54"/>
      <c r="E267" s="56" t="s">
        <v>35</v>
      </c>
      <c r="F267" s="324"/>
      <c r="G267" s="324"/>
      <c r="H267" s="387"/>
      <c r="I267" s="388"/>
      <c r="J267" s="322"/>
      <c r="K267" s="52" t="s">
        <v>42</v>
      </c>
      <c r="L267" s="54"/>
      <c r="M267" s="54"/>
      <c r="N267" s="56" t="s">
        <v>35</v>
      </c>
      <c r="O267" s="324"/>
    </row>
    <row r="268" ht="12.75" customHeight="1">
      <c r="A268" s="322"/>
      <c r="B268" s="60" t="s">
        <v>40</v>
      </c>
      <c r="C268" s="343">
        <f>'UTL COST'!$B$3</f>
        <v>369000</v>
      </c>
      <c r="D268" s="379">
        <f>'UTL COST'!$C$3</f>
        <v>0.0075</v>
      </c>
      <c r="E268" s="67">
        <f>'UTL COST'!$D$3</f>
        <v>2767.5</v>
      </c>
      <c r="F268" s="324"/>
      <c r="G268" s="324"/>
      <c r="H268" s="387"/>
      <c r="I268" s="388"/>
      <c r="J268" s="322"/>
      <c r="K268" s="60" t="s">
        <v>40</v>
      </c>
      <c r="L268" s="343">
        <f>'UTL COST'!$B$3</f>
        <v>369000</v>
      </c>
      <c r="M268" s="379">
        <f>'UTL COST'!$C$3</f>
        <v>0.0075</v>
      </c>
      <c r="N268" s="67">
        <f>'UTL COST'!$D$3</f>
        <v>2767.5</v>
      </c>
      <c r="O268" s="324"/>
    </row>
    <row r="269" ht="12.75" customHeight="1">
      <c r="A269" s="322"/>
      <c r="B269" s="75" t="s">
        <v>51</v>
      </c>
      <c r="C269" s="371" t="str">
        <f>'UTL COST'!$B$4</f>
        <v>#REF!</v>
      </c>
      <c r="D269" s="382">
        <f>'UTL COST'!$C$4</f>
        <v>7000</v>
      </c>
      <c r="E269" s="76" t="str">
        <f>'UTL COST'!$D$4</f>
        <v>#REF!</v>
      </c>
      <c r="F269" s="324"/>
      <c r="G269" s="324"/>
      <c r="H269" s="387"/>
      <c r="I269" s="388"/>
      <c r="J269" s="322"/>
      <c r="K269" s="75" t="s">
        <v>51</v>
      </c>
      <c r="L269" s="371" t="str">
        <f>'UTL COST'!$B$4</f>
        <v>#REF!</v>
      </c>
      <c r="M269" s="382">
        <f>'UTL COST'!$C$4</f>
        <v>7000</v>
      </c>
      <c r="N269" s="76" t="str">
        <f>'UTL COST'!$D$4</f>
        <v>#REF!</v>
      </c>
      <c r="O269" s="324"/>
    </row>
    <row r="270" ht="12.75" customHeight="1">
      <c r="A270" s="322"/>
      <c r="B270" s="75" t="s">
        <v>59</v>
      </c>
      <c r="C270" s="371" t="str">
        <f>'UTL COST'!$B$5</f>
        <v>#REF!</v>
      </c>
      <c r="D270" s="382">
        <f>'UTL COST'!$C$5</f>
        <v>45000</v>
      </c>
      <c r="E270" s="76" t="str">
        <f>'UTL COST'!$D$5</f>
        <v>#REF!</v>
      </c>
      <c r="F270" s="324"/>
      <c r="G270" s="324"/>
      <c r="H270" s="387"/>
      <c r="I270" s="388"/>
      <c r="J270" s="322"/>
      <c r="K270" s="75" t="s">
        <v>59</v>
      </c>
      <c r="L270" s="371" t="str">
        <f>'UTL COST'!$B$5</f>
        <v>#REF!</v>
      </c>
      <c r="M270" s="382">
        <f>'UTL COST'!$C$5</f>
        <v>45000</v>
      </c>
      <c r="N270" s="76" t="str">
        <f>'UTL COST'!$D$5</f>
        <v>#REF!</v>
      </c>
      <c r="O270" s="324"/>
    </row>
    <row r="271" ht="12.75" customHeight="1">
      <c r="A271" s="322"/>
      <c r="B271" s="87" t="s">
        <v>78</v>
      </c>
      <c r="C271" s="371" t="str">
        <f>'UTL COST'!$B$6</f>
        <v>#REF!</v>
      </c>
      <c r="D271" s="383">
        <f>'UTL COST'!$C$6</f>
        <v>525</v>
      </c>
      <c r="E271" s="89">
        <v>0.1</v>
      </c>
      <c r="F271" s="324"/>
      <c r="G271" s="324"/>
      <c r="H271" s="387"/>
      <c r="I271" s="388"/>
      <c r="J271" s="322"/>
      <c r="K271" s="87" t="s">
        <v>78</v>
      </c>
      <c r="L271" s="371" t="str">
        <f>'UTL COST'!$B$6</f>
        <v>#REF!</v>
      </c>
      <c r="M271" s="383">
        <f>'UTL COST'!$C$6</f>
        <v>525</v>
      </c>
      <c r="N271" s="89">
        <v>0.1</v>
      </c>
      <c r="O271" s="324"/>
    </row>
    <row r="272" ht="12.75" customHeight="1">
      <c r="A272" s="322"/>
      <c r="B272" s="34" t="s">
        <v>84</v>
      </c>
      <c r="C272" s="102"/>
      <c r="D272" s="102"/>
      <c r="E272" s="104" t="str">
        <f>IF(SUM(E268:E271)=0,"",SUM(E268:E271))</f>
        <v>#REF!</v>
      </c>
      <c r="F272" s="324"/>
      <c r="G272" s="324"/>
      <c r="H272" s="387"/>
      <c r="I272" s="388"/>
      <c r="J272" s="322"/>
      <c r="K272" s="34" t="s">
        <v>84</v>
      </c>
      <c r="L272" s="102"/>
      <c r="M272" s="102"/>
      <c r="N272" s="104" t="str">
        <f>IF(SUM(N268:N271)=0,"",SUM(N268:N271))</f>
        <v>#REF!</v>
      </c>
      <c r="O272" s="324"/>
    </row>
    <row r="273" ht="12.75" customHeight="1">
      <c r="A273" s="322"/>
      <c r="B273" s="360"/>
      <c r="C273" s="360"/>
      <c r="D273" s="360"/>
      <c r="E273" s="361"/>
      <c r="F273" s="324"/>
      <c r="G273" s="324"/>
      <c r="H273" s="387"/>
      <c r="I273" s="388"/>
      <c r="J273" s="322"/>
      <c r="K273" s="360"/>
      <c r="L273" s="360"/>
      <c r="M273" s="360"/>
      <c r="N273" s="361"/>
      <c r="O273" s="324"/>
    </row>
    <row r="274" ht="12.75" customHeight="1">
      <c r="A274" s="387"/>
      <c r="B274" s="387"/>
      <c r="C274" s="387"/>
      <c r="D274" s="387"/>
      <c r="E274" s="418"/>
      <c r="F274" s="387"/>
      <c r="G274" s="387"/>
      <c r="H274" s="387"/>
      <c r="I274" s="387"/>
      <c r="J274" s="387"/>
      <c r="K274" s="387"/>
      <c r="L274" s="387"/>
      <c r="M274" s="387"/>
      <c r="N274" s="387"/>
      <c r="O274" s="387"/>
    </row>
    <row r="275" ht="12.75" customHeight="1">
      <c r="A275" s="387"/>
      <c r="B275" s="387"/>
      <c r="C275" s="387"/>
      <c r="D275" s="387"/>
      <c r="E275" s="418"/>
      <c r="F275" s="387"/>
      <c r="G275" s="387"/>
      <c r="H275" s="387"/>
      <c r="I275" s="387"/>
      <c r="J275" s="387"/>
      <c r="K275" s="387"/>
      <c r="L275" s="387"/>
      <c r="M275" s="387"/>
      <c r="N275" s="387"/>
      <c r="O275" s="387"/>
    </row>
    <row r="276" ht="12.75" customHeight="1">
      <c r="A276" s="387"/>
      <c r="B276" s="387"/>
      <c r="C276" s="387"/>
      <c r="D276" s="387"/>
      <c r="E276" s="418"/>
      <c r="F276" s="387"/>
      <c r="G276" s="387"/>
      <c r="H276" s="387"/>
      <c r="I276" s="387"/>
      <c r="J276" s="387"/>
      <c r="K276" s="387"/>
      <c r="L276" s="387"/>
      <c r="M276" s="387"/>
      <c r="N276" s="387"/>
      <c r="O276" s="387"/>
    </row>
    <row r="277" ht="12.75" customHeight="1">
      <c r="A277" s="322"/>
      <c r="B277" s="322"/>
      <c r="C277" s="322"/>
      <c r="D277" s="322"/>
      <c r="E277" s="323"/>
      <c r="F277" s="324"/>
      <c r="G277" s="324"/>
      <c r="H277" s="387"/>
      <c r="I277" s="388"/>
      <c r="J277" s="322"/>
      <c r="K277" s="322"/>
      <c r="L277" s="322"/>
      <c r="M277" s="322"/>
      <c r="N277" s="322"/>
      <c r="O277" s="322"/>
    </row>
    <row r="278" ht="12.75" customHeight="1">
      <c r="A278" s="322"/>
      <c r="B278" s="325"/>
      <c r="C278" s="322"/>
      <c r="D278" s="322"/>
      <c r="E278" s="323"/>
      <c r="F278" s="326"/>
      <c r="G278" s="326"/>
      <c r="H278" s="404"/>
      <c r="I278" s="388"/>
      <c r="J278" s="322"/>
      <c r="K278" s="325"/>
      <c r="L278" s="322"/>
      <c r="M278" s="322"/>
      <c r="N278" s="323"/>
      <c r="O278" s="326"/>
    </row>
    <row r="279" ht="12.75" customHeight="1">
      <c r="A279" s="322"/>
      <c r="B279" s="327" t="s">
        <v>931</v>
      </c>
      <c r="C279" s="328" t="s">
        <v>690</v>
      </c>
      <c r="D279" s="329"/>
      <c r="E279" s="323"/>
      <c r="F279" s="326"/>
      <c r="G279" s="326"/>
      <c r="H279" s="404"/>
      <c r="I279" s="388"/>
      <c r="J279" s="322"/>
      <c r="K279" s="327" t="s">
        <v>931</v>
      </c>
      <c r="L279" s="328" t="s">
        <v>694</v>
      </c>
      <c r="M279" s="329"/>
      <c r="N279" s="323"/>
      <c r="O279" s="326"/>
    </row>
    <row r="280" ht="12.75" customHeight="1">
      <c r="A280" s="322"/>
      <c r="B280" s="325"/>
      <c r="C280" s="322"/>
      <c r="D280" s="322"/>
      <c r="E280" s="323"/>
      <c r="F280" s="326"/>
      <c r="G280" s="326"/>
      <c r="H280" s="404"/>
      <c r="I280" s="388"/>
      <c r="J280" s="322"/>
      <c r="K280" s="325"/>
      <c r="L280" s="322"/>
      <c r="M280" s="322"/>
      <c r="N280" s="323"/>
      <c r="O280" s="326"/>
    </row>
    <row r="281" ht="12.75" customHeight="1">
      <c r="A281" s="322"/>
      <c r="B281" s="327" t="s">
        <v>935</v>
      </c>
      <c r="C281" s="331"/>
      <c r="D281" s="329"/>
      <c r="E281" s="323"/>
      <c r="F281" s="326"/>
      <c r="G281" s="326"/>
      <c r="H281" s="404"/>
      <c r="I281" s="388"/>
      <c r="J281" s="322"/>
      <c r="K281" s="327" t="s">
        <v>935</v>
      </c>
      <c r="L281" s="331"/>
      <c r="M281" s="329"/>
      <c r="N281" s="323"/>
      <c r="O281" s="326"/>
    </row>
    <row r="282" ht="12.75" customHeight="1">
      <c r="A282" s="322"/>
      <c r="B282" s="327"/>
      <c r="C282" s="332"/>
      <c r="D282" s="332"/>
      <c r="E282" s="323"/>
      <c r="F282" s="326"/>
      <c r="G282" s="326"/>
      <c r="H282" s="404"/>
      <c r="I282" s="388"/>
      <c r="J282" s="322"/>
      <c r="K282" s="327"/>
      <c r="L282" s="332"/>
      <c r="M282" s="332"/>
      <c r="N282" s="323"/>
      <c r="O282" s="326"/>
    </row>
    <row r="283" ht="12.75" customHeight="1">
      <c r="A283" s="322"/>
      <c r="B283" s="327" t="s">
        <v>939</v>
      </c>
      <c r="C283" s="333" t="str">
        <f>IF(SUM(E295,E310,E318)=0,"",SUM(E295,E310,E318))</f>
        <v>#REF!</v>
      </c>
      <c r="D283" s="321"/>
      <c r="E283" s="323"/>
      <c r="F283" s="326"/>
      <c r="G283" s="326"/>
      <c r="H283" s="404"/>
      <c r="I283" s="388"/>
      <c r="J283" s="322"/>
      <c r="K283" s="327" t="s">
        <v>939</v>
      </c>
      <c r="L283" s="333" t="str">
        <f>IF(SUM(N295,N310,N318)=0,"",SUM(N295,N310,N318))</f>
        <v>#REF!</v>
      </c>
      <c r="M283" s="321"/>
      <c r="N283" s="323"/>
      <c r="O283" s="326"/>
    </row>
    <row r="284" ht="12.75" customHeight="1">
      <c r="A284" s="322"/>
      <c r="B284" s="327"/>
      <c r="C284" s="334"/>
      <c r="D284" s="334"/>
      <c r="E284" s="323"/>
      <c r="F284" s="326"/>
      <c r="G284" s="326"/>
      <c r="H284" s="404"/>
      <c r="I284" s="388"/>
      <c r="J284" s="322"/>
      <c r="K284" s="327"/>
      <c r="L284" s="334"/>
      <c r="M284" s="334"/>
      <c r="N284" s="323"/>
      <c r="O284" s="326"/>
    </row>
    <row r="285" ht="12.75" customHeight="1">
      <c r="A285" s="322"/>
      <c r="B285" s="327" t="s">
        <v>946</v>
      </c>
      <c r="C285" s="335" t="str">
        <f>IF(C283="","",IF(ISBLANK(C281),"",C283/C281))</f>
        <v>#REF!</v>
      </c>
      <c r="D285" s="321"/>
      <c r="E285" s="323"/>
      <c r="F285" s="326"/>
      <c r="G285" s="326"/>
      <c r="H285" s="404"/>
      <c r="I285" s="388"/>
      <c r="J285" s="322"/>
      <c r="K285" s="327" t="s">
        <v>946</v>
      </c>
      <c r="L285" s="335" t="str">
        <f>IF(L283="","",IF(ISBLANK(L281),"",L283/L281))</f>
        <v>#REF!</v>
      </c>
      <c r="M285" s="321"/>
      <c r="N285" s="323"/>
      <c r="O285" s="326"/>
    </row>
    <row r="286" ht="12.75" customHeight="1">
      <c r="A286" s="322"/>
      <c r="B286" s="327"/>
      <c r="C286" s="334"/>
      <c r="D286" s="334"/>
      <c r="E286" s="323"/>
      <c r="F286" s="326"/>
      <c r="G286" s="326"/>
      <c r="H286" s="404"/>
      <c r="I286" s="388"/>
      <c r="J286" s="322"/>
      <c r="K286" s="327"/>
      <c r="L286" s="334"/>
      <c r="M286" s="334"/>
      <c r="N286" s="323"/>
      <c r="O286" s="326"/>
    </row>
    <row r="287" ht="12.75" customHeight="1">
      <c r="A287" s="322"/>
      <c r="B287" s="327" t="s">
        <v>950</v>
      </c>
      <c r="C287" s="333" t="str">
        <f>C281-C283</f>
        <v>#REF!</v>
      </c>
      <c r="D287" s="321"/>
      <c r="E287" s="323"/>
      <c r="F287" s="326"/>
      <c r="G287" s="326"/>
      <c r="H287" s="404"/>
      <c r="I287" s="388"/>
      <c r="J287" s="322"/>
      <c r="K287" s="327" t="s">
        <v>950</v>
      </c>
      <c r="L287" s="333" t="str">
        <f>L281-L283</f>
        <v>#REF!</v>
      </c>
      <c r="M287" s="321"/>
      <c r="N287" s="323"/>
      <c r="O287" s="326"/>
    </row>
    <row r="288" ht="12.75" customHeight="1">
      <c r="A288" s="322"/>
      <c r="B288" s="322"/>
      <c r="C288" s="322"/>
      <c r="D288" s="322"/>
      <c r="E288" s="323"/>
      <c r="F288" s="324"/>
      <c r="G288" s="324"/>
      <c r="H288" s="404"/>
      <c r="I288" s="388"/>
      <c r="J288" s="322"/>
      <c r="K288" s="322"/>
      <c r="L288" s="322"/>
      <c r="M288" s="322"/>
      <c r="N288" s="323"/>
      <c r="O288" s="324"/>
    </row>
    <row r="289" ht="12.75" customHeight="1">
      <c r="A289" s="322"/>
      <c r="B289" s="322"/>
      <c r="C289" s="322"/>
      <c r="D289" s="322"/>
      <c r="E289" s="337"/>
      <c r="F289" s="324"/>
      <c r="G289" s="324"/>
      <c r="H289" s="387"/>
      <c r="I289" s="388"/>
      <c r="J289" s="322"/>
      <c r="K289" s="322"/>
      <c r="L289" s="322"/>
      <c r="M289" s="322"/>
      <c r="N289" s="337"/>
      <c r="O289" s="324"/>
    </row>
    <row r="290" ht="12.75" customHeight="1">
      <c r="A290" s="322"/>
      <c r="B290" s="338" t="s">
        <v>951</v>
      </c>
      <c r="C290" s="339"/>
      <c r="D290" s="339"/>
      <c r="E290" s="339"/>
      <c r="F290" s="324"/>
      <c r="G290" s="324"/>
      <c r="H290" s="410"/>
      <c r="I290" s="388"/>
      <c r="J290" s="322"/>
      <c r="K290" s="338" t="s">
        <v>951</v>
      </c>
      <c r="L290" s="339"/>
      <c r="M290" s="339"/>
      <c r="N290" s="339"/>
      <c r="O290" s="324"/>
    </row>
    <row r="291" ht="12.75" customHeight="1">
      <c r="A291" s="322"/>
      <c r="B291" s="340" t="s">
        <v>953</v>
      </c>
      <c r="C291" s="341" t="s">
        <v>954</v>
      </c>
      <c r="D291" s="341" t="s">
        <v>955</v>
      </c>
      <c r="E291" s="341" t="s">
        <v>35</v>
      </c>
      <c r="F291" s="324"/>
      <c r="G291" s="324"/>
      <c r="H291" s="387"/>
      <c r="I291" s="388"/>
      <c r="J291" s="322"/>
      <c r="K291" s="340" t="s">
        <v>953</v>
      </c>
      <c r="L291" s="341" t="s">
        <v>954</v>
      </c>
      <c r="M291" s="341" t="s">
        <v>955</v>
      </c>
      <c r="N291" s="341" t="s">
        <v>35</v>
      </c>
      <c r="O291" s="324"/>
    </row>
    <row r="292" ht="12.75" customHeight="1">
      <c r="A292" s="322"/>
      <c r="B292" s="60" t="s">
        <v>1326</v>
      </c>
      <c r="C292" s="342">
        <v>4.0</v>
      </c>
      <c r="D292" s="343">
        <f>('F&amp;B'!$F$24/4)/18</f>
        <v>1897.5</v>
      </c>
      <c r="E292" s="67">
        <f t="shared" ref="E292:E294" si="35">IF(OR(ISBLANK(C292),ISBLANK(D292)),"",D292*C292)</f>
        <v>7590</v>
      </c>
      <c r="F292" s="324"/>
      <c r="G292" s="324"/>
      <c r="H292" s="387"/>
      <c r="I292" s="388"/>
      <c r="J292" s="322"/>
      <c r="K292" s="60" t="s">
        <v>703</v>
      </c>
      <c r="L292" s="342">
        <v>0.16</v>
      </c>
      <c r="M292" s="343">
        <f>D302</f>
        <v>81000</v>
      </c>
      <c r="N292" s="67">
        <f t="shared" ref="N292:N294" si="36">IF(OR(ISBLANK(L292),ISBLANK(M292)),"",M292*L292)</f>
        <v>12960</v>
      </c>
      <c r="O292" s="324"/>
    </row>
    <row r="293" ht="12.75" customHeight="1">
      <c r="A293" s="322"/>
      <c r="B293" s="75" t="s">
        <v>1048</v>
      </c>
      <c r="C293" s="370">
        <v>0.08</v>
      </c>
      <c r="D293" s="371">
        <f>$D$254</f>
        <v>56013.15789</v>
      </c>
      <c r="E293" s="67">
        <f t="shared" si="35"/>
        <v>4481.052632</v>
      </c>
      <c r="F293" s="324"/>
      <c r="G293" s="324"/>
      <c r="H293" s="387"/>
      <c r="I293" s="388"/>
      <c r="J293" s="322"/>
      <c r="K293" s="75" t="s">
        <v>1326</v>
      </c>
      <c r="L293" s="370">
        <v>4.0</v>
      </c>
      <c r="M293" s="343">
        <f>D292</f>
        <v>1897.5</v>
      </c>
      <c r="N293" s="67">
        <f t="shared" si="36"/>
        <v>7590</v>
      </c>
      <c r="O293" s="324"/>
    </row>
    <row r="294" ht="12.75" customHeight="1">
      <c r="A294" s="322"/>
      <c r="B294" s="87" t="s">
        <v>1164</v>
      </c>
      <c r="C294" s="412">
        <v>0.08</v>
      </c>
      <c r="D294" s="408">
        <f>$D$255</f>
        <v>32710.58771</v>
      </c>
      <c r="E294" s="67">
        <f t="shared" si="35"/>
        <v>2616.847017</v>
      </c>
      <c r="F294" s="324"/>
      <c r="G294" s="324"/>
      <c r="H294" s="387"/>
      <c r="I294" s="388"/>
      <c r="J294" s="322"/>
      <c r="K294" s="87" t="s">
        <v>1205</v>
      </c>
      <c r="L294" s="412">
        <v>0.052</v>
      </c>
      <c r="M294" s="371">
        <f>'F&amp;B'!$F$220</f>
        <v>128700</v>
      </c>
      <c r="N294" s="67">
        <f t="shared" si="36"/>
        <v>6692.4</v>
      </c>
      <c r="O294" s="324"/>
    </row>
    <row r="295" ht="12.75" customHeight="1">
      <c r="A295" s="322"/>
      <c r="B295" s="338" t="s">
        <v>84</v>
      </c>
      <c r="C295" s="483"/>
      <c r="D295" s="358"/>
      <c r="E295" s="359">
        <f>IF(SUM(E292:E294)=0,"",SUM(E292:E294))</f>
        <v>14687.89965</v>
      </c>
      <c r="F295" s="324"/>
      <c r="G295" s="324"/>
      <c r="H295" s="387"/>
      <c r="I295" s="388"/>
      <c r="J295" s="322"/>
      <c r="K295" s="338" t="s">
        <v>84</v>
      </c>
      <c r="L295" s="358"/>
      <c r="M295" s="358"/>
      <c r="N295" s="359">
        <f>IF(SUM(N292:N294)=0,"",SUM(N292:N294))</f>
        <v>27242.4</v>
      </c>
      <c r="O295" s="324"/>
    </row>
    <row r="296" ht="12.75" customHeight="1">
      <c r="A296" s="322"/>
      <c r="B296" s="360"/>
      <c r="C296" s="484"/>
      <c r="D296" s="360"/>
      <c r="E296" s="361"/>
      <c r="F296" s="324"/>
      <c r="G296" s="324"/>
      <c r="H296" s="387"/>
      <c r="I296" s="388"/>
      <c r="J296" s="322"/>
      <c r="K296" s="360"/>
      <c r="L296" s="360"/>
      <c r="M296" s="360"/>
      <c r="N296" s="361"/>
      <c r="O296" s="324"/>
    </row>
    <row r="297" ht="12.75" customHeight="1">
      <c r="A297" s="322"/>
      <c r="B297" s="362" t="s">
        <v>972</v>
      </c>
      <c r="C297" s="485"/>
      <c r="D297" s="363"/>
      <c r="E297" s="363"/>
      <c r="F297" s="324"/>
      <c r="G297" s="324"/>
      <c r="H297" s="387"/>
      <c r="I297" s="388"/>
      <c r="J297" s="322"/>
      <c r="K297" s="362" t="s">
        <v>972</v>
      </c>
      <c r="L297" s="363"/>
      <c r="M297" s="363"/>
      <c r="N297" s="363"/>
      <c r="O297" s="324"/>
    </row>
    <row r="298" ht="12.75" customHeight="1">
      <c r="A298" s="322"/>
      <c r="B298" s="365" t="s">
        <v>953</v>
      </c>
      <c r="C298" s="366" t="s">
        <v>3</v>
      </c>
      <c r="D298" s="366" t="s">
        <v>975</v>
      </c>
      <c r="E298" s="367" t="s">
        <v>35</v>
      </c>
      <c r="F298" s="324"/>
      <c r="G298" s="324"/>
      <c r="H298" s="387"/>
      <c r="I298" s="388"/>
      <c r="J298" s="322"/>
      <c r="K298" s="365" t="s">
        <v>953</v>
      </c>
      <c r="L298" s="366" t="s">
        <v>3</v>
      </c>
      <c r="M298" s="366" t="s">
        <v>975</v>
      </c>
      <c r="N298" s="367" t="s">
        <v>35</v>
      </c>
      <c r="O298" s="324"/>
    </row>
    <row r="299" ht="12.75" customHeight="1">
      <c r="A299" s="322"/>
      <c r="B299" s="368"/>
      <c r="C299" s="366"/>
      <c r="D299" s="366"/>
      <c r="E299" s="368"/>
      <c r="F299" s="324"/>
      <c r="G299" s="324"/>
      <c r="H299" s="387"/>
      <c r="I299" s="388"/>
      <c r="J299" s="322"/>
      <c r="K299" s="368"/>
      <c r="L299" s="366"/>
      <c r="M299" s="366"/>
      <c r="N299" s="368"/>
      <c r="O299" s="324"/>
    </row>
    <row r="300" ht="12.75" customHeight="1">
      <c r="A300" s="322"/>
      <c r="B300" s="60" t="s">
        <v>1327</v>
      </c>
      <c r="C300" s="342">
        <v>0.04</v>
      </c>
      <c r="D300" s="343">
        <f>'F&amp;B'!$F$80/5</f>
        <v>20700</v>
      </c>
      <c r="E300" s="67">
        <f t="shared" ref="E300:E309" si="37">D300*C300</f>
        <v>828</v>
      </c>
      <c r="F300" s="324"/>
      <c r="G300" s="324"/>
      <c r="H300" s="387"/>
      <c r="I300" s="388"/>
      <c r="J300" s="322"/>
      <c r="K300" s="60" t="s">
        <v>225</v>
      </c>
      <c r="L300" s="344">
        <v>1.0</v>
      </c>
      <c r="M300" s="343">
        <f>'F&amp;B'!$F$84/30</f>
        <v>1299</v>
      </c>
      <c r="N300" s="67">
        <f t="shared" ref="N300:N309" si="38">M300*L300</f>
        <v>1299</v>
      </c>
      <c r="O300" s="324"/>
    </row>
    <row r="301" ht="12.75" customHeight="1">
      <c r="A301" s="322"/>
      <c r="B301" s="75" t="s">
        <v>765</v>
      </c>
      <c r="C301" s="370">
        <v>0.1</v>
      </c>
      <c r="D301" s="371">
        <f>'F&amp;B'!$F$288</f>
        <v>54000</v>
      </c>
      <c r="E301" s="67">
        <f t="shared" si="37"/>
        <v>5400</v>
      </c>
      <c r="F301" s="324"/>
      <c r="G301" s="324"/>
      <c r="H301" s="387"/>
      <c r="I301" s="388"/>
      <c r="J301" s="322"/>
      <c r="K301" s="75" t="s">
        <v>1000</v>
      </c>
      <c r="L301" s="370">
        <v>0.015</v>
      </c>
      <c r="M301" s="343">
        <f>'F&amp;B'!$F$277</f>
        <v>13500</v>
      </c>
      <c r="N301" s="67">
        <f t="shared" si="38"/>
        <v>202.5</v>
      </c>
      <c r="O301" s="324"/>
    </row>
    <row r="302" ht="12.75" customHeight="1">
      <c r="A302" s="322"/>
      <c r="B302" s="75" t="s">
        <v>703</v>
      </c>
      <c r="C302" s="370">
        <v>0.16</v>
      </c>
      <c r="D302" s="371">
        <f>$M$19</f>
        <v>81000</v>
      </c>
      <c r="E302" s="67">
        <f t="shared" si="37"/>
        <v>12960</v>
      </c>
      <c r="F302" s="324"/>
      <c r="G302" s="324"/>
      <c r="H302" s="387"/>
      <c r="I302" s="388"/>
      <c r="J302" s="322"/>
      <c r="K302" s="75" t="s">
        <v>1229</v>
      </c>
      <c r="L302" s="370">
        <v>0.06</v>
      </c>
      <c r="M302" s="371">
        <f>'F&amp;B'!$F$279</f>
        <v>7200</v>
      </c>
      <c r="N302" s="67">
        <f t="shared" si="38"/>
        <v>432</v>
      </c>
      <c r="O302" s="324"/>
    </row>
    <row r="303" ht="12.75" customHeight="1">
      <c r="A303" s="322"/>
      <c r="B303" s="75" t="s">
        <v>934</v>
      </c>
      <c r="C303" s="346">
        <v>0.2</v>
      </c>
      <c r="D303" s="371">
        <f>$D$77</f>
        <v>19665</v>
      </c>
      <c r="E303" s="67">
        <f t="shared" si="37"/>
        <v>3933</v>
      </c>
      <c r="F303" s="324"/>
      <c r="G303" s="324"/>
      <c r="H303" s="387"/>
      <c r="I303" s="388"/>
      <c r="J303" s="322"/>
      <c r="K303" s="75" t="s">
        <v>1164</v>
      </c>
      <c r="L303" s="346">
        <v>0.08</v>
      </c>
      <c r="M303" s="371">
        <f>$D$294</f>
        <v>32710.58771</v>
      </c>
      <c r="N303" s="67">
        <f t="shared" si="38"/>
        <v>2616.847017</v>
      </c>
      <c r="O303" s="324"/>
    </row>
    <row r="304" ht="12.75" customHeight="1">
      <c r="A304" s="322"/>
      <c r="B304" s="75" t="s">
        <v>205</v>
      </c>
      <c r="C304" s="370">
        <v>1.0</v>
      </c>
      <c r="D304" s="371">
        <f>$D$163</f>
        <v>923.2488</v>
      </c>
      <c r="E304" s="67">
        <f t="shared" si="37"/>
        <v>923.2488</v>
      </c>
      <c r="F304" s="324"/>
      <c r="G304" s="324"/>
      <c r="H304" s="387"/>
      <c r="I304" s="388"/>
      <c r="J304" s="322"/>
      <c r="K304" s="75" t="s">
        <v>765</v>
      </c>
      <c r="L304" s="342">
        <v>0.1</v>
      </c>
      <c r="M304" s="343">
        <f>$D$301</f>
        <v>54000</v>
      </c>
      <c r="N304" s="67">
        <f t="shared" si="38"/>
        <v>5400</v>
      </c>
      <c r="O304" s="324"/>
    </row>
    <row r="305" ht="12.75" customHeight="1">
      <c r="A305" s="322"/>
      <c r="B305" s="75"/>
      <c r="C305" s="342"/>
      <c r="D305" s="371"/>
      <c r="E305" s="67">
        <f t="shared" si="37"/>
        <v>0</v>
      </c>
      <c r="F305" s="324"/>
      <c r="G305" s="324"/>
      <c r="H305" s="387"/>
      <c r="I305" s="388"/>
      <c r="J305" s="322"/>
      <c r="K305" s="75" t="s">
        <v>934</v>
      </c>
      <c r="L305" s="346">
        <v>0.2</v>
      </c>
      <c r="M305" s="371">
        <f>$D$303</f>
        <v>19665</v>
      </c>
      <c r="N305" s="67">
        <f t="shared" si="38"/>
        <v>3933</v>
      </c>
      <c r="O305" s="324"/>
    </row>
    <row r="306" ht="12.75" customHeight="1">
      <c r="A306" s="322"/>
      <c r="B306" s="75"/>
      <c r="C306" s="370"/>
      <c r="D306" s="371"/>
      <c r="E306" s="67">
        <f t="shared" si="37"/>
        <v>0</v>
      </c>
      <c r="F306" s="324"/>
      <c r="G306" s="324"/>
      <c r="H306" s="387"/>
      <c r="I306" s="388"/>
      <c r="J306" s="322"/>
      <c r="K306" s="75" t="s">
        <v>205</v>
      </c>
      <c r="L306" s="342">
        <v>1.0</v>
      </c>
      <c r="M306" s="343">
        <f>$D$304</f>
        <v>923.2488</v>
      </c>
      <c r="N306" s="67">
        <f t="shared" si="38"/>
        <v>923.2488</v>
      </c>
      <c r="O306" s="324"/>
    </row>
    <row r="307" ht="12.75" customHeight="1">
      <c r="A307" s="322"/>
      <c r="B307" s="348"/>
      <c r="C307" s="346"/>
      <c r="D307" s="373"/>
      <c r="E307" s="67">
        <f t="shared" si="37"/>
        <v>0</v>
      </c>
      <c r="F307" s="324"/>
      <c r="G307" s="324"/>
      <c r="H307" s="387"/>
      <c r="I307" s="388"/>
      <c r="J307" s="322"/>
      <c r="K307" s="348"/>
      <c r="L307" s="346"/>
      <c r="M307" s="343"/>
      <c r="N307" s="67">
        <f t="shared" si="38"/>
        <v>0</v>
      </c>
      <c r="O307" s="324"/>
    </row>
    <row r="308" ht="12.75" customHeight="1">
      <c r="A308" s="322"/>
      <c r="B308" s="348"/>
      <c r="C308" s="346"/>
      <c r="D308" s="373"/>
      <c r="E308" s="67">
        <f t="shared" si="37"/>
        <v>0</v>
      </c>
      <c r="F308" s="324"/>
      <c r="G308" s="324"/>
      <c r="H308" s="387"/>
      <c r="I308" s="388"/>
      <c r="J308" s="322"/>
      <c r="K308" s="348"/>
      <c r="L308" s="346"/>
      <c r="M308" s="373"/>
      <c r="N308" s="67">
        <f t="shared" si="38"/>
        <v>0</v>
      </c>
      <c r="O308" s="324"/>
    </row>
    <row r="309" ht="12.75" customHeight="1">
      <c r="A309" s="322"/>
      <c r="B309" s="354"/>
      <c r="C309" s="355"/>
      <c r="D309" s="356"/>
      <c r="E309" s="67">
        <f t="shared" si="37"/>
        <v>0</v>
      </c>
      <c r="F309" s="324"/>
      <c r="G309" s="324"/>
      <c r="H309" s="387"/>
      <c r="I309" s="388"/>
      <c r="J309" s="322"/>
      <c r="K309" s="354"/>
      <c r="L309" s="355"/>
      <c r="M309" s="356"/>
      <c r="N309" s="67">
        <f t="shared" si="38"/>
        <v>0</v>
      </c>
      <c r="O309" s="324"/>
    </row>
    <row r="310" ht="12.75" customHeight="1">
      <c r="A310" s="322"/>
      <c r="B310" s="362" t="s">
        <v>84</v>
      </c>
      <c r="C310" s="374"/>
      <c r="D310" s="374"/>
      <c r="E310" s="375">
        <f>IF(SUM(E300:E309)=0,"",SUM(E300:E309))</f>
        <v>24044.2488</v>
      </c>
      <c r="F310" s="324"/>
      <c r="G310" s="324"/>
      <c r="H310" s="387"/>
      <c r="I310" s="388"/>
      <c r="J310" s="322"/>
      <c r="K310" s="362" t="s">
        <v>84</v>
      </c>
      <c r="L310" s="374"/>
      <c r="M310" s="374"/>
      <c r="N310" s="375">
        <f>IF(SUM(N300:N309)=0,"",SUM(N300:N309))</f>
        <v>14806.59582</v>
      </c>
      <c r="O310" s="324"/>
    </row>
    <row r="311" ht="12.75" customHeight="1">
      <c r="A311" s="322"/>
      <c r="B311" s="360"/>
      <c r="C311" s="360"/>
      <c r="D311" s="360"/>
      <c r="E311" s="361"/>
      <c r="F311" s="324"/>
      <c r="G311" s="324"/>
      <c r="H311" s="387"/>
      <c r="I311" s="388"/>
      <c r="J311" s="322"/>
      <c r="K311" s="360"/>
      <c r="L311" s="360"/>
      <c r="M311" s="360"/>
      <c r="N311" s="361"/>
      <c r="O311" s="324"/>
    </row>
    <row r="312" ht="12.75" customHeight="1">
      <c r="A312" s="322"/>
      <c r="B312" s="34" t="s">
        <v>17</v>
      </c>
      <c r="C312" s="35"/>
      <c r="D312" s="35"/>
      <c r="E312" s="35"/>
      <c r="F312" s="324"/>
      <c r="G312" s="324"/>
      <c r="H312" s="387"/>
      <c r="I312" s="388"/>
      <c r="J312" s="322"/>
      <c r="K312" s="34" t="s">
        <v>17</v>
      </c>
      <c r="L312" s="35"/>
      <c r="M312" s="35"/>
      <c r="N312" s="35"/>
      <c r="O312" s="324"/>
    </row>
    <row r="313" ht="12.75" customHeight="1">
      <c r="A313" s="322"/>
      <c r="B313" s="52" t="s">
        <v>42</v>
      </c>
      <c r="C313" s="54"/>
      <c r="D313" s="54"/>
      <c r="E313" s="56" t="s">
        <v>35</v>
      </c>
      <c r="F313" s="324"/>
      <c r="G313" s="324"/>
      <c r="H313" s="387"/>
      <c r="I313" s="388"/>
      <c r="J313" s="322"/>
      <c r="K313" s="52" t="s">
        <v>42</v>
      </c>
      <c r="L313" s="54"/>
      <c r="M313" s="54"/>
      <c r="N313" s="56" t="s">
        <v>35</v>
      </c>
      <c r="O313" s="324"/>
    </row>
    <row r="314" ht="12.75" customHeight="1">
      <c r="A314" s="322"/>
      <c r="B314" s="60" t="s">
        <v>40</v>
      </c>
      <c r="C314" s="343">
        <f>'UTL COST'!$B$3</f>
        <v>369000</v>
      </c>
      <c r="D314" s="379">
        <f>'UTL COST'!$C$3</f>
        <v>0.0075</v>
      </c>
      <c r="E314" s="67">
        <f>'UTL COST'!$D$3</f>
        <v>2767.5</v>
      </c>
      <c r="F314" s="324"/>
      <c r="G314" s="324"/>
      <c r="H314" s="387"/>
      <c r="I314" s="388"/>
      <c r="J314" s="322"/>
      <c r="K314" s="60" t="s">
        <v>40</v>
      </c>
      <c r="L314" s="343">
        <f>'UTL COST'!$B$3</f>
        <v>369000</v>
      </c>
      <c r="M314" s="379">
        <f>'UTL COST'!$C$3</f>
        <v>0.0075</v>
      </c>
      <c r="N314" s="67">
        <f>'UTL COST'!$D$3</f>
        <v>2767.5</v>
      </c>
      <c r="O314" s="324"/>
    </row>
    <row r="315" ht="12.75" customHeight="1">
      <c r="A315" s="322"/>
      <c r="B315" s="75" t="s">
        <v>51</v>
      </c>
      <c r="C315" s="371" t="str">
        <f>'UTL COST'!$B$4</f>
        <v>#REF!</v>
      </c>
      <c r="D315" s="382">
        <f>'UTL COST'!$C$4</f>
        <v>7000</v>
      </c>
      <c r="E315" s="76" t="str">
        <f>'UTL COST'!$D$4</f>
        <v>#REF!</v>
      </c>
      <c r="F315" s="324"/>
      <c r="G315" s="324"/>
      <c r="H315" s="387"/>
      <c r="I315" s="388"/>
      <c r="J315" s="322"/>
      <c r="K315" s="75" t="s">
        <v>51</v>
      </c>
      <c r="L315" s="371" t="str">
        <f>'UTL COST'!$B$4</f>
        <v>#REF!</v>
      </c>
      <c r="M315" s="382">
        <f>'UTL COST'!$C$4</f>
        <v>7000</v>
      </c>
      <c r="N315" s="76" t="str">
        <f>'UTL COST'!$D$4</f>
        <v>#REF!</v>
      </c>
      <c r="O315" s="324"/>
    </row>
    <row r="316" ht="12.75" customHeight="1">
      <c r="A316" s="322"/>
      <c r="B316" s="75" t="s">
        <v>59</v>
      </c>
      <c r="C316" s="371" t="str">
        <f>'UTL COST'!$B$5</f>
        <v>#REF!</v>
      </c>
      <c r="D316" s="382">
        <f>'UTL COST'!$C$5</f>
        <v>45000</v>
      </c>
      <c r="E316" s="76" t="str">
        <f>'UTL COST'!$D$5</f>
        <v>#REF!</v>
      </c>
      <c r="F316" s="324"/>
      <c r="G316" s="324"/>
      <c r="H316" s="387"/>
      <c r="I316" s="388"/>
      <c r="J316" s="322"/>
      <c r="K316" s="75" t="s">
        <v>59</v>
      </c>
      <c r="L316" s="371" t="str">
        <f>'UTL COST'!$B$5</f>
        <v>#REF!</v>
      </c>
      <c r="M316" s="382">
        <f>'UTL COST'!$C$5</f>
        <v>45000</v>
      </c>
      <c r="N316" s="76" t="str">
        <f>'UTL COST'!$D$5</f>
        <v>#REF!</v>
      </c>
      <c r="O316" s="324"/>
    </row>
    <row r="317" ht="12.75" customHeight="1">
      <c r="A317" s="322"/>
      <c r="B317" s="87" t="s">
        <v>78</v>
      </c>
      <c r="C317" s="371" t="str">
        <f>'UTL COST'!$B$6</f>
        <v>#REF!</v>
      </c>
      <c r="D317" s="383">
        <f>'UTL COST'!$C$6</f>
        <v>525</v>
      </c>
      <c r="E317" s="89">
        <v>0.1</v>
      </c>
      <c r="F317" s="324"/>
      <c r="G317" s="324"/>
      <c r="H317" s="387"/>
      <c r="I317" s="388"/>
      <c r="J317" s="322"/>
      <c r="K317" s="87" t="s">
        <v>78</v>
      </c>
      <c r="L317" s="371" t="str">
        <f>'UTL COST'!$B$6</f>
        <v>#REF!</v>
      </c>
      <c r="M317" s="383">
        <f>'UTL COST'!$C$6</f>
        <v>525</v>
      </c>
      <c r="N317" s="89">
        <v>0.1</v>
      </c>
      <c r="O317" s="324"/>
    </row>
    <row r="318" ht="12.75" customHeight="1">
      <c r="A318" s="322"/>
      <c r="B318" s="34" t="s">
        <v>84</v>
      </c>
      <c r="C318" s="102"/>
      <c r="D318" s="102"/>
      <c r="E318" s="104" t="str">
        <f>IF(SUM(E314:E317)=0,"",SUM(E314:E317))</f>
        <v>#REF!</v>
      </c>
      <c r="F318" s="324"/>
      <c r="G318" s="324"/>
      <c r="H318" s="387"/>
      <c r="I318" s="388"/>
      <c r="J318" s="322"/>
      <c r="K318" s="34" t="s">
        <v>84</v>
      </c>
      <c r="L318" s="102"/>
      <c r="M318" s="102"/>
      <c r="N318" s="104" t="str">
        <f>IF(SUM(N314:N317)=0,"",SUM(N314:N317))</f>
        <v>#REF!</v>
      </c>
      <c r="O318" s="324"/>
    </row>
    <row r="319" ht="12.75" customHeight="1">
      <c r="A319" s="322"/>
      <c r="B319" s="360"/>
      <c r="C319" s="360"/>
      <c r="D319" s="360"/>
      <c r="E319" s="361"/>
      <c r="F319" s="324"/>
      <c r="G319" s="324"/>
      <c r="H319" s="387"/>
      <c r="I319" s="388"/>
      <c r="J319" s="322"/>
      <c r="K319" s="360"/>
      <c r="L319" s="360"/>
      <c r="M319" s="360"/>
      <c r="N319" s="361"/>
      <c r="O319" s="324"/>
    </row>
    <row r="320" ht="12.75" customHeight="1">
      <c r="A320" s="387"/>
      <c r="B320" s="387"/>
      <c r="C320" s="387"/>
      <c r="D320" s="387"/>
      <c r="E320" s="418"/>
      <c r="F320" s="387"/>
      <c r="G320" s="387"/>
      <c r="H320" s="387"/>
      <c r="I320" s="387"/>
      <c r="J320" s="387"/>
      <c r="K320" s="387"/>
      <c r="L320" s="387"/>
      <c r="M320" s="387"/>
      <c r="N320" s="387"/>
      <c r="O320" s="387"/>
    </row>
    <row r="321" ht="12.75" customHeight="1">
      <c r="A321" s="387"/>
      <c r="B321" s="387"/>
      <c r="C321" s="387"/>
      <c r="D321" s="387"/>
      <c r="E321" s="418"/>
      <c r="F321" s="387"/>
      <c r="G321" s="387"/>
      <c r="H321" s="387"/>
      <c r="I321" s="387"/>
      <c r="J321" s="387"/>
      <c r="K321" s="387"/>
      <c r="L321" s="387"/>
      <c r="M321" s="387"/>
      <c r="N321" s="387"/>
      <c r="O321" s="387"/>
    </row>
    <row r="322" ht="12.75" customHeight="1">
      <c r="A322" s="387"/>
      <c r="B322" s="387"/>
      <c r="C322" s="387"/>
      <c r="D322" s="387"/>
      <c r="E322" s="418"/>
      <c r="F322" s="387"/>
      <c r="G322" s="387"/>
      <c r="H322" s="387"/>
      <c r="I322" s="387"/>
      <c r="J322" s="387"/>
      <c r="K322" s="387"/>
      <c r="L322" s="387"/>
      <c r="M322" s="387"/>
      <c r="N322" s="387"/>
      <c r="O322" s="387"/>
    </row>
    <row r="323" ht="12.75" customHeight="1">
      <c r="A323" s="322"/>
      <c r="B323" s="322"/>
      <c r="C323" s="322"/>
      <c r="D323" s="322"/>
      <c r="E323" s="323"/>
      <c r="F323" s="324"/>
      <c r="G323" s="324"/>
      <c r="H323" s="387"/>
      <c r="I323" s="388"/>
      <c r="J323" s="322"/>
      <c r="K323" s="322"/>
      <c r="L323" s="322"/>
      <c r="M323" s="322"/>
      <c r="N323" s="322"/>
      <c r="O323" s="322"/>
    </row>
    <row r="324" ht="12.75" customHeight="1">
      <c r="A324" s="322"/>
      <c r="B324" s="325"/>
      <c r="C324" s="322"/>
      <c r="D324" s="322"/>
      <c r="E324" s="323"/>
      <c r="F324" s="326"/>
      <c r="G324" s="326"/>
      <c r="H324" s="404"/>
      <c r="I324" s="388"/>
      <c r="J324" s="322"/>
      <c r="K324" s="325"/>
      <c r="L324" s="322"/>
      <c r="M324" s="322"/>
      <c r="N324" s="323"/>
      <c r="O324" s="326"/>
    </row>
    <row r="325" ht="12.75" customHeight="1">
      <c r="A325" s="322"/>
      <c r="B325" s="327" t="s">
        <v>931</v>
      </c>
      <c r="C325" s="328" t="s">
        <v>699</v>
      </c>
      <c r="D325" s="329"/>
      <c r="E325" s="323"/>
      <c r="F325" s="326"/>
      <c r="G325" s="326"/>
      <c r="H325" s="404"/>
      <c r="I325" s="388"/>
      <c r="J325" s="322"/>
      <c r="K325" s="327" t="s">
        <v>931</v>
      </c>
      <c r="L325" s="330" t="s">
        <v>1331</v>
      </c>
      <c r="M325" s="329"/>
      <c r="N325" s="323"/>
      <c r="O325" s="326"/>
    </row>
    <row r="326" ht="12.75" customHeight="1">
      <c r="A326" s="322"/>
      <c r="B326" s="325"/>
      <c r="C326" s="322"/>
      <c r="D326" s="322"/>
      <c r="E326" s="323"/>
      <c r="F326" s="326"/>
      <c r="G326" s="326"/>
      <c r="H326" s="404"/>
      <c r="I326" s="388"/>
      <c r="J326" s="322"/>
      <c r="K326" s="325"/>
      <c r="L326" s="322"/>
      <c r="M326" s="322"/>
      <c r="N326" s="323"/>
      <c r="O326" s="326"/>
    </row>
    <row r="327" ht="12.75" customHeight="1">
      <c r="A327" s="322"/>
      <c r="B327" s="327" t="s">
        <v>935</v>
      </c>
      <c r="C327" s="331"/>
      <c r="D327" s="329"/>
      <c r="E327" s="323"/>
      <c r="F327" s="326"/>
      <c r="G327" s="326"/>
      <c r="H327" s="404"/>
      <c r="I327" s="388"/>
      <c r="J327" s="322"/>
      <c r="K327" s="327" t="s">
        <v>935</v>
      </c>
      <c r="L327" s="331"/>
      <c r="M327" s="329"/>
      <c r="N327" s="323"/>
      <c r="O327" s="326"/>
    </row>
    <row r="328" ht="12.75" customHeight="1">
      <c r="A328" s="322"/>
      <c r="B328" s="327"/>
      <c r="C328" s="332"/>
      <c r="D328" s="332"/>
      <c r="E328" s="323"/>
      <c r="F328" s="326"/>
      <c r="G328" s="326"/>
      <c r="H328" s="404"/>
      <c r="I328" s="388"/>
      <c r="J328" s="322"/>
      <c r="K328" s="327"/>
      <c r="L328" s="332"/>
      <c r="M328" s="332"/>
      <c r="N328" s="323"/>
      <c r="O328" s="326"/>
    </row>
    <row r="329" ht="12.75" customHeight="1">
      <c r="A329" s="322"/>
      <c r="B329" s="327" t="s">
        <v>939</v>
      </c>
      <c r="C329" s="333" t="str">
        <f>IF(SUM(E341,E356,E364)=0,"",SUM(E341,E356,E364))</f>
        <v>#REF!</v>
      </c>
      <c r="D329" s="321"/>
      <c r="E329" s="323"/>
      <c r="F329" s="326"/>
      <c r="G329" s="326"/>
      <c r="H329" s="404"/>
      <c r="I329" s="388"/>
      <c r="J329" s="322"/>
      <c r="K329" s="327" t="s">
        <v>939</v>
      </c>
      <c r="L329" s="333" t="str">
        <f>IF(SUM(N341,N356,N364)=0,"",SUM(N341,N356,N364))</f>
        <v>#REF!</v>
      </c>
      <c r="M329" s="321"/>
      <c r="N329" s="323"/>
      <c r="O329" s="326"/>
    </row>
    <row r="330" ht="12.75" customHeight="1">
      <c r="A330" s="322"/>
      <c r="B330" s="327"/>
      <c r="C330" s="334"/>
      <c r="D330" s="334"/>
      <c r="E330" s="323"/>
      <c r="F330" s="326"/>
      <c r="G330" s="326"/>
      <c r="H330" s="404"/>
      <c r="I330" s="388"/>
      <c r="J330" s="322"/>
      <c r="K330" s="327"/>
      <c r="L330" s="334"/>
      <c r="M330" s="334"/>
      <c r="N330" s="323"/>
      <c r="O330" s="326"/>
    </row>
    <row r="331" ht="12.75" customHeight="1">
      <c r="A331" s="322"/>
      <c r="B331" s="327" t="s">
        <v>946</v>
      </c>
      <c r="C331" s="335" t="str">
        <f>IF(C329="","",IF(ISBLANK(C327),"",C329/C327))</f>
        <v>#REF!</v>
      </c>
      <c r="D331" s="321"/>
      <c r="E331" s="323"/>
      <c r="F331" s="326"/>
      <c r="G331" s="326"/>
      <c r="H331" s="404"/>
      <c r="I331" s="388"/>
      <c r="J331" s="322"/>
      <c r="K331" s="327" t="s">
        <v>946</v>
      </c>
      <c r="L331" s="335" t="str">
        <f>IF(L329="","",IF(ISBLANK(L327),"",L329/L327))</f>
        <v>#REF!</v>
      </c>
      <c r="M331" s="321"/>
      <c r="N331" s="323"/>
      <c r="O331" s="326"/>
    </row>
    <row r="332" ht="12.75" customHeight="1">
      <c r="A332" s="322"/>
      <c r="B332" s="327"/>
      <c r="C332" s="334"/>
      <c r="D332" s="334"/>
      <c r="E332" s="323"/>
      <c r="F332" s="326"/>
      <c r="G332" s="326"/>
      <c r="H332" s="404"/>
      <c r="I332" s="388"/>
      <c r="J332" s="322"/>
      <c r="K332" s="327"/>
      <c r="L332" s="334"/>
      <c r="M332" s="334"/>
      <c r="N332" s="323"/>
      <c r="O332" s="326"/>
    </row>
    <row r="333" ht="12.75" customHeight="1">
      <c r="A333" s="322"/>
      <c r="B333" s="327" t="s">
        <v>950</v>
      </c>
      <c r="C333" s="333" t="str">
        <f>C327-C329</f>
        <v>#REF!</v>
      </c>
      <c r="D333" s="321"/>
      <c r="E333" s="323"/>
      <c r="F333" s="326"/>
      <c r="G333" s="326"/>
      <c r="H333" s="404"/>
      <c r="I333" s="388"/>
      <c r="J333" s="322"/>
      <c r="K333" s="327" t="s">
        <v>950</v>
      </c>
      <c r="L333" s="333" t="str">
        <f>L327-L329</f>
        <v>#REF!</v>
      </c>
      <c r="M333" s="321"/>
      <c r="N333" s="323"/>
      <c r="O333" s="326"/>
    </row>
    <row r="334" ht="12.75" customHeight="1">
      <c r="A334" s="322"/>
      <c r="B334" s="322"/>
      <c r="C334" s="322"/>
      <c r="D334" s="322"/>
      <c r="E334" s="323"/>
      <c r="F334" s="324"/>
      <c r="G334" s="324"/>
      <c r="H334" s="404"/>
      <c r="I334" s="388"/>
      <c r="J334" s="322"/>
      <c r="K334" s="322"/>
      <c r="L334" s="322"/>
      <c r="M334" s="322"/>
      <c r="N334" s="323"/>
      <c r="O334" s="324"/>
    </row>
    <row r="335" ht="12.75" customHeight="1">
      <c r="A335" s="322"/>
      <c r="B335" s="322"/>
      <c r="C335" s="322"/>
      <c r="D335" s="322"/>
      <c r="E335" s="337"/>
      <c r="F335" s="324"/>
      <c r="G335" s="324"/>
      <c r="H335" s="387"/>
      <c r="I335" s="388"/>
      <c r="J335" s="322"/>
      <c r="K335" s="322"/>
      <c r="L335" s="322"/>
      <c r="M335" s="322"/>
      <c r="N335" s="337"/>
      <c r="O335" s="324"/>
    </row>
    <row r="336" ht="12.75" customHeight="1">
      <c r="A336" s="322"/>
      <c r="B336" s="338" t="s">
        <v>951</v>
      </c>
      <c r="C336" s="339"/>
      <c r="D336" s="339"/>
      <c r="E336" s="339"/>
      <c r="F336" s="324"/>
      <c r="G336" s="324"/>
      <c r="H336" s="410"/>
      <c r="I336" s="388"/>
      <c r="J336" s="322"/>
      <c r="K336" s="338" t="s">
        <v>951</v>
      </c>
      <c r="L336" s="339"/>
      <c r="M336" s="339"/>
      <c r="N336" s="339"/>
      <c r="O336" s="324"/>
    </row>
    <row r="337" ht="12.75" customHeight="1">
      <c r="A337" s="322"/>
      <c r="B337" s="340" t="s">
        <v>953</v>
      </c>
      <c r="C337" s="341" t="s">
        <v>954</v>
      </c>
      <c r="D337" s="341" t="s">
        <v>955</v>
      </c>
      <c r="E337" s="341" t="s">
        <v>35</v>
      </c>
      <c r="F337" s="324"/>
      <c r="G337" s="324"/>
      <c r="H337" s="387"/>
      <c r="I337" s="388"/>
      <c r="J337" s="322"/>
      <c r="K337" s="340" t="s">
        <v>953</v>
      </c>
      <c r="L337" s="341" t="s">
        <v>954</v>
      </c>
      <c r="M337" s="341" t="s">
        <v>955</v>
      </c>
      <c r="N337" s="341" t="s">
        <v>35</v>
      </c>
      <c r="O337" s="324"/>
    </row>
    <row r="338" ht="12.75" customHeight="1">
      <c r="A338" s="322"/>
      <c r="B338" s="60" t="s">
        <v>1333</v>
      </c>
      <c r="C338" s="342">
        <v>1.0</v>
      </c>
      <c r="D338" s="343">
        <f>'F&amp;B'!$F$5/30</f>
        <v>7566</v>
      </c>
      <c r="E338" s="67">
        <f t="shared" ref="E338:E340" si="39">IF(OR(ISBLANK(C338),ISBLANK(D338)),"",D338*C338)</f>
        <v>7566</v>
      </c>
      <c r="F338" s="324"/>
      <c r="G338" s="324"/>
      <c r="H338" s="387"/>
      <c r="I338" s="388"/>
      <c r="J338" s="322"/>
      <c r="K338" s="139" t="s">
        <v>1142</v>
      </c>
      <c r="L338" s="344">
        <v>0.11</v>
      </c>
      <c r="M338" s="343">
        <f>'F&amp;B'!F269</f>
        <v>414000</v>
      </c>
      <c r="N338" s="67">
        <f t="shared" ref="N338:N340" si="40">IF(OR(ISBLANK(L338),ISBLANK(M338)),"",M338*L338)</f>
        <v>45540</v>
      </c>
      <c r="O338" s="324"/>
    </row>
    <row r="339" ht="12.75" customHeight="1">
      <c r="A339" s="322"/>
      <c r="B339" s="75" t="s">
        <v>1334</v>
      </c>
      <c r="C339" s="370">
        <v>0.1</v>
      </c>
      <c r="D339" s="371">
        <f>'F&amp;B'!$F$215</f>
        <v>198000</v>
      </c>
      <c r="E339" s="67">
        <f t="shared" si="39"/>
        <v>19800</v>
      </c>
      <c r="F339" s="324"/>
      <c r="G339" s="324"/>
      <c r="H339" s="387"/>
      <c r="I339" s="388"/>
      <c r="J339" s="322"/>
      <c r="K339" s="228" t="s">
        <v>1335</v>
      </c>
      <c r="L339" s="370">
        <f>1/4</f>
        <v>0.25</v>
      </c>
      <c r="M339" s="343">
        <f>'F&amp;B'!F26/4.8</f>
        <v>51562.5</v>
      </c>
      <c r="N339" s="67">
        <f t="shared" si="40"/>
        <v>12890.625</v>
      </c>
      <c r="O339" s="324"/>
    </row>
    <row r="340" ht="12.75" customHeight="1">
      <c r="A340" s="322"/>
      <c r="B340" s="87" t="s">
        <v>1033</v>
      </c>
      <c r="C340" s="412">
        <v>0.02</v>
      </c>
      <c r="D340" s="408">
        <f>'F&amp;B'!$F$278</f>
        <v>103500</v>
      </c>
      <c r="E340" s="67">
        <f t="shared" si="39"/>
        <v>2070</v>
      </c>
      <c r="F340" s="324"/>
      <c r="G340" s="324"/>
      <c r="H340" s="387"/>
      <c r="I340" s="388"/>
      <c r="J340" s="322"/>
      <c r="K340" s="406" t="s">
        <v>350</v>
      </c>
      <c r="L340" s="407">
        <v>0.04</v>
      </c>
      <c r="M340" s="371">
        <f>'F&amp;B'!F101/8</f>
        <v>117450</v>
      </c>
      <c r="N340" s="67">
        <f t="shared" si="40"/>
        <v>4698</v>
      </c>
      <c r="O340" s="324"/>
    </row>
    <row r="341" ht="12.75" customHeight="1">
      <c r="A341" s="322"/>
      <c r="B341" s="338" t="s">
        <v>84</v>
      </c>
      <c r="C341" s="483"/>
      <c r="D341" s="358"/>
      <c r="E341" s="359">
        <f>IF(SUM(E338:E340)=0,"",SUM(E338:E340))</f>
        <v>29436</v>
      </c>
      <c r="F341" s="324"/>
      <c r="G341" s="324"/>
      <c r="H341" s="387"/>
      <c r="I341" s="388"/>
      <c r="J341" s="322"/>
      <c r="K341" s="338" t="s">
        <v>84</v>
      </c>
      <c r="L341" s="358"/>
      <c r="M341" s="358"/>
      <c r="N341" s="359">
        <f>IF(SUM(N338:N340)=0,"",SUM(N338:N340))</f>
        <v>63128.625</v>
      </c>
      <c r="O341" s="324"/>
    </row>
    <row r="342" ht="12.75" customHeight="1">
      <c r="A342" s="322"/>
      <c r="B342" s="360"/>
      <c r="C342" s="484"/>
      <c r="D342" s="360"/>
      <c r="E342" s="361"/>
      <c r="F342" s="324"/>
      <c r="G342" s="324"/>
      <c r="H342" s="387"/>
      <c r="I342" s="388"/>
      <c r="J342" s="322"/>
      <c r="K342" s="360"/>
      <c r="L342" s="360"/>
      <c r="M342" s="360"/>
      <c r="N342" s="361"/>
      <c r="O342" s="324"/>
    </row>
    <row r="343" ht="12.75" customHeight="1">
      <c r="A343" s="322"/>
      <c r="B343" s="362" t="s">
        <v>972</v>
      </c>
      <c r="C343" s="485"/>
      <c r="D343" s="363"/>
      <c r="E343" s="363"/>
      <c r="F343" s="324"/>
      <c r="G343" s="324"/>
      <c r="H343" s="387"/>
      <c r="I343" s="388"/>
      <c r="J343" s="322"/>
      <c r="K343" s="362" t="s">
        <v>972</v>
      </c>
      <c r="L343" s="363"/>
      <c r="M343" s="363"/>
      <c r="N343" s="363"/>
      <c r="O343" s="324"/>
    </row>
    <row r="344" ht="12.75" customHeight="1">
      <c r="A344" s="322"/>
      <c r="B344" s="365" t="s">
        <v>953</v>
      </c>
      <c r="C344" s="366" t="s">
        <v>3</v>
      </c>
      <c r="D344" s="366" t="s">
        <v>975</v>
      </c>
      <c r="E344" s="367" t="s">
        <v>35</v>
      </c>
      <c r="F344" s="324"/>
      <c r="G344" s="324"/>
      <c r="H344" s="387"/>
      <c r="I344" s="388"/>
      <c r="J344" s="322"/>
      <c r="K344" s="365" t="s">
        <v>953</v>
      </c>
      <c r="L344" s="366" t="s">
        <v>3</v>
      </c>
      <c r="M344" s="366" t="s">
        <v>975</v>
      </c>
      <c r="N344" s="367" t="s">
        <v>35</v>
      </c>
      <c r="O344" s="324"/>
    </row>
    <row r="345" ht="12.75" customHeight="1">
      <c r="A345" s="322"/>
      <c r="B345" s="368"/>
      <c r="C345" s="366"/>
      <c r="D345" s="366"/>
      <c r="E345" s="368"/>
      <c r="F345" s="324"/>
      <c r="G345" s="324"/>
      <c r="H345" s="387"/>
      <c r="I345" s="388"/>
      <c r="J345" s="322"/>
      <c r="K345" s="368"/>
      <c r="L345" s="366"/>
      <c r="M345" s="366"/>
      <c r="N345" s="368"/>
      <c r="O345" s="324"/>
    </row>
    <row r="346" ht="12.75" customHeight="1">
      <c r="A346" s="322"/>
      <c r="B346" s="75" t="s">
        <v>1337</v>
      </c>
      <c r="C346" s="346">
        <v>0.2</v>
      </c>
      <c r="D346" s="371">
        <f>$D$33</f>
        <v>19665</v>
      </c>
      <c r="E346" s="67">
        <f t="shared" ref="E346:E350" si="41">D346*C346</f>
        <v>3933</v>
      </c>
      <c r="F346" s="324"/>
      <c r="G346" s="324"/>
      <c r="H346" s="387"/>
      <c r="I346" s="388"/>
      <c r="J346" s="322"/>
      <c r="K346" s="139" t="s">
        <v>453</v>
      </c>
      <c r="L346" s="344">
        <v>0.04</v>
      </c>
      <c r="M346" s="343">
        <f>'F&amp;B'!F287</f>
        <v>8100</v>
      </c>
      <c r="N346" s="67">
        <f t="shared" ref="N346:N355" si="42">M346*L346</f>
        <v>324</v>
      </c>
      <c r="O346" s="324"/>
    </row>
    <row r="347" ht="12.75" customHeight="1">
      <c r="A347" s="322"/>
      <c r="B347" s="60" t="s">
        <v>850</v>
      </c>
      <c r="C347" s="342">
        <v>0.06</v>
      </c>
      <c r="D347" s="343">
        <f>'F&amp;B'!$F$99/12</f>
        <v>63000</v>
      </c>
      <c r="E347" s="67">
        <f t="shared" si="41"/>
        <v>3780</v>
      </c>
      <c r="F347" s="324"/>
      <c r="G347" s="324"/>
      <c r="H347" s="387"/>
      <c r="I347" s="388"/>
      <c r="J347" s="322"/>
      <c r="K347" s="228" t="s">
        <v>1294</v>
      </c>
      <c r="L347" s="405">
        <v>0.015</v>
      </c>
      <c r="M347" s="343">
        <f>'F&amp;B'!F304</f>
        <v>7200</v>
      </c>
      <c r="N347" s="67">
        <f t="shared" si="42"/>
        <v>108</v>
      </c>
      <c r="O347" s="324"/>
    </row>
    <row r="348" ht="12.75" customHeight="1">
      <c r="A348" s="322"/>
      <c r="B348" s="75" t="s">
        <v>1339</v>
      </c>
      <c r="C348" s="370">
        <v>1.0</v>
      </c>
      <c r="D348" s="371">
        <f>SAUCES!$D$196</f>
        <v>7690.325625</v>
      </c>
      <c r="E348" s="67">
        <f t="shared" si="41"/>
        <v>7690.325625</v>
      </c>
      <c r="F348" s="324"/>
      <c r="G348" s="324"/>
      <c r="H348" s="387"/>
      <c r="I348" s="388"/>
      <c r="J348" s="322"/>
      <c r="K348" s="228" t="s">
        <v>256</v>
      </c>
      <c r="L348" s="405">
        <v>1.0</v>
      </c>
      <c r="M348" s="371">
        <f>SAUCES!D68</f>
        <v>3768.104768</v>
      </c>
      <c r="N348" s="67">
        <f t="shared" si="42"/>
        <v>3768.104768</v>
      </c>
      <c r="O348" s="324"/>
    </row>
    <row r="349" ht="12.75" customHeight="1">
      <c r="A349" s="322"/>
      <c r="B349" s="75" t="s">
        <v>714</v>
      </c>
      <c r="C349" s="346">
        <v>0.04</v>
      </c>
      <c r="D349" s="371">
        <f>'F&amp;B'!$F$309</f>
        <v>22500</v>
      </c>
      <c r="E349" s="67">
        <f t="shared" si="41"/>
        <v>900</v>
      </c>
      <c r="F349" s="324"/>
      <c r="G349" s="324"/>
      <c r="H349" s="387"/>
      <c r="I349" s="388"/>
      <c r="J349" s="322"/>
      <c r="K349" s="228" t="s">
        <v>1341</v>
      </c>
      <c r="L349" s="398">
        <v>2.0</v>
      </c>
      <c r="M349" s="371">
        <f>'F&amp;B'!F316/50</f>
        <v>801</v>
      </c>
      <c r="N349" s="67">
        <f t="shared" si="42"/>
        <v>1602</v>
      </c>
      <c r="O349" s="324"/>
    </row>
    <row r="350" ht="12.75" customHeight="1">
      <c r="A350" s="322"/>
      <c r="B350" s="75" t="s">
        <v>708</v>
      </c>
      <c r="C350" s="370">
        <v>0.04</v>
      </c>
      <c r="D350" s="371">
        <f>'F&amp;B'!$F$296</f>
        <v>9000</v>
      </c>
      <c r="E350" s="67">
        <f t="shared" si="41"/>
        <v>360</v>
      </c>
      <c r="F350" s="324"/>
      <c r="G350" s="324"/>
      <c r="H350" s="387"/>
      <c r="I350" s="388"/>
      <c r="J350" s="322"/>
      <c r="K350" s="228" t="s">
        <v>33</v>
      </c>
      <c r="L350" s="344">
        <v>0.2</v>
      </c>
      <c r="M350" s="343">
        <f>D346</f>
        <v>19665</v>
      </c>
      <c r="N350" s="67">
        <f t="shared" si="42"/>
        <v>3933</v>
      </c>
      <c r="O350" s="324"/>
    </row>
    <row r="351" ht="12.75" customHeight="1">
      <c r="A351" s="322"/>
      <c r="B351" s="387"/>
      <c r="C351" s="387"/>
      <c r="D351" s="387"/>
      <c r="E351" s="418"/>
      <c r="F351" s="324"/>
      <c r="G351" s="324"/>
      <c r="H351" s="387"/>
      <c r="I351" s="388"/>
      <c r="J351" s="322"/>
      <c r="K351" s="75"/>
      <c r="L351" s="346"/>
      <c r="M351" s="371"/>
      <c r="N351" s="67">
        <f t="shared" si="42"/>
        <v>0</v>
      </c>
      <c r="O351" s="324"/>
    </row>
    <row r="352" ht="12.75" customHeight="1">
      <c r="A352" s="322"/>
      <c r="B352" s="75"/>
      <c r="C352" s="370"/>
      <c r="D352" s="371"/>
      <c r="E352" s="67">
        <f t="shared" ref="E352:E355" si="43">D352*C352</f>
        <v>0</v>
      </c>
      <c r="F352" s="324"/>
      <c r="G352" s="324"/>
      <c r="H352" s="387"/>
      <c r="I352" s="388"/>
      <c r="J352" s="322"/>
      <c r="K352" s="75"/>
      <c r="L352" s="342"/>
      <c r="M352" s="343"/>
      <c r="N352" s="67">
        <f t="shared" si="42"/>
        <v>0</v>
      </c>
      <c r="O352" s="324"/>
    </row>
    <row r="353" ht="12.75" customHeight="1">
      <c r="A353" s="322"/>
      <c r="B353" s="348"/>
      <c r="C353" s="346"/>
      <c r="D353" s="373"/>
      <c r="E353" s="67">
        <f t="shared" si="43"/>
        <v>0</v>
      </c>
      <c r="F353" s="324"/>
      <c r="G353" s="324"/>
      <c r="H353" s="387"/>
      <c r="I353" s="388"/>
      <c r="J353" s="322"/>
      <c r="K353" s="348"/>
      <c r="L353" s="346"/>
      <c r="M353" s="343"/>
      <c r="N353" s="67">
        <f t="shared" si="42"/>
        <v>0</v>
      </c>
      <c r="O353" s="324"/>
    </row>
    <row r="354" ht="12.75" customHeight="1">
      <c r="A354" s="322"/>
      <c r="B354" s="348"/>
      <c r="C354" s="346"/>
      <c r="D354" s="373"/>
      <c r="E354" s="67">
        <f t="shared" si="43"/>
        <v>0</v>
      </c>
      <c r="F354" s="324"/>
      <c r="G354" s="324"/>
      <c r="H354" s="387"/>
      <c r="I354" s="388"/>
      <c r="J354" s="322"/>
      <c r="K354" s="348"/>
      <c r="L354" s="346"/>
      <c r="M354" s="373"/>
      <c r="N354" s="67">
        <f t="shared" si="42"/>
        <v>0</v>
      </c>
      <c r="O354" s="324"/>
    </row>
    <row r="355" ht="12.75" customHeight="1">
      <c r="A355" s="322"/>
      <c r="B355" s="354"/>
      <c r="C355" s="355"/>
      <c r="D355" s="356"/>
      <c r="E355" s="67">
        <f t="shared" si="43"/>
        <v>0</v>
      </c>
      <c r="F355" s="324"/>
      <c r="G355" s="324"/>
      <c r="H355" s="387"/>
      <c r="I355" s="388"/>
      <c r="J355" s="322"/>
      <c r="K355" s="354"/>
      <c r="L355" s="355"/>
      <c r="M355" s="356"/>
      <c r="N355" s="67">
        <f t="shared" si="42"/>
        <v>0</v>
      </c>
      <c r="O355" s="324"/>
    </row>
    <row r="356" ht="12.75" customHeight="1">
      <c r="A356" s="322"/>
      <c r="B356" s="362" t="s">
        <v>84</v>
      </c>
      <c r="C356" s="374"/>
      <c r="D356" s="374"/>
      <c r="E356" s="375">
        <f>IF(SUM(E346:E355)=0,"",SUM(E346:E355))</f>
        <v>16663.32563</v>
      </c>
      <c r="F356" s="324"/>
      <c r="G356" s="324"/>
      <c r="H356" s="387"/>
      <c r="I356" s="388"/>
      <c r="J356" s="322"/>
      <c r="K356" s="362" t="s">
        <v>84</v>
      </c>
      <c r="L356" s="374"/>
      <c r="M356" s="374"/>
      <c r="N356" s="375">
        <f>IF(SUM(N346:N355)=0,"",SUM(N346:N355))</f>
        <v>9735.104768</v>
      </c>
      <c r="O356" s="324"/>
    </row>
    <row r="357" ht="12.75" customHeight="1">
      <c r="A357" s="322"/>
      <c r="B357" s="360"/>
      <c r="C357" s="360"/>
      <c r="D357" s="360"/>
      <c r="E357" s="361"/>
      <c r="F357" s="324"/>
      <c r="G357" s="324"/>
      <c r="H357" s="387"/>
      <c r="I357" s="388"/>
      <c r="J357" s="322"/>
      <c r="K357" s="360"/>
      <c r="L357" s="360"/>
      <c r="M357" s="360"/>
      <c r="N357" s="361"/>
      <c r="O357" s="324"/>
    </row>
    <row r="358" ht="12.75" customHeight="1">
      <c r="A358" s="322"/>
      <c r="B358" s="34" t="s">
        <v>17</v>
      </c>
      <c r="C358" s="35"/>
      <c r="D358" s="35"/>
      <c r="E358" s="35"/>
      <c r="F358" s="324"/>
      <c r="G358" s="324"/>
      <c r="H358" s="387"/>
      <c r="I358" s="388"/>
      <c r="J358" s="322"/>
      <c r="K358" s="34" t="s">
        <v>17</v>
      </c>
      <c r="L358" s="35"/>
      <c r="M358" s="35"/>
      <c r="N358" s="35"/>
      <c r="O358" s="324"/>
    </row>
    <row r="359" ht="12.75" customHeight="1">
      <c r="A359" s="322"/>
      <c r="B359" s="52" t="s">
        <v>42</v>
      </c>
      <c r="C359" s="54"/>
      <c r="D359" s="54"/>
      <c r="E359" s="56" t="s">
        <v>35</v>
      </c>
      <c r="F359" s="324"/>
      <c r="G359" s="324"/>
      <c r="H359" s="387"/>
      <c r="I359" s="388"/>
      <c r="J359" s="322"/>
      <c r="K359" s="52" t="s">
        <v>42</v>
      </c>
      <c r="L359" s="54"/>
      <c r="M359" s="54"/>
      <c r="N359" s="56" t="s">
        <v>35</v>
      </c>
      <c r="O359" s="324"/>
    </row>
    <row r="360" ht="12.75" customHeight="1">
      <c r="A360" s="322"/>
      <c r="B360" s="60" t="s">
        <v>40</v>
      </c>
      <c r="C360" s="343">
        <f>'UTL COST'!$B$3</f>
        <v>369000</v>
      </c>
      <c r="D360" s="379">
        <f>'UTL COST'!$C$3</f>
        <v>0.0075</v>
      </c>
      <c r="E360" s="67">
        <f>'UTL COST'!$D$3</f>
        <v>2767.5</v>
      </c>
      <c r="F360" s="324"/>
      <c r="G360" s="324"/>
      <c r="H360" s="387"/>
      <c r="I360" s="388"/>
      <c r="J360" s="322"/>
      <c r="K360" s="60" t="s">
        <v>40</v>
      </c>
      <c r="L360" s="343">
        <f>'UTL COST'!$B$3</f>
        <v>369000</v>
      </c>
      <c r="M360" s="379">
        <f>'UTL COST'!$C$3</f>
        <v>0.0075</v>
      </c>
      <c r="N360" s="67">
        <f>'UTL COST'!$D$3</f>
        <v>2767.5</v>
      </c>
      <c r="O360" s="324"/>
    </row>
    <row r="361" ht="12.75" customHeight="1">
      <c r="A361" s="322"/>
      <c r="B361" s="75" t="s">
        <v>51</v>
      </c>
      <c r="C361" s="371" t="str">
        <f>'UTL COST'!$B$4</f>
        <v>#REF!</v>
      </c>
      <c r="D361" s="382">
        <f>'UTL COST'!$C$4</f>
        <v>7000</v>
      </c>
      <c r="E361" s="76" t="str">
        <f>'UTL COST'!$D$4</f>
        <v>#REF!</v>
      </c>
      <c r="F361" s="324"/>
      <c r="G361" s="324"/>
      <c r="H361" s="387"/>
      <c r="I361" s="388"/>
      <c r="J361" s="322"/>
      <c r="K361" s="75" t="s">
        <v>51</v>
      </c>
      <c r="L361" s="371" t="str">
        <f>'UTL COST'!$B$4</f>
        <v>#REF!</v>
      </c>
      <c r="M361" s="382">
        <f>'UTL COST'!$C$4</f>
        <v>7000</v>
      </c>
      <c r="N361" s="76" t="str">
        <f>'UTL COST'!$D$4</f>
        <v>#REF!</v>
      </c>
      <c r="O361" s="324"/>
    </row>
    <row r="362" ht="12.75" customHeight="1">
      <c r="A362" s="322"/>
      <c r="B362" s="75" t="s">
        <v>59</v>
      </c>
      <c r="C362" s="371" t="str">
        <f>'UTL COST'!$B$5</f>
        <v>#REF!</v>
      </c>
      <c r="D362" s="382">
        <f>'UTL COST'!$C$5</f>
        <v>45000</v>
      </c>
      <c r="E362" s="76" t="str">
        <f>'UTL COST'!$D$5</f>
        <v>#REF!</v>
      </c>
      <c r="F362" s="324"/>
      <c r="G362" s="324"/>
      <c r="H362" s="387"/>
      <c r="I362" s="388"/>
      <c r="J362" s="322"/>
      <c r="K362" s="75" t="s">
        <v>59</v>
      </c>
      <c r="L362" s="371" t="str">
        <f>'UTL COST'!$B$5</f>
        <v>#REF!</v>
      </c>
      <c r="M362" s="382">
        <f>'UTL COST'!$C$5</f>
        <v>45000</v>
      </c>
      <c r="N362" s="76" t="str">
        <f>'UTL COST'!$D$5</f>
        <v>#REF!</v>
      </c>
      <c r="O362" s="324"/>
    </row>
    <row r="363" ht="12.75" customHeight="1">
      <c r="A363" s="322"/>
      <c r="B363" s="87" t="s">
        <v>78</v>
      </c>
      <c r="C363" s="371" t="str">
        <f>'UTL COST'!$B$6</f>
        <v>#REF!</v>
      </c>
      <c r="D363" s="383">
        <f>'UTL COST'!$C$6</f>
        <v>525</v>
      </c>
      <c r="E363" s="89">
        <v>0.1</v>
      </c>
      <c r="F363" s="324"/>
      <c r="G363" s="324"/>
      <c r="H363" s="387"/>
      <c r="I363" s="388"/>
      <c r="J363" s="322"/>
      <c r="K363" s="87" t="s">
        <v>78</v>
      </c>
      <c r="L363" s="371" t="str">
        <f>'UTL COST'!$B$6</f>
        <v>#REF!</v>
      </c>
      <c r="M363" s="383">
        <f>'UTL COST'!$C$6</f>
        <v>525</v>
      </c>
      <c r="N363" s="89">
        <v>0.1</v>
      </c>
      <c r="O363" s="324"/>
    </row>
    <row r="364" ht="12.75" customHeight="1">
      <c r="A364" s="322"/>
      <c r="B364" s="34" t="s">
        <v>84</v>
      </c>
      <c r="C364" s="102"/>
      <c r="D364" s="102"/>
      <c r="E364" s="104" t="str">
        <f>IF(SUM(E360:E363)=0,"",SUM(E360:E363))</f>
        <v>#REF!</v>
      </c>
      <c r="F364" s="324"/>
      <c r="G364" s="324"/>
      <c r="H364" s="387"/>
      <c r="I364" s="388"/>
      <c r="J364" s="322"/>
      <c r="K364" s="34" t="s">
        <v>84</v>
      </c>
      <c r="L364" s="102"/>
      <c r="M364" s="102"/>
      <c r="N364" s="104" t="str">
        <f>IF(SUM(N360:N363)=0,"",SUM(N360:N363))</f>
        <v>#REF!</v>
      </c>
      <c r="O364" s="324"/>
    </row>
    <row r="365" ht="12.75" customHeight="1">
      <c r="A365" s="322"/>
      <c r="B365" s="360"/>
      <c r="C365" s="360"/>
      <c r="D365" s="360"/>
      <c r="E365" s="361"/>
      <c r="F365" s="324"/>
      <c r="G365" s="324"/>
      <c r="H365" s="387"/>
      <c r="I365" s="388"/>
      <c r="J365" s="322"/>
      <c r="K365" s="360"/>
      <c r="L365" s="360"/>
      <c r="M365" s="360"/>
      <c r="N365" s="361"/>
      <c r="O365" s="324"/>
    </row>
    <row r="366" ht="15.75" customHeight="1"/>
    <row r="367" ht="15.75" customHeight="1"/>
    <row r="368" ht="15.75" customHeight="1"/>
    <row r="369" ht="15.75" customHeight="1">
      <c r="A369" s="322"/>
      <c r="B369" s="322"/>
      <c r="C369" s="322"/>
      <c r="D369" s="322"/>
      <c r="E369" s="323"/>
      <c r="F369" s="324"/>
      <c r="G369" s="324"/>
      <c r="H369" s="387"/>
      <c r="I369" s="388"/>
      <c r="J369" s="322"/>
      <c r="K369" s="322"/>
      <c r="L369" s="322"/>
      <c r="M369" s="322"/>
      <c r="N369" s="322"/>
      <c r="O369" s="322"/>
    </row>
    <row r="370" ht="15.75" customHeight="1">
      <c r="A370" s="322"/>
      <c r="B370" s="325"/>
      <c r="C370" s="322"/>
      <c r="D370" s="322"/>
      <c r="E370" s="323"/>
      <c r="F370" s="326"/>
      <c r="G370" s="326"/>
      <c r="H370" s="404"/>
      <c r="I370" s="388"/>
      <c r="J370" s="322"/>
      <c r="K370" s="325"/>
      <c r="L370" s="322"/>
      <c r="M370" s="322"/>
      <c r="N370" s="323"/>
      <c r="O370" s="326"/>
    </row>
    <row r="371" ht="15.75" customHeight="1">
      <c r="A371" s="322"/>
      <c r="B371" s="327" t="s">
        <v>931</v>
      </c>
      <c r="C371" s="330" t="s">
        <v>1345</v>
      </c>
      <c r="D371" s="329"/>
      <c r="E371" s="323"/>
      <c r="F371" s="326"/>
      <c r="G371" s="326"/>
      <c r="H371" s="404"/>
      <c r="I371" s="388"/>
      <c r="J371" s="322"/>
      <c r="K371" s="327" t="s">
        <v>931</v>
      </c>
      <c r="L371" s="330" t="s">
        <v>1346</v>
      </c>
      <c r="M371" s="329"/>
      <c r="N371" s="323"/>
      <c r="O371" s="326"/>
    </row>
    <row r="372" ht="15.75" customHeight="1">
      <c r="A372" s="322"/>
      <c r="B372" s="325"/>
      <c r="C372" s="322"/>
      <c r="D372" s="322"/>
      <c r="E372" s="323"/>
      <c r="F372" s="326"/>
      <c r="G372" s="326"/>
      <c r="H372" s="404"/>
      <c r="I372" s="388"/>
      <c r="J372" s="322"/>
      <c r="K372" s="325"/>
      <c r="L372" s="322"/>
      <c r="M372" s="322"/>
      <c r="N372" s="323"/>
      <c r="O372" s="326"/>
    </row>
    <row r="373" ht="15.75" customHeight="1">
      <c r="A373" s="322"/>
      <c r="B373" s="327" t="s">
        <v>935</v>
      </c>
      <c r="C373" s="440">
        <v>1400000.0</v>
      </c>
      <c r="D373" s="329"/>
      <c r="E373" s="323">
        <f>C373/90000</f>
        <v>15.55555556</v>
      </c>
      <c r="F373" s="326"/>
      <c r="G373" s="326"/>
      <c r="H373" s="404"/>
      <c r="I373" s="388"/>
      <c r="J373" s="322"/>
      <c r="K373" s="327" t="s">
        <v>935</v>
      </c>
      <c r="L373" s="331"/>
      <c r="M373" s="329"/>
      <c r="N373" s="323"/>
      <c r="O373" s="326"/>
    </row>
    <row r="374" ht="15.75" customHeight="1">
      <c r="A374" s="322"/>
      <c r="B374" s="327"/>
      <c r="C374" s="332"/>
      <c r="D374" s="332"/>
      <c r="E374" s="323"/>
      <c r="F374" s="326"/>
      <c r="G374" s="326"/>
      <c r="H374" s="404"/>
      <c r="I374" s="388"/>
      <c r="J374" s="322"/>
      <c r="K374" s="327"/>
      <c r="L374" s="332"/>
      <c r="M374" s="332"/>
      <c r="N374" s="323"/>
      <c r="O374" s="326"/>
    </row>
    <row r="375" ht="15.75" customHeight="1">
      <c r="A375" s="322"/>
      <c r="B375" s="327" t="s">
        <v>939</v>
      </c>
      <c r="C375" s="333" t="str">
        <f>IF(SUM(E387,E402,E410)=0,"",SUM(E387,E402,E410))</f>
        <v>#REF!</v>
      </c>
      <c r="D375" s="321"/>
      <c r="E375" s="323" t="str">
        <f>C375/90000</f>
        <v>#REF!</v>
      </c>
      <c r="F375" s="326"/>
      <c r="G375" s="326"/>
      <c r="H375" s="404"/>
      <c r="I375" s="388"/>
      <c r="J375" s="322"/>
      <c r="K375" s="327" t="s">
        <v>939</v>
      </c>
      <c r="L375" s="333" t="str">
        <f>IF(SUM(N387,N402,N410)=0,"",SUM(N387,N402,N410))</f>
        <v>#REF!</v>
      </c>
      <c r="M375" s="321"/>
      <c r="N375" s="323"/>
      <c r="O375" s="326"/>
    </row>
    <row r="376" ht="15.75" customHeight="1">
      <c r="A376" s="322"/>
      <c r="B376" s="327"/>
      <c r="C376" s="334"/>
      <c r="D376" s="334"/>
      <c r="E376" s="323"/>
      <c r="F376" s="326"/>
      <c r="G376" s="326"/>
      <c r="H376" s="404"/>
      <c r="I376" s="388"/>
      <c r="J376" s="322"/>
      <c r="K376" s="327"/>
      <c r="L376" s="334"/>
      <c r="M376" s="334"/>
      <c r="N376" s="323"/>
      <c r="O376" s="326"/>
    </row>
    <row r="377" ht="15.75" customHeight="1">
      <c r="A377" s="322"/>
      <c r="B377" s="327" t="s">
        <v>946</v>
      </c>
      <c r="C377" s="335" t="str">
        <f>IF(C375="","",IF(ISBLANK(C373),"",C375/C373))</f>
        <v>#REF!</v>
      </c>
      <c r="D377" s="321"/>
      <c r="E377" s="323"/>
      <c r="F377" s="326"/>
      <c r="G377" s="326"/>
      <c r="H377" s="404"/>
      <c r="I377" s="388"/>
      <c r="J377" s="322"/>
      <c r="K377" s="327" t="s">
        <v>946</v>
      </c>
      <c r="L377" s="335" t="str">
        <f>IF(L375="","",IF(ISBLANK(L373),"",L375/L373))</f>
        <v>#REF!</v>
      </c>
      <c r="M377" s="321"/>
      <c r="N377" s="323"/>
      <c r="O377" s="326"/>
    </row>
    <row r="378" ht="15.75" customHeight="1">
      <c r="A378" s="322"/>
      <c r="B378" s="327"/>
      <c r="C378" s="334"/>
      <c r="D378" s="334"/>
      <c r="E378" s="323"/>
      <c r="F378" s="326"/>
      <c r="G378" s="326"/>
      <c r="H378" s="404"/>
      <c r="I378" s="388"/>
      <c r="J378" s="322"/>
      <c r="K378" s="327"/>
      <c r="L378" s="334"/>
      <c r="M378" s="334"/>
      <c r="N378" s="323"/>
      <c r="O378" s="326"/>
    </row>
    <row r="379" ht="15.75" customHeight="1">
      <c r="A379" s="322"/>
      <c r="B379" s="327" t="s">
        <v>950</v>
      </c>
      <c r="C379" s="333" t="str">
        <f>C373-C375</f>
        <v>#REF!</v>
      </c>
      <c r="D379" s="321"/>
      <c r="E379" s="323"/>
      <c r="F379" s="326"/>
      <c r="G379" s="326"/>
      <c r="H379" s="404"/>
      <c r="I379" s="388"/>
      <c r="J379" s="322"/>
      <c r="K379" s="327" t="s">
        <v>950</v>
      </c>
      <c r="L379" s="333" t="str">
        <f>L373-L375</f>
        <v>#REF!</v>
      </c>
      <c r="M379" s="321"/>
      <c r="N379" s="323"/>
      <c r="O379" s="326"/>
    </row>
    <row r="380" ht="15.75" customHeight="1">
      <c r="A380" s="322"/>
      <c r="B380" s="322"/>
      <c r="C380" s="322"/>
      <c r="D380" s="322"/>
      <c r="E380" s="323"/>
      <c r="F380" s="324"/>
      <c r="G380" s="324"/>
      <c r="H380" s="404"/>
      <c r="I380" s="388"/>
      <c r="J380" s="322"/>
      <c r="K380" s="322"/>
      <c r="L380" s="322"/>
      <c r="M380" s="322"/>
      <c r="N380" s="323"/>
      <c r="O380" s="324"/>
    </row>
    <row r="381" ht="15.75" customHeight="1">
      <c r="A381" s="322"/>
      <c r="B381" s="322"/>
      <c r="C381" s="322"/>
      <c r="D381" s="322"/>
      <c r="E381" s="337"/>
      <c r="F381" s="324"/>
      <c r="G381" s="324"/>
      <c r="H381" s="387"/>
      <c r="I381" s="388"/>
      <c r="J381" s="322"/>
      <c r="K381" s="322"/>
      <c r="L381" s="322"/>
      <c r="M381" s="322"/>
      <c r="N381" s="337"/>
      <c r="O381" s="324"/>
    </row>
    <row r="382" ht="15.75" customHeight="1">
      <c r="A382" s="322"/>
      <c r="B382" s="338" t="s">
        <v>951</v>
      </c>
      <c r="C382" s="339"/>
      <c r="D382" s="339"/>
      <c r="E382" s="339"/>
      <c r="F382" s="324"/>
      <c r="G382" s="324"/>
      <c r="H382" s="410"/>
      <c r="I382" s="388"/>
      <c r="J382" s="322"/>
      <c r="K382" s="338" t="s">
        <v>951</v>
      </c>
      <c r="L382" s="339"/>
      <c r="M382" s="339"/>
      <c r="N382" s="339"/>
      <c r="O382" s="324"/>
    </row>
    <row r="383" ht="15.75" customHeight="1">
      <c r="A383" s="322"/>
      <c r="B383" s="340" t="s">
        <v>953</v>
      </c>
      <c r="C383" s="341" t="s">
        <v>954</v>
      </c>
      <c r="D383" s="341" t="s">
        <v>955</v>
      </c>
      <c r="E383" s="341" t="s">
        <v>35</v>
      </c>
      <c r="F383" s="324"/>
      <c r="G383" s="324"/>
      <c r="H383" s="387"/>
      <c r="I383" s="388"/>
      <c r="J383" s="322"/>
      <c r="K383" s="340" t="s">
        <v>953</v>
      </c>
      <c r="L383" s="341" t="s">
        <v>954</v>
      </c>
      <c r="M383" s="341" t="s">
        <v>955</v>
      </c>
      <c r="N383" s="341" t="s">
        <v>35</v>
      </c>
      <c r="O383" s="324"/>
    </row>
    <row r="384" ht="15.75" customHeight="1">
      <c r="A384" s="322"/>
      <c r="B384" s="139" t="s">
        <v>1220</v>
      </c>
      <c r="C384" s="344">
        <v>1.0</v>
      </c>
      <c r="D384" s="343">
        <f>D247</f>
        <v>11925</v>
      </c>
      <c r="E384" s="67">
        <f t="shared" ref="E384:E386" si="44">IF(OR(ISBLANK(C384),ISBLANK(D384)),"",D384*C384)</f>
        <v>11925</v>
      </c>
      <c r="F384" s="324"/>
      <c r="G384" s="324"/>
      <c r="H384" s="387"/>
      <c r="I384" s="388"/>
      <c r="J384" s="322"/>
      <c r="K384" s="139" t="s">
        <v>1111</v>
      </c>
      <c r="L384" s="344">
        <v>0.08</v>
      </c>
      <c r="M384" s="403">
        <f>'F&amp;B'!F77</f>
        <v>141300</v>
      </c>
      <c r="N384" s="67">
        <f t="shared" ref="N384:N386" si="45">IF(OR(ISBLANK(L384),ISBLANK(M384)),"",M384*L384)</f>
        <v>11304</v>
      </c>
      <c r="O384" s="324"/>
    </row>
    <row r="385" ht="15.75" customHeight="1">
      <c r="A385" s="322"/>
      <c r="B385" s="228" t="s">
        <v>703</v>
      </c>
      <c r="C385" s="405">
        <v>0.14</v>
      </c>
      <c r="D385" s="371">
        <f>D246</f>
        <v>81000</v>
      </c>
      <c r="E385" s="67">
        <f t="shared" si="44"/>
        <v>11340</v>
      </c>
      <c r="F385" s="324"/>
      <c r="G385" s="324"/>
      <c r="H385" s="387"/>
      <c r="I385" s="388"/>
      <c r="J385" s="322"/>
      <c r="K385" s="228" t="s">
        <v>1335</v>
      </c>
      <c r="L385" s="370">
        <f>1/4</f>
        <v>0.25</v>
      </c>
      <c r="M385" s="343">
        <f>'F&amp;B'!F26/4.8</f>
        <v>51562.5</v>
      </c>
      <c r="N385" s="67">
        <f t="shared" si="45"/>
        <v>12890.625</v>
      </c>
      <c r="O385" s="324"/>
    </row>
    <row r="386" ht="15.75" customHeight="1">
      <c r="A386" s="322"/>
      <c r="B386" s="406" t="s">
        <v>1046</v>
      </c>
      <c r="C386" s="407">
        <v>0.04</v>
      </c>
      <c r="D386" s="408">
        <f>D72</f>
        <v>103500</v>
      </c>
      <c r="E386" s="67">
        <f t="shared" si="44"/>
        <v>4140</v>
      </c>
      <c r="F386" s="324"/>
      <c r="G386" s="324"/>
      <c r="H386" s="387"/>
      <c r="I386" s="388"/>
      <c r="J386" s="322"/>
      <c r="K386" s="406" t="s">
        <v>1173</v>
      </c>
      <c r="L386" s="407">
        <v>1.0</v>
      </c>
      <c r="M386" s="423">
        <f>'F&amp;B'!F301</f>
        <v>13500</v>
      </c>
      <c r="N386" s="67">
        <f t="shared" si="45"/>
        <v>13500</v>
      </c>
      <c r="O386" s="324"/>
    </row>
    <row r="387" ht="15.75" customHeight="1">
      <c r="A387" s="322"/>
      <c r="B387" s="338" t="s">
        <v>84</v>
      </c>
      <c r="C387" s="483"/>
      <c r="D387" s="358"/>
      <c r="E387" s="359">
        <f>IF(SUM(E384:E386)=0,"",SUM(E384:E386))</f>
        <v>27405</v>
      </c>
      <c r="F387" s="324"/>
      <c r="G387" s="324"/>
      <c r="H387" s="387"/>
      <c r="I387" s="388"/>
      <c r="J387" s="322"/>
      <c r="K387" s="338" t="s">
        <v>84</v>
      </c>
      <c r="L387" s="358"/>
      <c r="M387" s="358"/>
      <c r="N387" s="359">
        <f>IF(SUM(N384:N386)=0,"",SUM(N384:N386))</f>
        <v>37694.625</v>
      </c>
      <c r="O387" s="324"/>
    </row>
    <row r="388" ht="15.75" customHeight="1">
      <c r="A388" s="322"/>
      <c r="B388" s="360"/>
      <c r="C388" s="484"/>
      <c r="D388" s="360"/>
      <c r="E388" s="361"/>
      <c r="F388" s="324"/>
      <c r="G388" s="324"/>
      <c r="H388" s="387"/>
      <c r="I388" s="388"/>
      <c r="J388" s="322"/>
      <c r="K388" s="360"/>
      <c r="L388" s="360"/>
      <c r="M388" s="360"/>
      <c r="N388" s="361"/>
      <c r="O388" s="324"/>
    </row>
    <row r="389" ht="15.75" customHeight="1">
      <c r="A389" s="322"/>
      <c r="B389" s="362" t="s">
        <v>972</v>
      </c>
      <c r="C389" s="485"/>
      <c r="D389" s="363"/>
      <c r="E389" s="363"/>
      <c r="F389" s="324"/>
      <c r="G389" s="324"/>
      <c r="H389" s="387"/>
      <c r="I389" s="388"/>
      <c r="J389" s="322"/>
      <c r="K389" s="362" t="s">
        <v>972</v>
      </c>
      <c r="L389" s="363"/>
      <c r="M389" s="363"/>
      <c r="N389" s="363"/>
      <c r="O389" s="324"/>
    </row>
    <row r="390" ht="15.75" customHeight="1">
      <c r="A390" s="322"/>
      <c r="B390" s="365" t="s">
        <v>953</v>
      </c>
      <c r="C390" s="366" t="s">
        <v>3</v>
      </c>
      <c r="D390" s="366" t="s">
        <v>975</v>
      </c>
      <c r="E390" s="367" t="s">
        <v>35</v>
      </c>
      <c r="F390" s="324"/>
      <c r="G390" s="324"/>
      <c r="H390" s="387"/>
      <c r="I390" s="388"/>
      <c r="J390" s="322"/>
      <c r="K390" s="365" t="s">
        <v>953</v>
      </c>
      <c r="L390" s="366" t="s">
        <v>3</v>
      </c>
      <c r="M390" s="366" t="s">
        <v>975</v>
      </c>
      <c r="N390" s="367" t="s">
        <v>35</v>
      </c>
      <c r="O390" s="324"/>
    </row>
    <row r="391" ht="15.75" customHeight="1">
      <c r="A391" s="322"/>
      <c r="B391" s="368"/>
      <c r="C391" s="366"/>
      <c r="D391" s="366"/>
      <c r="E391" s="368"/>
      <c r="F391" s="324"/>
      <c r="G391" s="324"/>
      <c r="H391" s="387"/>
      <c r="I391" s="388"/>
      <c r="J391" s="322"/>
      <c r="K391" s="368"/>
      <c r="L391" s="366"/>
      <c r="M391" s="366"/>
      <c r="N391" s="368"/>
      <c r="O391" s="324"/>
    </row>
    <row r="392" ht="15.75" customHeight="1">
      <c r="A392" s="322"/>
      <c r="B392" s="75" t="s">
        <v>1337</v>
      </c>
      <c r="C392" s="346">
        <v>0.2</v>
      </c>
      <c r="D392" s="371">
        <f>$D$33</f>
        <v>19665</v>
      </c>
      <c r="E392" s="67">
        <f t="shared" ref="E392:E396" si="46">D392*C392</f>
        <v>3933</v>
      </c>
      <c r="F392" s="324"/>
      <c r="G392" s="324"/>
      <c r="H392" s="387"/>
      <c r="I392" s="388"/>
      <c r="J392" s="322"/>
      <c r="K392" s="139" t="s">
        <v>262</v>
      </c>
      <c r="L392" s="344">
        <v>0.2</v>
      </c>
      <c r="M392" s="343">
        <f>'F&amp;B'!F302</f>
        <v>10800</v>
      </c>
      <c r="N392" s="67">
        <f t="shared" ref="N392:N401" si="47">M392*L392</f>
        <v>2160</v>
      </c>
      <c r="O392" s="324"/>
    </row>
    <row r="393" ht="15.75" customHeight="1">
      <c r="A393" s="322"/>
      <c r="B393" s="139" t="s">
        <v>214</v>
      </c>
      <c r="C393" s="344">
        <v>0.08</v>
      </c>
      <c r="D393" s="343">
        <f>'F&amp;B'!F290</f>
        <v>6300</v>
      </c>
      <c r="E393" s="67">
        <f t="shared" si="46"/>
        <v>504</v>
      </c>
      <c r="F393" s="324"/>
      <c r="G393" s="324"/>
      <c r="H393" s="387"/>
      <c r="I393" s="388"/>
      <c r="J393" s="322"/>
      <c r="K393" s="228" t="s">
        <v>1174</v>
      </c>
      <c r="L393" s="405">
        <v>0.1</v>
      </c>
      <c r="M393" s="403">
        <v>0.0</v>
      </c>
      <c r="N393" s="67">
        <f t="shared" si="47"/>
        <v>0</v>
      </c>
      <c r="O393" s="324"/>
    </row>
    <row r="394" ht="15.75" customHeight="1">
      <c r="A394" s="322"/>
      <c r="B394" s="228" t="s">
        <v>765</v>
      </c>
      <c r="C394" s="405">
        <v>0.2</v>
      </c>
      <c r="D394" s="371">
        <f>D301</f>
        <v>54000</v>
      </c>
      <c r="E394" s="67">
        <f t="shared" si="46"/>
        <v>10800</v>
      </c>
      <c r="F394" s="324"/>
      <c r="G394" s="324"/>
      <c r="H394" s="387"/>
      <c r="I394" s="388"/>
      <c r="J394" s="322"/>
      <c r="K394" s="228" t="s">
        <v>817</v>
      </c>
      <c r="L394" s="405">
        <v>0.03</v>
      </c>
      <c r="M394" s="371">
        <f>'F&amp;B'!F293</f>
        <v>6750</v>
      </c>
      <c r="N394" s="67">
        <f t="shared" si="47"/>
        <v>202.5</v>
      </c>
      <c r="O394" s="324"/>
    </row>
    <row r="395" ht="15.75" customHeight="1">
      <c r="A395" s="322"/>
      <c r="B395" s="228" t="s">
        <v>1350</v>
      </c>
      <c r="C395" s="398">
        <v>0.03</v>
      </c>
      <c r="D395" s="371">
        <f>M294</f>
        <v>128700</v>
      </c>
      <c r="E395" s="67">
        <f t="shared" si="46"/>
        <v>3861</v>
      </c>
      <c r="F395" s="324"/>
      <c r="G395" s="324"/>
      <c r="H395" s="387"/>
      <c r="I395" s="388"/>
      <c r="J395" s="322"/>
      <c r="K395" s="228" t="s">
        <v>1113</v>
      </c>
      <c r="L395" s="398">
        <v>0.02</v>
      </c>
      <c r="M395" s="423">
        <f>'F&amp;B'!F146</f>
        <v>65250</v>
      </c>
      <c r="N395" s="67">
        <f t="shared" si="47"/>
        <v>1305</v>
      </c>
      <c r="O395" s="324"/>
    </row>
    <row r="396" ht="15.75" customHeight="1">
      <c r="A396" s="322"/>
      <c r="B396" s="228" t="s">
        <v>1048</v>
      </c>
      <c r="C396" s="405">
        <v>0.06</v>
      </c>
      <c r="D396" s="371">
        <f>D293</f>
        <v>56013.15789</v>
      </c>
      <c r="E396" s="67">
        <f t="shared" si="46"/>
        <v>3360.789474</v>
      </c>
      <c r="F396" s="324"/>
      <c r="G396" s="324"/>
      <c r="H396" s="387"/>
      <c r="I396" s="388"/>
      <c r="J396" s="322"/>
      <c r="K396" s="228" t="s">
        <v>1352</v>
      </c>
      <c r="L396" s="344">
        <v>0.02</v>
      </c>
      <c r="M396" s="403">
        <f>'F&amp;B'!F251</f>
        <v>455400</v>
      </c>
      <c r="N396" s="67">
        <f t="shared" si="47"/>
        <v>9108</v>
      </c>
      <c r="O396" s="324"/>
    </row>
    <row r="397" ht="15.75" customHeight="1">
      <c r="A397" s="322"/>
      <c r="B397" s="387"/>
      <c r="C397" s="387"/>
      <c r="D397" s="387"/>
      <c r="E397" s="418"/>
      <c r="F397" s="324"/>
      <c r="G397" s="324"/>
      <c r="H397" s="387"/>
      <c r="I397" s="388"/>
      <c r="J397" s="322"/>
      <c r="K397" s="228" t="s">
        <v>1353</v>
      </c>
      <c r="L397" s="398">
        <v>0.04</v>
      </c>
      <c r="M397" s="423">
        <f>'F&amp;B'!F129</f>
        <v>67500</v>
      </c>
      <c r="N397" s="67">
        <f t="shared" si="47"/>
        <v>2700</v>
      </c>
      <c r="O397" s="324"/>
    </row>
    <row r="398" ht="15.75" customHeight="1">
      <c r="A398" s="322"/>
      <c r="B398" s="75"/>
      <c r="C398" s="370"/>
      <c r="D398" s="371"/>
      <c r="E398" s="67">
        <f t="shared" ref="E398:E401" si="48">D398*C398</f>
        <v>0</v>
      </c>
      <c r="F398" s="324"/>
      <c r="G398" s="324"/>
      <c r="H398" s="387"/>
      <c r="I398" s="388"/>
      <c r="J398" s="322"/>
      <c r="K398" s="228" t="s">
        <v>1355</v>
      </c>
      <c r="L398" s="344">
        <v>0.1</v>
      </c>
      <c r="M398" s="403">
        <f>SAUCES!D36</f>
        <v>21446.56361</v>
      </c>
      <c r="N398" s="67">
        <f t="shared" si="47"/>
        <v>2144.656361</v>
      </c>
      <c r="O398" s="324"/>
    </row>
    <row r="399" ht="15.75" customHeight="1">
      <c r="A399" s="322"/>
      <c r="B399" s="348"/>
      <c r="C399" s="346"/>
      <c r="D399" s="373"/>
      <c r="E399" s="67">
        <f t="shared" si="48"/>
        <v>0</v>
      </c>
      <c r="F399" s="324"/>
      <c r="G399" s="324"/>
      <c r="H399" s="387"/>
      <c r="I399" s="388"/>
      <c r="J399" s="322"/>
      <c r="K399" s="348"/>
      <c r="L399" s="346"/>
      <c r="M399" s="343"/>
      <c r="N399" s="67">
        <f t="shared" si="47"/>
        <v>0</v>
      </c>
      <c r="O399" s="324"/>
    </row>
    <row r="400" ht="15.75" customHeight="1">
      <c r="A400" s="322"/>
      <c r="B400" s="348"/>
      <c r="C400" s="346"/>
      <c r="D400" s="373"/>
      <c r="E400" s="67">
        <f t="shared" si="48"/>
        <v>0</v>
      </c>
      <c r="F400" s="324"/>
      <c r="G400" s="324"/>
      <c r="H400" s="387"/>
      <c r="I400" s="388"/>
      <c r="J400" s="322"/>
      <c r="K400" s="348"/>
      <c r="L400" s="346"/>
      <c r="M400" s="373"/>
      <c r="N400" s="67">
        <f t="shared" si="47"/>
        <v>0</v>
      </c>
      <c r="O400" s="324"/>
    </row>
    <row r="401" ht="15.75" customHeight="1">
      <c r="A401" s="322"/>
      <c r="B401" s="354"/>
      <c r="C401" s="355"/>
      <c r="D401" s="356"/>
      <c r="E401" s="67">
        <f t="shared" si="48"/>
        <v>0</v>
      </c>
      <c r="F401" s="324"/>
      <c r="G401" s="324"/>
      <c r="H401" s="387"/>
      <c r="I401" s="388"/>
      <c r="J401" s="322"/>
      <c r="K401" s="354"/>
      <c r="L401" s="355"/>
      <c r="M401" s="356"/>
      <c r="N401" s="67">
        <f t="shared" si="47"/>
        <v>0</v>
      </c>
      <c r="O401" s="324"/>
    </row>
    <row r="402" ht="15.75" customHeight="1">
      <c r="A402" s="322"/>
      <c r="B402" s="362" t="s">
        <v>84</v>
      </c>
      <c r="C402" s="374"/>
      <c r="D402" s="374"/>
      <c r="E402" s="375">
        <f>IF(SUM(E392:E401)=0,"",SUM(E392:E401))</f>
        <v>22458.78947</v>
      </c>
      <c r="F402" s="324"/>
      <c r="G402" s="324"/>
      <c r="H402" s="387"/>
      <c r="I402" s="388"/>
      <c r="J402" s="322"/>
      <c r="K402" s="362" t="s">
        <v>84</v>
      </c>
      <c r="L402" s="374"/>
      <c r="M402" s="374"/>
      <c r="N402" s="375">
        <f>IF(SUM(N392:N401)=0,"",SUM(N392:N401))</f>
        <v>17620.15636</v>
      </c>
      <c r="O402" s="324"/>
    </row>
    <row r="403" ht="15.75" customHeight="1">
      <c r="A403" s="322"/>
      <c r="B403" s="360"/>
      <c r="C403" s="360"/>
      <c r="D403" s="360"/>
      <c r="E403" s="361"/>
      <c r="F403" s="324"/>
      <c r="G403" s="324"/>
      <c r="H403" s="387"/>
      <c r="I403" s="388"/>
      <c r="J403" s="322"/>
      <c r="K403" s="360"/>
      <c r="L403" s="360"/>
      <c r="M403" s="360"/>
      <c r="N403" s="361"/>
      <c r="O403" s="324"/>
    </row>
    <row r="404" ht="15.75" customHeight="1">
      <c r="A404" s="322"/>
      <c r="B404" s="34" t="s">
        <v>17</v>
      </c>
      <c r="C404" s="35"/>
      <c r="D404" s="35"/>
      <c r="E404" s="35"/>
      <c r="F404" s="324"/>
      <c r="G404" s="324"/>
      <c r="H404" s="387"/>
      <c r="I404" s="388"/>
      <c r="J404" s="322"/>
      <c r="K404" s="34" t="s">
        <v>17</v>
      </c>
      <c r="L404" s="35"/>
      <c r="M404" s="35"/>
      <c r="N404" s="35"/>
      <c r="O404" s="324"/>
    </row>
    <row r="405" ht="15.75" customHeight="1">
      <c r="A405" s="322"/>
      <c r="B405" s="52" t="s">
        <v>42</v>
      </c>
      <c r="C405" s="54"/>
      <c r="D405" s="54"/>
      <c r="E405" s="56" t="s">
        <v>35</v>
      </c>
      <c r="F405" s="324"/>
      <c r="G405" s="324"/>
      <c r="H405" s="387"/>
      <c r="I405" s="388"/>
      <c r="J405" s="322"/>
      <c r="K405" s="52" t="s">
        <v>42</v>
      </c>
      <c r="L405" s="54"/>
      <c r="M405" s="54"/>
      <c r="N405" s="56" t="s">
        <v>35</v>
      </c>
      <c r="O405" s="324"/>
    </row>
    <row r="406" ht="15.75" customHeight="1">
      <c r="A406" s="322"/>
      <c r="B406" s="60" t="s">
        <v>40</v>
      </c>
      <c r="C406" s="343">
        <f>'UTL COST'!$B$3</f>
        <v>369000</v>
      </c>
      <c r="D406" s="379">
        <f>'UTL COST'!$C$3</f>
        <v>0.0075</v>
      </c>
      <c r="E406" s="67">
        <f>'UTL COST'!$D$3</f>
        <v>2767.5</v>
      </c>
      <c r="F406" s="324"/>
      <c r="G406" s="324"/>
      <c r="H406" s="387"/>
      <c r="I406" s="388"/>
      <c r="J406" s="322"/>
      <c r="K406" s="60" t="s">
        <v>40</v>
      </c>
      <c r="L406" s="343">
        <f>'UTL COST'!$B$3</f>
        <v>369000</v>
      </c>
      <c r="M406" s="379">
        <f>'UTL COST'!$C$3</f>
        <v>0.0075</v>
      </c>
      <c r="N406" s="67">
        <f>'UTL COST'!$D$3</f>
        <v>2767.5</v>
      </c>
      <c r="O406" s="324"/>
    </row>
    <row r="407" ht="15.75" customHeight="1">
      <c r="A407" s="322"/>
      <c r="B407" s="75" t="s">
        <v>51</v>
      </c>
      <c r="C407" s="371" t="str">
        <f>'UTL COST'!$B$4</f>
        <v>#REF!</v>
      </c>
      <c r="D407" s="382">
        <f>'UTL COST'!$C$4</f>
        <v>7000</v>
      </c>
      <c r="E407" s="76" t="str">
        <f>'UTL COST'!$D$4</f>
        <v>#REF!</v>
      </c>
      <c r="F407" s="324"/>
      <c r="G407" s="324"/>
      <c r="H407" s="387"/>
      <c r="I407" s="388"/>
      <c r="J407" s="322"/>
      <c r="K407" s="75" t="s">
        <v>51</v>
      </c>
      <c r="L407" s="371" t="str">
        <f>'UTL COST'!$B$4</f>
        <v>#REF!</v>
      </c>
      <c r="M407" s="382">
        <f>'UTL COST'!$C$4</f>
        <v>7000</v>
      </c>
      <c r="N407" s="76" t="str">
        <f>'UTL COST'!$D$4</f>
        <v>#REF!</v>
      </c>
      <c r="O407" s="324"/>
    </row>
    <row r="408" ht="15.75" customHeight="1">
      <c r="A408" s="322"/>
      <c r="B408" s="75" t="s">
        <v>59</v>
      </c>
      <c r="C408" s="371" t="str">
        <f>'UTL COST'!$B$5</f>
        <v>#REF!</v>
      </c>
      <c r="D408" s="382">
        <f>'UTL COST'!$C$5</f>
        <v>45000</v>
      </c>
      <c r="E408" s="76" t="str">
        <f>'UTL COST'!$D$5</f>
        <v>#REF!</v>
      </c>
      <c r="F408" s="324"/>
      <c r="G408" s="324"/>
      <c r="H408" s="387"/>
      <c r="I408" s="388"/>
      <c r="J408" s="322"/>
      <c r="K408" s="75" t="s">
        <v>59</v>
      </c>
      <c r="L408" s="371" t="str">
        <f>'UTL COST'!$B$5</f>
        <v>#REF!</v>
      </c>
      <c r="M408" s="382">
        <f>'UTL COST'!$C$5</f>
        <v>45000</v>
      </c>
      <c r="N408" s="76" t="str">
        <f>'UTL COST'!$D$5</f>
        <v>#REF!</v>
      </c>
      <c r="O408" s="324"/>
    </row>
    <row r="409" ht="15.75" customHeight="1">
      <c r="A409" s="322"/>
      <c r="B409" s="87" t="s">
        <v>78</v>
      </c>
      <c r="C409" s="371" t="str">
        <f>'UTL COST'!$B$6</f>
        <v>#REF!</v>
      </c>
      <c r="D409" s="383">
        <f>'UTL COST'!$C$6</f>
        <v>525</v>
      </c>
      <c r="E409" s="89">
        <v>0.1</v>
      </c>
      <c r="F409" s="324"/>
      <c r="G409" s="324"/>
      <c r="H409" s="387"/>
      <c r="I409" s="388"/>
      <c r="J409" s="322"/>
      <c r="K409" s="87" t="s">
        <v>78</v>
      </c>
      <c r="L409" s="371" t="str">
        <f>'UTL COST'!$B$6</f>
        <v>#REF!</v>
      </c>
      <c r="M409" s="383">
        <f>'UTL COST'!$C$6</f>
        <v>525</v>
      </c>
      <c r="N409" s="89">
        <v>0.1</v>
      </c>
      <c r="O409" s="324"/>
    </row>
    <row r="410" ht="15.75" customHeight="1">
      <c r="A410" s="322"/>
      <c r="B410" s="34" t="s">
        <v>84</v>
      </c>
      <c r="C410" s="102"/>
      <c r="D410" s="102"/>
      <c r="E410" s="104" t="str">
        <f>IF(SUM(E406:E409)=0,"",SUM(E406:E409))</f>
        <v>#REF!</v>
      </c>
      <c r="F410" s="324"/>
      <c r="G410" s="324"/>
      <c r="H410" s="387"/>
      <c r="I410" s="388"/>
      <c r="J410" s="322"/>
      <c r="K410" s="34" t="s">
        <v>84</v>
      </c>
      <c r="L410" s="102"/>
      <c r="M410" s="102"/>
      <c r="N410" s="104" t="str">
        <f>IF(SUM(N406:N409)=0,"",SUM(N406:N409))</f>
        <v>#REF!</v>
      </c>
      <c r="O410" s="324"/>
    </row>
    <row r="411" ht="15.75" customHeight="1">
      <c r="A411" s="322"/>
      <c r="B411" s="360"/>
      <c r="C411" s="360"/>
      <c r="D411" s="360"/>
      <c r="E411" s="361"/>
      <c r="F411" s="324"/>
      <c r="G411" s="324"/>
      <c r="H411" s="387"/>
      <c r="I411" s="388"/>
      <c r="J411" s="322"/>
      <c r="K411" s="360"/>
      <c r="L411" s="360"/>
      <c r="M411" s="360"/>
      <c r="N411" s="361"/>
      <c r="O411" s="324"/>
    </row>
    <row r="412" ht="15.75" customHeight="1"/>
    <row r="413" ht="15.75" customHeight="1"/>
    <row r="414" ht="15.75" customHeight="1">
      <c r="A414" s="322"/>
      <c r="B414" s="322"/>
      <c r="C414" s="322"/>
      <c r="D414" s="322"/>
      <c r="E414" s="323"/>
      <c r="F414" s="324"/>
      <c r="G414" s="324"/>
      <c r="J414" s="322"/>
      <c r="K414" s="322"/>
      <c r="L414" s="322"/>
      <c r="M414" s="322"/>
      <c r="N414" s="323"/>
      <c r="O414" s="324"/>
    </row>
    <row r="415" ht="15.75" customHeight="1">
      <c r="A415" s="322"/>
      <c r="B415" s="325"/>
      <c r="C415" s="322"/>
      <c r="D415" s="322"/>
      <c r="E415" s="323"/>
      <c r="F415" s="326"/>
      <c r="G415" s="326"/>
      <c r="J415" s="322"/>
      <c r="K415" s="325"/>
      <c r="L415" s="322"/>
      <c r="M415" s="322"/>
      <c r="N415" s="323"/>
      <c r="O415" s="326"/>
    </row>
    <row r="416" ht="15.75" customHeight="1">
      <c r="A416" s="322"/>
      <c r="B416" s="327" t="s">
        <v>931</v>
      </c>
      <c r="C416" s="330" t="s">
        <v>1359</v>
      </c>
      <c r="D416" s="329"/>
      <c r="E416" s="323"/>
      <c r="F416" s="326"/>
      <c r="G416" s="326"/>
      <c r="J416" s="322"/>
      <c r="K416" s="327" t="s">
        <v>931</v>
      </c>
      <c r="L416" s="330" t="s">
        <v>1361</v>
      </c>
      <c r="M416" s="329"/>
      <c r="N416" s="323"/>
      <c r="O416" s="326"/>
    </row>
    <row r="417" ht="15.75" customHeight="1">
      <c r="A417" s="322"/>
      <c r="B417" s="325"/>
      <c r="C417" s="322"/>
      <c r="D417" s="322"/>
      <c r="E417" s="323"/>
      <c r="F417" s="326"/>
      <c r="G417" s="326"/>
      <c r="J417" s="322"/>
      <c r="K417" s="325"/>
      <c r="L417" s="322"/>
      <c r="M417" s="322"/>
      <c r="N417" s="323"/>
      <c r="O417" s="326"/>
    </row>
    <row r="418" ht="15.75" customHeight="1">
      <c r="A418" s="322"/>
      <c r="B418" s="327" t="s">
        <v>935</v>
      </c>
      <c r="C418" s="440">
        <v>1400000.0</v>
      </c>
      <c r="D418" s="329"/>
      <c r="E418" s="323">
        <f>C418/90000</f>
        <v>15.55555556</v>
      </c>
      <c r="F418" s="326"/>
      <c r="G418" s="326"/>
      <c r="J418" s="322"/>
      <c r="K418" s="327" t="s">
        <v>935</v>
      </c>
      <c r="L418" s="331">
        <f>N418*90000</f>
        <v>1206000</v>
      </c>
      <c r="M418" s="329"/>
      <c r="N418" s="394">
        <v>13.4</v>
      </c>
      <c r="O418" s="326"/>
    </row>
    <row r="419" ht="15.75" customHeight="1">
      <c r="A419" s="322"/>
      <c r="B419" s="327"/>
      <c r="C419" s="332"/>
      <c r="D419" s="332"/>
      <c r="E419" s="323"/>
      <c r="F419" s="326"/>
      <c r="G419" s="326"/>
      <c r="J419" s="322"/>
      <c r="K419" s="327"/>
      <c r="L419" s="332"/>
      <c r="M419" s="332"/>
      <c r="N419" s="323"/>
      <c r="O419" s="326"/>
    </row>
    <row r="420" ht="15.75" customHeight="1">
      <c r="A420" s="322"/>
      <c r="B420" s="327" t="s">
        <v>939</v>
      </c>
      <c r="C420" s="333" t="str">
        <f>IF(SUM(E432,E448,E456)=0,"",SUM(E432,E448,E456))</f>
        <v>#REF!</v>
      </c>
      <c r="D420" s="321"/>
      <c r="E420" s="323" t="str">
        <f>C420/90000</f>
        <v>#REF!</v>
      </c>
      <c r="F420" s="326"/>
      <c r="G420" s="326"/>
      <c r="J420" s="322"/>
      <c r="K420" s="327" t="s">
        <v>939</v>
      </c>
      <c r="L420" s="333" t="str">
        <f>IF(SUM(N432,N447,N455)=0,"",SUM(N432,N447,N455))</f>
        <v>#REF!</v>
      </c>
      <c r="M420" s="321"/>
      <c r="N420" s="323" t="str">
        <f>L420/90000</f>
        <v>#REF!</v>
      </c>
      <c r="O420" s="326"/>
    </row>
    <row r="421" ht="15.75" customHeight="1">
      <c r="A421" s="322"/>
      <c r="B421" s="327"/>
      <c r="C421" s="334"/>
      <c r="D421" s="334"/>
      <c r="E421" s="323"/>
      <c r="F421" s="326"/>
      <c r="G421" s="326"/>
      <c r="J421" s="322"/>
      <c r="K421" s="327"/>
      <c r="L421" s="334"/>
      <c r="M421" s="334"/>
      <c r="N421" s="323"/>
      <c r="O421" s="326"/>
    </row>
    <row r="422" ht="15.75" customHeight="1">
      <c r="A422" s="322"/>
      <c r="B422" s="327" t="s">
        <v>946</v>
      </c>
      <c r="C422" s="335" t="str">
        <f>IF(C420="","",IF(ISBLANK(C418),"",C420/C418))</f>
        <v>#REF!</v>
      </c>
      <c r="D422" s="321"/>
      <c r="E422" s="323"/>
      <c r="F422" s="326"/>
      <c r="G422" s="326"/>
      <c r="J422" s="322"/>
      <c r="K422" s="327" t="s">
        <v>946</v>
      </c>
      <c r="L422" s="335" t="str">
        <f>IF(L420="","",IF(ISBLANK(L418),"",L420/L418))</f>
        <v>#REF!</v>
      </c>
      <c r="M422" s="321"/>
      <c r="N422" s="323"/>
      <c r="O422" s="326"/>
    </row>
    <row r="423" ht="15.75" customHeight="1">
      <c r="A423" s="322"/>
      <c r="B423" s="327"/>
      <c r="C423" s="334"/>
      <c r="D423" s="334"/>
      <c r="E423" s="323"/>
      <c r="F423" s="326"/>
      <c r="G423" s="326"/>
      <c r="J423" s="322"/>
      <c r="K423" s="327"/>
      <c r="L423" s="334"/>
      <c r="M423" s="334"/>
      <c r="N423" s="323"/>
      <c r="O423" s="326"/>
    </row>
    <row r="424" ht="15.75" customHeight="1">
      <c r="A424" s="322"/>
      <c r="B424" s="327" t="s">
        <v>950</v>
      </c>
      <c r="C424" s="333" t="str">
        <f>C418-C420</f>
        <v>#REF!</v>
      </c>
      <c r="D424" s="321"/>
      <c r="E424" s="323"/>
      <c r="F424" s="326"/>
      <c r="G424" s="326"/>
      <c r="J424" s="322"/>
      <c r="K424" s="327" t="s">
        <v>950</v>
      </c>
      <c r="L424" s="333" t="str">
        <f>L418-L420</f>
        <v>#REF!</v>
      </c>
      <c r="M424" s="321"/>
      <c r="N424" s="323"/>
      <c r="O424" s="326"/>
    </row>
    <row r="425" ht="15.75" customHeight="1">
      <c r="A425" s="322"/>
      <c r="B425" s="322"/>
      <c r="C425" s="322"/>
      <c r="D425" s="322"/>
      <c r="E425" s="323"/>
      <c r="F425" s="324"/>
      <c r="G425" s="324"/>
      <c r="J425" s="322"/>
      <c r="K425" s="322"/>
      <c r="L425" s="322"/>
      <c r="M425" s="322"/>
      <c r="N425" s="323"/>
      <c r="O425" s="324"/>
    </row>
    <row r="426" ht="15.75" customHeight="1">
      <c r="A426" s="322"/>
      <c r="B426" s="322"/>
      <c r="C426" s="322"/>
      <c r="D426" s="322"/>
      <c r="E426" s="337"/>
      <c r="F426" s="324"/>
      <c r="G426" s="324"/>
      <c r="J426" s="322"/>
      <c r="K426" s="322"/>
      <c r="L426" s="322"/>
      <c r="M426" s="322"/>
      <c r="N426" s="337"/>
      <c r="O426" s="324"/>
    </row>
    <row r="427" ht="15.75" customHeight="1">
      <c r="A427" s="322"/>
      <c r="B427" s="338" t="s">
        <v>951</v>
      </c>
      <c r="C427" s="339"/>
      <c r="D427" s="339"/>
      <c r="E427" s="339"/>
      <c r="F427" s="324"/>
      <c r="G427" s="324"/>
      <c r="J427" s="322"/>
      <c r="K427" s="338" t="s">
        <v>951</v>
      </c>
      <c r="L427" s="339"/>
      <c r="M427" s="339"/>
      <c r="N427" s="339"/>
      <c r="O427" s="324"/>
    </row>
    <row r="428" ht="15.75" customHeight="1">
      <c r="A428" s="322"/>
      <c r="B428" s="340" t="s">
        <v>953</v>
      </c>
      <c r="C428" s="341" t="s">
        <v>954</v>
      </c>
      <c r="D428" s="341" t="s">
        <v>955</v>
      </c>
      <c r="E428" s="341" t="s">
        <v>35</v>
      </c>
      <c r="F428" s="324"/>
      <c r="G428" s="324"/>
      <c r="J428" s="322"/>
      <c r="K428" s="340" t="s">
        <v>953</v>
      </c>
      <c r="L428" s="341" t="s">
        <v>954</v>
      </c>
      <c r="M428" s="341" t="s">
        <v>955</v>
      </c>
      <c r="N428" s="341" t="s">
        <v>35</v>
      </c>
      <c r="O428" s="324"/>
    </row>
    <row r="429" ht="15.75" customHeight="1">
      <c r="A429" s="322"/>
      <c r="B429" s="139" t="s">
        <v>1363</v>
      </c>
      <c r="C429" s="344">
        <v>0.15</v>
      </c>
      <c r="D429" s="343">
        <f>D339</f>
        <v>198000</v>
      </c>
      <c r="E429" s="67">
        <f t="shared" ref="E429:E431" si="49">IF(OR(ISBLANK(C429),ISBLANK(D429)),"",D429*C429)</f>
        <v>29700</v>
      </c>
      <c r="F429" s="324"/>
      <c r="G429" s="324"/>
      <c r="J429" s="322"/>
      <c r="K429" s="139" t="s">
        <v>850</v>
      </c>
      <c r="L429" s="344">
        <v>0.1</v>
      </c>
      <c r="M429" s="343">
        <f>D347</f>
        <v>63000</v>
      </c>
      <c r="N429" s="67">
        <f t="shared" ref="N429:N431" si="50">IF(OR(ISBLANK(L429),ISBLANK(M429)),"",M429*L429)</f>
        <v>6300</v>
      </c>
      <c r="O429" s="324"/>
    </row>
    <row r="430" ht="15.75" customHeight="1">
      <c r="A430" s="322"/>
      <c r="B430" s="228" t="s">
        <v>1365</v>
      </c>
      <c r="C430" s="405">
        <v>0.06</v>
      </c>
      <c r="D430" s="343">
        <f>'F&amp;B'!F295</f>
        <v>4500</v>
      </c>
      <c r="E430" s="67">
        <f t="shared" si="49"/>
        <v>270</v>
      </c>
      <c r="F430" s="324"/>
      <c r="G430" s="324"/>
      <c r="J430" s="322"/>
      <c r="K430" s="406" t="s">
        <v>1220</v>
      </c>
      <c r="L430" s="412">
        <v>1.0</v>
      </c>
      <c r="M430" s="408">
        <f>D384</f>
        <v>11925</v>
      </c>
      <c r="N430" s="89">
        <f t="shared" si="50"/>
        <v>11925</v>
      </c>
      <c r="O430" s="324"/>
    </row>
    <row r="431" ht="15.75" customHeight="1">
      <c r="A431" s="322"/>
      <c r="B431" s="406" t="s">
        <v>1366</v>
      </c>
      <c r="C431" s="407">
        <v>0.01</v>
      </c>
      <c r="D431" s="408">
        <f>'F&amp;B'!F280</f>
        <v>2970</v>
      </c>
      <c r="E431" s="67">
        <f t="shared" si="49"/>
        <v>29.7</v>
      </c>
      <c r="F431" s="324"/>
      <c r="G431" s="324"/>
      <c r="J431" s="322"/>
      <c r="K431" s="406" t="s">
        <v>718</v>
      </c>
      <c r="L431" s="351">
        <v>0.03</v>
      </c>
      <c r="M431" s="408">
        <f>SAUCES!D172</f>
        <v>65027.16346</v>
      </c>
      <c r="N431" s="67">
        <f t="shared" si="50"/>
        <v>1950.814904</v>
      </c>
      <c r="O431" s="324"/>
    </row>
    <row r="432" ht="15.75" customHeight="1">
      <c r="A432" s="322"/>
      <c r="B432" s="338" t="s">
        <v>84</v>
      </c>
      <c r="C432" s="483"/>
      <c r="D432" s="358"/>
      <c r="E432" s="359">
        <f>IF(SUM(E429:E431)=0,"",SUM(E429:E431))</f>
        <v>29999.7</v>
      </c>
      <c r="F432" s="324"/>
      <c r="G432" s="324"/>
      <c r="J432" s="322"/>
      <c r="K432" s="338" t="s">
        <v>84</v>
      </c>
      <c r="L432" s="358"/>
      <c r="M432" s="358"/>
      <c r="N432" s="359">
        <f>IF(SUM(N429:N431)=0,"",SUM(N429:N431))</f>
        <v>20175.8149</v>
      </c>
      <c r="O432" s="324"/>
    </row>
    <row r="433" ht="15.75" customHeight="1">
      <c r="A433" s="322"/>
      <c r="B433" s="360"/>
      <c r="C433" s="484"/>
      <c r="D433" s="360"/>
      <c r="E433" s="361"/>
      <c r="F433" s="324"/>
      <c r="G433" s="324"/>
      <c r="J433" s="322"/>
      <c r="K433" s="360"/>
      <c r="L433" s="360"/>
      <c r="M433" s="360"/>
      <c r="N433" s="361"/>
      <c r="O433" s="324"/>
    </row>
    <row r="434" ht="15.75" customHeight="1">
      <c r="A434" s="322"/>
      <c r="B434" s="362" t="s">
        <v>972</v>
      </c>
      <c r="C434" s="485"/>
      <c r="D434" s="363"/>
      <c r="E434" s="363"/>
      <c r="F434" s="324"/>
      <c r="G434" s="324"/>
      <c r="J434" s="322"/>
      <c r="K434" s="362" t="s">
        <v>972</v>
      </c>
      <c r="L434" s="363"/>
      <c r="M434" s="363"/>
      <c r="N434" s="363"/>
      <c r="O434" s="324"/>
    </row>
    <row r="435" ht="15.75" customHeight="1">
      <c r="A435" s="322"/>
      <c r="B435" s="365" t="s">
        <v>953</v>
      </c>
      <c r="C435" s="366" t="s">
        <v>3</v>
      </c>
      <c r="D435" s="366" t="s">
        <v>975</v>
      </c>
      <c r="E435" s="367" t="s">
        <v>35</v>
      </c>
      <c r="F435" s="324"/>
      <c r="G435" s="324"/>
      <c r="J435" s="322"/>
      <c r="K435" s="365" t="s">
        <v>953</v>
      </c>
      <c r="L435" s="366" t="s">
        <v>3</v>
      </c>
      <c r="M435" s="366" t="s">
        <v>975</v>
      </c>
      <c r="N435" s="367" t="s">
        <v>35</v>
      </c>
      <c r="O435" s="324"/>
    </row>
    <row r="436" ht="15.75" customHeight="1">
      <c r="A436" s="322"/>
      <c r="B436" s="368"/>
      <c r="C436" s="366"/>
      <c r="D436" s="366"/>
      <c r="E436" s="368"/>
      <c r="F436" s="324"/>
      <c r="G436" s="324"/>
      <c r="J436" s="322"/>
      <c r="K436" s="368"/>
      <c r="L436" s="366"/>
      <c r="M436" s="366"/>
      <c r="N436" s="368"/>
      <c r="O436" s="324"/>
    </row>
    <row r="437" ht="15.75" customHeight="1">
      <c r="A437" s="322"/>
      <c r="B437" s="256" t="s">
        <v>1369</v>
      </c>
      <c r="C437" s="488">
        <v>0.02</v>
      </c>
      <c r="D437" s="94">
        <f>'F&amp;B'!F293</f>
        <v>6750</v>
      </c>
      <c r="E437" s="67">
        <f t="shared" ref="E437:E447" si="51">D437*C437</f>
        <v>135</v>
      </c>
      <c r="F437" s="324"/>
      <c r="G437" s="324"/>
      <c r="J437" s="322"/>
      <c r="K437" s="139" t="s">
        <v>1151</v>
      </c>
      <c r="L437" s="344">
        <v>0.3</v>
      </c>
      <c r="M437" s="343">
        <f>D256</f>
        <v>923.2488</v>
      </c>
      <c r="N437" s="67">
        <f t="shared" ref="N437:N438" si="52">M437*L437</f>
        <v>276.97464</v>
      </c>
      <c r="O437" s="324"/>
    </row>
    <row r="438" ht="15.75" customHeight="1">
      <c r="A438" s="322"/>
      <c r="B438" s="228" t="s">
        <v>1371</v>
      </c>
      <c r="C438" s="398">
        <v>0.02</v>
      </c>
      <c r="D438" s="371">
        <f>'F&amp;B'!F290</f>
        <v>6300</v>
      </c>
      <c r="E438" s="67">
        <f t="shared" si="51"/>
        <v>126</v>
      </c>
      <c r="F438" s="324"/>
      <c r="G438" s="324"/>
      <c r="J438" s="322"/>
      <c r="K438" s="228"/>
      <c r="L438" s="405"/>
      <c r="M438" s="371">
        <f>'F&amp;B'!F87</f>
        <v>58500</v>
      </c>
      <c r="N438" s="67">
        <f t="shared" si="52"/>
        <v>0</v>
      </c>
      <c r="O438" s="324"/>
    </row>
    <row r="439" ht="15.75" customHeight="1">
      <c r="A439" s="322"/>
      <c r="B439" s="139" t="s">
        <v>1372</v>
      </c>
      <c r="C439" s="344">
        <v>0.003</v>
      </c>
      <c r="D439" s="343">
        <f>'F&amp;B'!F43/13</f>
        <v>38076.92308</v>
      </c>
      <c r="E439" s="67">
        <f t="shared" si="51"/>
        <v>114.2307692</v>
      </c>
      <c r="F439" s="324"/>
      <c r="G439" s="324"/>
      <c r="J439" s="322"/>
      <c r="K439" s="60" t="s">
        <v>703</v>
      </c>
      <c r="L439" s="342">
        <v>0.16</v>
      </c>
      <c r="M439" s="343">
        <f>$M$153</f>
        <v>81000</v>
      </c>
      <c r="N439" s="67">
        <f>IF(OR(ISBLANK(L439),ISBLANK(M439)),"",M439*L439)</f>
        <v>12960</v>
      </c>
      <c r="O439" s="324"/>
    </row>
    <row r="440" ht="15.75" customHeight="1">
      <c r="A440" s="322"/>
      <c r="B440" s="228" t="s">
        <v>1373</v>
      </c>
      <c r="C440" s="405">
        <v>0.02</v>
      </c>
      <c r="D440" s="371">
        <f>'F&amp;B'!F250/3.75</f>
        <v>29040</v>
      </c>
      <c r="E440" s="67">
        <f t="shared" si="51"/>
        <v>580.8</v>
      </c>
      <c r="F440" s="324"/>
      <c r="G440" s="324"/>
      <c r="J440" s="322"/>
      <c r="K440" s="228" t="s">
        <v>1374</v>
      </c>
      <c r="L440" s="405">
        <v>0.02</v>
      </c>
      <c r="M440" s="371">
        <f>'F&amp;B'!F250/3.75</f>
        <v>29040</v>
      </c>
      <c r="N440" s="67">
        <f t="shared" ref="N440:N446" si="53">M440*L440</f>
        <v>580.8</v>
      </c>
      <c r="O440" s="324"/>
    </row>
    <row r="441" ht="15.75" customHeight="1">
      <c r="A441" s="322"/>
      <c r="B441" s="228" t="s">
        <v>1375</v>
      </c>
      <c r="C441" s="398">
        <v>0.05</v>
      </c>
      <c r="D441" s="371">
        <f>'F&amp;B'!F252/3.78</f>
        <v>25535.71429</v>
      </c>
      <c r="E441" s="67">
        <f t="shared" si="51"/>
        <v>1276.785714</v>
      </c>
      <c r="F441" s="324"/>
      <c r="G441" s="324"/>
      <c r="J441" s="322"/>
      <c r="K441" s="350" t="s">
        <v>1376</v>
      </c>
      <c r="L441" s="405">
        <v>0.2</v>
      </c>
      <c r="M441" s="489">
        <f>D392</f>
        <v>19665</v>
      </c>
      <c r="N441" s="67">
        <f t="shared" si="53"/>
        <v>3933</v>
      </c>
      <c r="O441" s="324"/>
    </row>
    <row r="442" ht="15.75" customHeight="1">
      <c r="A442" s="322"/>
      <c r="B442" s="228" t="s">
        <v>1377</v>
      </c>
      <c r="C442" s="405">
        <v>0.01</v>
      </c>
      <c r="D442" s="423">
        <v>90000.0</v>
      </c>
      <c r="E442" s="67">
        <f t="shared" si="51"/>
        <v>900</v>
      </c>
      <c r="F442" s="324"/>
      <c r="G442" s="324"/>
      <c r="J442" s="322"/>
      <c r="K442" s="75"/>
      <c r="L442" s="370"/>
      <c r="M442" s="371"/>
      <c r="N442" s="67">
        <f t="shared" si="53"/>
        <v>0</v>
      </c>
      <c r="O442" s="324"/>
    </row>
    <row r="443" ht="15.75" customHeight="1">
      <c r="A443" s="322"/>
      <c r="B443" s="416" t="s">
        <v>1378</v>
      </c>
      <c r="C443" s="405">
        <v>0.003</v>
      </c>
      <c r="D443" s="463">
        <f>'F&amp;B'!F156</f>
        <v>37800</v>
      </c>
      <c r="E443" s="67">
        <f t="shared" si="51"/>
        <v>113.4</v>
      </c>
      <c r="F443" s="324"/>
      <c r="G443" s="324"/>
      <c r="J443" s="322"/>
      <c r="K443" s="75"/>
      <c r="L443" s="346"/>
      <c r="M443" s="371"/>
      <c r="N443" s="67">
        <f t="shared" si="53"/>
        <v>0</v>
      </c>
      <c r="O443" s="324"/>
    </row>
    <row r="444" ht="15.75" customHeight="1">
      <c r="A444" s="322"/>
      <c r="B444" s="228" t="s">
        <v>1379</v>
      </c>
      <c r="C444" s="405">
        <v>0.001</v>
      </c>
      <c r="D444" s="371">
        <f>'F&amp;B'!F143/25</f>
        <v>2340</v>
      </c>
      <c r="E444" s="67">
        <f t="shared" si="51"/>
        <v>2.34</v>
      </c>
      <c r="F444" s="324"/>
      <c r="G444" s="324"/>
      <c r="J444" s="322"/>
      <c r="K444" s="75"/>
      <c r="L444" s="342"/>
      <c r="M444" s="343"/>
      <c r="N444" s="67">
        <f t="shared" si="53"/>
        <v>0</v>
      </c>
      <c r="O444" s="324"/>
    </row>
    <row r="445" ht="15.75" customHeight="1">
      <c r="A445" s="322"/>
      <c r="B445" s="345" t="s">
        <v>1380</v>
      </c>
      <c r="C445" s="405">
        <v>0.001</v>
      </c>
      <c r="D445" s="490">
        <f>'F&amp;B'!F148</f>
        <v>51750</v>
      </c>
      <c r="E445" s="67">
        <f t="shared" si="51"/>
        <v>51.75</v>
      </c>
      <c r="F445" s="324"/>
      <c r="G445" s="324"/>
      <c r="J445" s="322"/>
      <c r="K445" s="348"/>
      <c r="L445" s="346"/>
      <c r="M445" s="373"/>
      <c r="N445" s="67">
        <f t="shared" si="53"/>
        <v>0</v>
      </c>
      <c r="O445" s="324"/>
    </row>
    <row r="446" ht="15.75" customHeight="1">
      <c r="A446" s="322"/>
      <c r="B446" s="345" t="s">
        <v>1381</v>
      </c>
      <c r="C446" s="405">
        <v>1.0</v>
      </c>
      <c r="D446" s="490">
        <f>M109</f>
        <v>5296.5</v>
      </c>
      <c r="E446" s="67">
        <f t="shared" si="51"/>
        <v>5296.5</v>
      </c>
      <c r="F446" s="324"/>
      <c r="G446" s="324"/>
      <c r="J446" s="322"/>
      <c r="K446" s="354"/>
      <c r="L446" s="355"/>
      <c r="M446" s="356"/>
      <c r="N446" s="67">
        <f t="shared" si="53"/>
        <v>0</v>
      </c>
      <c r="O446" s="324"/>
    </row>
    <row r="447" ht="15.75" customHeight="1">
      <c r="A447" s="322"/>
      <c r="B447" s="350" t="s">
        <v>1376</v>
      </c>
      <c r="C447" s="405">
        <v>0.2</v>
      </c>
      <c r="D447" s="489">
        <f>D392</f>
        <v>19665</v>
      </c>
      <c r="E447" s="67">
        <f t="shared" si="51"/>
        <v>3933</v>
      </c>
      <c r="F447" s="324"/>
      <c r="G447" s="324"/>
      <c r="J447" s="322"/>
      <c r="K447" s="362" t="s">
        <v>84</v>
      </c>
      <c r="L447" s="374"/>
      <c r="M447" s="374"/>
      <c r="N447" s="375">
        <f>IF(SUM(N437:N446)=0,"",SUM(N437:N446))</f>
        <v>17750.77464</v>
      </c>
      <c r="O447" s="324"/>
    </row>
    <row r="448" ht="15.75" customHeight="1">
      <c r="A448" s="322"/>
      <c r="B448" s="362" t="s">
        <v>84</v>
      </c>
      <c r="C448" s="374"/>
      <c r="D448" s="374"/>
      <c r="E448" s="375">
        <f>IF(SUM(E438:E447)=0,"",SUM(E438:E447))</f>
        <v>12394.80648</v>
      </c>
      <c r="F448" s="324"/>
      <c r="G448" s="324"/>
      <c r="J448" s="322"/>
      <c r="K448" s="360"/>
      <c r="L448" s="360"/>
      <c r="M448" s="360"/>
      <c r="N448" s="361"/>
      <c r="O448" s="324"/>
    </row>
    <row r="449" ht="15.75" customHeight="1">
      <c r="A449" s="322"/>
      <c r="B449" s="360"/>
      <c r="C449" s="360"/>
      <c r="D449" s="360"/>
      <c r="E449" s="361"/>
      <c r="F449" s="324"/>
      <c r="G449" s="324"/>
      <c r="J449" s="322"/>
      <c r="K449" s="34" t="s">
        <v>17</v>
      </c>
      <c r="L449" s="35"/>
      <c r="M449" s="35"/>
      <c r="N449" s="35"/>
      <c r="O449" s="324"/>
    </row>
    <row r="450" ht="15.75" customHeight="1">
      <c r="A450" s="322"/>
      <c r="B450" s="34" t="s">
        <v>17</v>
      </c>
      <c r="C450" s="35"/>
      <c r="D450" s="35"/>
      <c r="E450" s="35"/>
      <c r="F450" s="324"/>
      <c r="G450" s="324"/>
      <c r="J450" s="322"/>
      <c r="K450" s="52" t="s">
        <v>42</v>
      </c>
      <c r="L450" s="54"/>
      <c r="M450" s="54"/>
      <c r="N450" s="56" t="s">
        <v>35</v>
      </c>
      <c r="O450" s="324"/>
    </row>
    <row r="451" ht="15.75" customHeight="1">
      <c r="A451" s="322"/>
      <c r="B451" s="52" t="s">
        <v>42</v>
      </c>
      <c r="C451" s="54"/>
      <c r="D451" s="54"/>
      <c r="E451" s="56" t="s">
        <v>35</v>
      </c>
      <c r="F451" s="324"/>
      <c r="G451" s="324"/>
      <c r="J451" s="322"/>
      <c r="K451" s="60" t="s">
        <v>40</v>
      </c>
      <c r="L451" s="343">
        <f>'UTL COST'!$B$3</f>
        <v>369000</v>
      </c>
      <c r="M451" s="379">
        <f>'UTL COST'!$C$3</f>
        <v>0.0075</v>
      </c>
      <c r="N451" s="67">
        <f>'UTL COST'!$D$3</f>
        <v>2767.5</v>
      </c>
      <c r="O451" s="324"/>
    </row>
    <row r="452" ht="15.75" customHeight="1">
      <c r="A452" s="322"/>
      <c r="B452" s="60" t="s">
        <v>40</v>
      </c>
      <c r="C452" s="343">
        <f>'UTL COST'!$B$3</f>
        <v>369000</v>
      </c>
      <c r="D452" s="379">
        <f>'UTL COST'!$C$3</f>
        <v>0.0075</v>
      </c>
      <c r="E452" s="67">
        <f>'UTL COST'!$D$3</f>
        <v>2767.5</v>
      </c>
      <c r="F452" s="324"/>
      <c r="G452" s="324"/>
      <c r="J452" s="322"/>
      <c r="K452" s="75" t="s">
        <v>51</v>
      </c>
      <c r="L452" s="371" t="str">
        <f>'UTL COST'!$B$4</f>
        <v>#REF!</v>
      </c>
      <c r="M452" s="382">
        <f>'UTL COST'!$C$4</f>
        <v>7000</v>
      </c>
      <c r="N452" s="76" t="str">
        <f>'UTL COST'!$D$4</f>
        <v>#REF!</v>
      </c>
      <c r="O452" s="324"/>
    </row>
    <row r="453" ht="15.75" customHeight="1">
      <c r="A453" s="322"/>
      <c r="B453" s="75" t="s">
        <v>51</v>
      </c>
      <c r="C453" s="371" t="str">
        <f>'UTL COST'!$B$4</f>
        <v>#REF!</v>
      </c>
      <c r="D453" s="382">
        <f>'UTL COST'!$C$4</f>
        <v>7000</v>
      </c>
      <c r="E453" s="76" t="str">
        <f>'UTL COST'!$D$4</f>
        <v>#REF!</v>
      </c>
      <c r="F453" s="324"/>
      <c r="G453" s="324"/>
      <c r="J453" s="322"/>
      <c r="K453" s="75" t="s">
        <v>59</v>
      </c>
      <c r="L453" s="371" t="str">
        <f>'UTL COST'!$B$5</f>
        <v>#REF!</v>
      </c>
      <c r="M453" s="382">
        <f>'UTL COST'!$C$5</f>
        <v>45000</v>
      </c>
      <c r="N453" s="76" t="str">
        <f>'UTL COST'!$D$5</f>
        <v>#REF!</v>
      </c>
      <c r="O453" s="324"/>
    </row>
    <row r="454" ht="15.75" customHeight="1">
      <c r="A454" s="322"/>
      <c r="B454" s="75" t="s">
        <v>59</v>
      </c>
      <c r="C454" s="371" t="str">
        <f>'UTL COST'!$B$5</f>
        <v>#REF!</v>
      </c>
      <c r="D454" s="382">
        <f>'UTL COST'!$C$5</f>
        <v>45000</v>
      </c>
      <c r="E454" s="76" t="str">
        <f>'UTL COST'!$D$5</f>
        <v>#REF!</v>
      </c>
      <c r="F454" s="324"/>
      <c r="G454" s="324"/>
      <c r="J454" s="322"/>
      <c r="K454" s="87" t="s">
        <v>78</v>
      </c>
      <c r="L454" s="371" t="str">
        <f>'UTL COST'!$B$6</f>
        <v>#REF!</v>
      </c>
      <c r="M454" s="383">
        <f>'UTL COST'!$C$6</f>
        <v>525</v>
      </c>
      <c r="N454" s="89">
        <v>0.1</v>
      </c>
      <c r="O454" s="324"/>
    </row>
    <row r="455" ht="15.75" customHeight="1">
      <c r="A455" s="322"/>
      <c r="B455" s="87" t="s">
        <v>78</v>
      </c>
      <c r="C455" s="371" t="str">
        <f>'UTL COST'!$B$6</f>
        <v>#REF!</v>
      </c>
      <c r="D455" s="383">
        <f>'UTL COST'!$C$6</f>
        <v>525</v>
      </c>
      <c r="E455" s="89">
        <v>0.1</v>
      </c>
      <c r="F455" s="324"/>
      <c r="G455" s="324"/>
      <c r="J455" s="322"/>
      <c r="K455" s="34" t="s">
        <v>84</v>
      </c>
      <c r="L455" s="102"/>
      <c r="M455" s="102"/>
      <c r="N455" s="430" t="str">
        <f>IF(SUM(N451:N454)=0,"",SUM(N451:N454))</f>
        <v>#REF!</v>
      </c>
      <c r="O455" s="324"/>
    </row>
    <row r="456" ht="15.75" customHeight="1">
      <c r="A456" s="322"/>
      <c r="B456" s="34" t="s">
        <v>84</v>
      </c>
      <c r="C456" s="102"/>
      <c r="D456" s="102"/>
      <c r="E456" s="104" t="str">
        <f>IF(SUM(E452:E455)=0,"",SUM(E452:E455))</f>
        <v>#REF!</v>
      </c>
      <c r="F456" s="324"/>
      <c r="G456" s="324"/>
      <c r="J456" s="322"/>
      <c r="K456" s="360"/>
      <c r="L456" s="360"/>
      <c r="M456" s="360"/>
      <c r="N456" s="361"/>
      <c r="O456" s="324"/>
    </row>
    <row r="457" ht="15.75" customHeight="1">
      <c r="A457" s="322"/>
      <c r="B457" s="360"/>
      <c r="C457" s="360"/>
      <c r="D457" s="360"/>
      <c r="E457" s="361"/>
      <c r="F457" s="324"/>
      <c r="G457" s="324"/>
    </row>
    <row r="458" ht="15.75" customHeight="1"/>
    <row r="459" ht="15.75" customHeight="1"/>
    <row r="460" ht="15.75" customHeight="1"/>
    <row r="461" ht="15.75" customHeight="1">
      <c r="A461" s="322"/>
      <c r="B461" s="322"/>
      <c r="C461" s="322"/>
      <c r="D461" s="322"/>
      <c r="E461" s="323"/>
      <c r="F461" s="324"/>
      <c r="J461" s="458"/>
      <c r="K461" s="458"/>
      <c r="L461" s="458"/>
      <c r="M461" s="458"/>
      <c r="N461" s="459"/>
      <c r="O461" s="460"/>
      <c r="P461" s="460"/>
    </row>
    <row r="462" ht="15.75" customHeight="1">
      <c r="A462" s="322"/>
      <c r="B462" s="325"/>
      <c r="C462" s="322"/>
      <c r="D462" s="322"/>
      <c r="E462" s="323"/>
      <c r="F462" s="326"/>
      <c r="J462" s="322"/>
      <c r="K462" s="325"/>
      <c r="L462" s="322"/>
      <c r="M462" s="322"/>
      <c r="N462" s="323"/>
      <c r="O462" s="326"/>
      <c r="P462" s="326"/>
    </row>
    <row r="463" ht="15.75" customHeight="1">
      <c r="A463" s="322"/>
      <c r="B463" s="327" t="s">
        <v>931</v>
      </c>
      <c r="C463" s="330" t="s">
        <v>1382</v>
      </c>
      <c r="D463" s="329"/>
      <c r="E463" s="323"/>
      <c r="F463" s="326"/>
      <c r="J463" s="322"/>
      <c r="K463" s="327" t="s">
        <v>931</v>
      </c>
      <c r="L463" s="330" t="s">
        <v>124</v>
      </c>
      <c r="M463" s="329"/>
      <c r="N463" s="323"/>
      <c r="O463" s="326"/>
      <c r="P463" s="326"/>
    </row>
    <row r="464" ht="15.75" customHeight="1">
      <c r="A464" s="322"/>
      <c r="B464" s="325"/>
      <c r="C464" s="322"/>
      <c r="D464" s="322"/>
      <c r="E464" s="323"/>
      <c r="F464" s="326"/>
      <c r="J464" s="322"/>
      <c r="K464" s="325"/>
      <c r="L464" s="322"/>
      <c r="M464" s="322"/>
      <c r="N464" s="323"/>
      <c r="O464" s="326"/>
      <c r="P464" s="326"/>
    </row>
    <row r="465" ht="15.75" customHeight="1">
      <c r="A465" s="322"/>
      <c r="B465" s="327" t="s">
        <v>935</v>
      </c>
      <c r="C465" s="331">
        <f>E465*90000</f>
        <v>990000</v>
      </c>
      <c r="D465" s="329"/>
      <c r="E465" s="394">
        <v>11.0</v>
      </c>
      <c r="F465" s="326"/>
      <c r="J465" s="322"/>
      <c r="K465" s="327" t="s">
        <v>935</v>
      </c>
      <c r="L465" s="440">
        <v>1100000.0</v>
      </c>
      <c r="M465" s="329"/>
      <c r="N465" s="323"/>
      <c r="O465" s="326"/>
      <c r="P465" s="326"/>
    </row>
    <row r="466" ht="15.75" customHeight="1">
      <c r="A466" s="322"/>
      <c r="B466" s="327"/>
      <c r="C466" s="332"/>
      <c r="D466" s="332"/>
      <c r="E466" s="323"/>
      <c r="F466" s="326"/>
      <c r="J466" s="322"/>
      <c r="K466" s="327"/>
      <c r="L466" s="332"/>
      <c r="M466" s="332"/>
      <c r="N466" s="323"/>
      <c r="O466" s="326"/>
      <c r="P466" s="326"/>
    </row>
    <row r="467" ht="15.75" customHeight="1">
      <c r="A467" s="322"/>
      <c r="B467" s="327" t="s">
        <v>939</v>
      </c>
      <c r="C467" s="333" t="str">
        <f>IF(SUM(E479,E494,E502)=0,"",SUM(E479,E494,E502))</f>
        <v>#REF!</v>
      </c>
      <c r="D467" s="321"/>
      <c r="E467" s="323" t="str">
        <f>C467/90000</f>
        <v>#REF!</v>
      </c>
      <c r="F467" s="326"/>
      <c r="J467" s="322"/>
      <c r="K467" s="327" t="s">
        <v>939</v>
      </c>
      <c r="L467" s="333" t="str">
        <f>IF(SUM(N479,N494,N502)=0,"",SUM(N479,N494,N502))</f>
        <v>#REF!</v>
      </c>
      <c r="M467" s="321"/>
      <c r="N467" s="323" t="str">
        <f>L467/90000</f>
        <v>#REF!</v>
      </c>
      <c r="O467" s="326"/>
      <c r="P467" s="326"/>
    </row>
    <row r="468" ht="15.75" customHeight="1">
      <c r="A468" s="322"/>
      <c r="B468" s="327"/>
      <c r="C468" s="334"/>
      <c r="D468" s="334"/>
      <c r="E468" s="323"/>
      <c r="F468" s="326"/>
      <c r="J468" s="322"/>
      <c r="K468" s="327"/>
      <c r="L468" s="334"/>
      <c r="M468" s="334"/>
      <c r="N468" s="323"/>
      <c r="O468" s="326"/>
      <c r="P468" s="326"/>
    </row>
    <row r="469" ht="15.75" customHeight="1">
      <c r="A469" s="322"/>
      <c r="B469" s="327" t="s">
        <v>946</v>
      </c>
      <c r="C469" s="335" t="str">
        <f>IF(C467="","",IF(ISBLANK(C465),"",C467/C465))</f>
        <v>#REF!</v>
      </c>
      <c r="D469" s="321"/>
      <c r="E469" s="323"/>
      <c r="F469" s="326"/>
      <c r="J469" s="322"/>
      <c r="K469" s="327" t="s">
        <v>946</v>
      </c>
      <c r="L469" s="335" t="str">
        <f>IF(L467="","",IF(ISBLANK(L465),"",L467/L465))</f>
        <v>#REF!</v>
      </c>
      <c r="M469" s="321"/>
      <c r="N469" s="323"/>
      <c r="O469" s="326"/>
      <c r="P469" s="326"/>
    </row>
    <row r="470" ht="15.75" customHeight="1">
      <c r="A470" s="322"/>
      <c r="B470" s="327"/>
      <c r="C470" s="334"/>
      <c r="D470" s="334"/>
      <c r="E470" s="323"/>
      <c r="F470" s="326"/>
      <c r="J470" s="322"/>
      <c r="K470" s="327"/>
      <c r="L470" s="334"/>
      <c r="M470" s="334"/>
      <c r="N470" s="323"/>
      <c r="O470" s="326"/>
      <c r="P470" s="326"/>
    </row>
    <row r="471" ht="15.75" customHeight="1">
      <c r="A471" s="322"/>
      <c r="B471" s="327" t="s">
        <v>950</v>
      </c>
      <c r="C471" s="333" t="str">
        <f>C465-C467</f>
        <v>#REF!</v>
      </c>
      <c r="D471" s="321"/>
      <c r="E471" s="323"/>
      <c r="F471" s="326"/>
      <c r="J471" s="322"/>
      <c r="K471" s="327" t="s">
        <v>950</v>
      </c>
      <c r="L471" s="333" t="str">
        <f>L465-L467</f>
        <v>#REF!</v>
      </c>
      <c r="M471" s="321"/>
      <c r="N471" s="323"/>
      <c r="O471" s="326"/>
      <c r="P471" s="326"/>
    </row>
    <row r="472" ht="15.75" customHeight="1">
      <c r="A472" s="322"/>
      <c r="B472" s="322"/>
      <c r="C472" s="322"/>
      <c r="D472" s="322"/>
      <c r="E472" s="323"/>
      <c r="F472" s="324"/>
      <c r="J472" s="322"/>
      <c r="K472" s="322"/>
      <c r="L472" s="322"/>
      <c r="M472" s="322"/>
      <c r="N472" s="323"/>
      <c r="O472" s="324"/>
      <c r="P472" s="324"/>
    </row>
    <row r="473" ht="15.75" customHeight="1">
      <c r="A473" s="322"/>
      <c r="B473" s="322"/>
      <c r="C473" s="322"/>
      <c r="D473" s="322"/>
      <c r="E473" s="337"/>
      <c r="F473" s="324"/>
      <c r="J473" s="322"/>
      <c r="K473" s="322"/>
      <c r="L473" s="322"/>
      <c r="M473" s="322"/>
      <c r="N473" s="337"/>
      <c r="O473" s="324"/>
      <c r="P473" s="324"/>
    </row>
    <row r="474" ht="15.75" customHeight="1">
      <c r="A474" s="322"/>
      <c r="B474" s="338" t="s">
        <v>951</v>
      </c>
      <c r="C474" s="339"/>
      <c r="D474" s="339"/>
      <c r="E474" s="339"/>
      <c r="F474" s="324"/>
      <c r="J474" s="322"/>
      <c r="K474" s="338" t="s">
        <v>951</v>
      </c>
      <c r="L474" s="339"/>
      <c r="M474" s="339"/>
      <c r="N474" s="339"/>
      <c r="O474" s="324"/>
      <c r="P474" s="324"/>
    </row>
    <row r="475" ht="15.75" customHeight="1">
      <c r="A475" s="322"/>
      <c r="B475" s="340" t="s">
        <v>953</v>
      </c>
      <c r="C475" s="341" t="s">
        <v>954</v>
      </c>
      <c r="D475" s="341" t="s">
        <v>955</v>
      </c>
      <c r="E475" s="341" t="s">
        <v>35</v>
      </c>
      <c r="F475" s="324"/>
      <c r="J475" s="322"/>
      <c r="K475" s="340" t="s">
        <v>953</v>
      </c>
      <c r="L475" s="341" t="s">
        <v>954</v>
      </c>
      <c r="M475" s="341" t="s">
        <v>955</v>
      </c>
      <c r="N475" s="341" t="s">
        <v>35</v>
      </c>
      <c r="O475" s="324"/>
      <c r="P475" s="324"/>
    </row>
    <row r="476" ht="15.75" customHeight="1">
      <c r="A476" s="322"/>
      <c r="B476" s="139" t="s">
        <v>1112</v>
      </c>
      <c r="C476" s="344">
        <v>0.02</v>
      </c>
      <c r="D476" s="343">
        <f>M72</f>
        <v>142920</v>
      </c>
      <c r="E476" s="67">
        <f t="shared" ref="E476:E478" si="54">IF(OR(ISBLANK(C476),ISBLANK(D476)),"",D476*C476)</f>
        <v>2858.4</v>
      </c>
      <c r="F476" s="324"/>
      <c r="J476" s="322"/>
      <c r="K476" s="277" t="s">
        <v>1142</v>
      </c>
      <c r="L476" s="344">
        <v>0.1</v>
      </c>
      <c r="M476" s="343">
        <f>'F&amp;B'!F134</f>
        <v>14400</v>
      </c>
      <c r="N476" s="67">
        <f>IF(OR(ISBLANK(L476),ISBLANK(M476)),"",M476*L476)</f>
        <v>1440</v>
      </c>
      <c r="O476" s="324"/>
      <c r="P476" s="324"/>
    </row>
    <row r="477" ht="15.75" customHeight="1">
      <c r="A477" s="322"/>
      <c r="B477" s="406" t="s">
        <v>1290</v>
      </c>
      <c r="C477" s="407">
        <v>2.0</v>
      </c>
      <c r="D477" s="408">
        <f>'F&amp;B'!F302/28</f>
        <v>385.7142857</v>
      </c>
      <c r="E477" s="89">
        <f t="shared" si="54"/>
        <v>771.4285714</v>
      </c>
      <c r="F477" s="324"/>
      <c r="J477" s="322"/>
      <c r="K477" s="277" t="s">
        <v>1191</v>
      </c>
      <c r="L477" s="405">
        <v>1.0</v>
      </c>
      <c r="M477" s="371">
        <f>'F&amp;B'!F5/30</f>
        <v>7566</v>
      </c>
      <c r="N477" s="67">
        <f>M477*L477</f>
        <v>7566</v>
      </c>
      <c r="O477" s="324"/>
      <c r="P477" s="324"/>
    </row>
    <row r="478" ht="15.75" customHeight="1">
      <c r="A478" s="322"/>
      <c r="B478" s="406" t="s">
        <v>173</v>
      </c>
      <c r="C478" s="351">
        <v>0.05</v>
      </c>
      <c r="D478" s="408">
        <f>M255</f>
        <v>7200</v>
      </c>
      <c r="E478" s="67">
        <f t="shared" si="54"/>
        <v>360</v>
      </c>
      <c r="F478" s="324"/>
      <c r="J478" s="322"/>
      <c r="K478" s="277" t="s">
        <v>1144</v>
      </c>
      <c r="L478" s="407">
        <v>0.05</v>
      </c>
      <c r="M478" s="408">
        <f>'F&amp;B'!F36</f>
        <v>94050</v>
      </c>
      <c r="N478" s="89">
        <f>IF(OR(ISBLANK(L478),ISBLANK(M478)),"",M478*L478)</f>
        <v>4702.5</v>
      </c>
      <c r="O478" s="324"/>
      <c r="P478" s="324"/>
    </row>
    <row r="479" ht="15.75" customHeight="1">
      <c r="A479" s="322"/>
      <c r="B479" s="338" t="s">
        <v>84</v>
      </c>
      <c r="C479" s="358"/>
      <c r="D479" s="358"/>
      <c r="E479" s="359">
        <f>IF(SUM(E476:E478)=0,"",SUM(E476:E478))</f>
        <v>3989.828571</v>
      </c>
      <c r="F479" s="324"/>
      <c r="J479" s="322"/>
      <c r="K479" s="338" t="s">
        <v>84</v>
      </c>
      <c r="L479" s="358"/>
      <c r="M479" s="358"/>
      <c r="N479" s="359">
        <f>IF(SUM(N476:N478)=0,"",SUM(N476:N478))</f>
        <v>13708.5</v>
      </c>
      <c r="O479" s="324"/>
      <c r="P479" s="324"/>
    </row>
    <row r="480" ht="15.75" customHeight="1">
      <c r="A480" s="322"/>
      <c r="B480" s="360"/>
      <c r="C480" s="360"/>
      <c r="D480" s="360"/>
      <c r="E480" s="361"/>
      <c r="F480" s="324"/>
      <c r="J480" s="322"/>
      <c r="K480" s="360"/>
      <c r="L480" s="360"/>
      <c r="M480" s="360"/>
      <c r="N480" s="361"/>
      <c r="O480" s="324"/>
      <c r="P480" s="324"/>
    </row>
    <row r="481" ht="15.75" customHeight="1">
      <c r="A481" s="322"/>
      <c r="B481" s="362" t="s">
        <v>972</v>
      </c>
      <c r="C481" s="363"/>
      <c r="D481" s="363"/>
      <c r="E481" s="363"/>
      <c r="F481" s="324"/>
      <c r="J481" s="322"/>
      <c r="K481" s="362" t="s">
        <v>972</v>
      </c>
      <c r="L481" s="363"/>
      <c r="M481" s="363"/>
      <c r="N481" s="363"/>
      <c r="O481" s="324"/>
      <c r="P481" s="324"/>
    </row>
    <row r="482" ht="15.75" customHeight="1">
      <c r="A482" s="322"/>
      <c r="B482" s="365" t="s">
        <v>953</v>
      </c>
      <c r="C482" s="366" t="s">
        <v>3</v>
      </c>
      <c r="D482" s="366" t="s">
        <v>975</v>
      </c>
      <c r="E482" s="367" t="s">
        <v>35</v>
      </c>
      <c r="F482" s="324"/>
      <c r="J482" s="322"/>
      <c r="K482" s="365" t="s">
        <v>953</v>
      </c>
      <c r="L482" s="366" t="s">
        <v>3</v>
      </c>
      <c r="M482" s="366" t="s">
        <v>975</v>
      </c>
      <c r="N482" s="367" t="s">
        <v>35</v>
      </c>
      <c r="O482" s="324"/>
      <c r="P482" s="324"/>
    </row>
    <row r="483" ht="15.75" customHeight="1">
      <c r="A483" s="322"/>
      <c r="B483" s="368"/>
      <c r="C483" s="366"/>
      <c r="D483" s="366"/>
      <c r="E483" s="368"/>
      <c r="F483" s="324"/>
      <c r="J483" s="322"/>
      <c r="K483" s="368"/>
      <c r="L483" s="366"/>
      <c r="M483" s="366"/>
      <c r="N483" s="368"/>
      <c r="O483" s="324"/>
      <c r="P483" s="324"/>
    </row>
    <row r="484" ht="15.75" customHeight="1">
      <c r="A484" s="322"/>
      <c r="B484" s="139" t="s">
        <v>1386</v>
      </c>
      <c r="C484" s="344">
        <v>0.01</v>
      </c>
      <c r="D484" s="343">
        <f>'F&amp;B'!F297</f>
        <v>16650</v>
      </c>
      <c r="E484" s="67">
        <f t="shared" ref="E484:E485" si="55">D484*C484</f>
        <v>166.5</v>
      </c>
      <c r="F484" s="324"/>
      <c r="J484" s="322"/>
      <c r="K484" s="277" t="s">
        <v>453</v>
      </c>
      <c r="L484" s="398">
        <v>0.05</v>
      </c>
      <c r="M484" s="371">
        <f>'F&amp;B'!F151</f>
        <v>99000</v>
      </c>
      <c r="N484" s="67">
        <f t="shared" ref="N484:N493" si="56">M484*L484</f>
        <v>4950</v>
      </c>
      <c r="O484" s="324"/>
      <c r="P484" s="324"/>
    </row>
    <row r="485" ht="15.75" customHeight="1">
      <c r="A485" s="322"/>
      <c r="B485" s="228" t="s">
        <v>1185</v>
      </c>
      <c r="C485" s="405">
        <v>0.02</v>
      </c>
      <c r="D485" s="371">
        <f>M71</f>
        <v>129150</v>
      </c>
      <c r="E485" s="67">
        <f t="shared" si="55"/>
        <v>2583</v>
      </c>
      <c r="F485" s="324"/>
      <c r="J485" s="322"/>
      <c r="K485" s="277" t="s">
        <v>214</v>
      </c>
      <c r="L485" s="405">
        <v>0.025</v>
      </c>
      <c r="M485" s="371">
        <f>'F&amp;B'!F154</f>
        <v>56700</v>
      </c>
      <c r="N485" s="67">
        <f t="shared" si="56"/>
        <v>1417.5</v>
      </c>
      <c r="O485" s="324"/>
      <c r="P485" s="324"/>
    </row>
    <row r="486" ht="15.75" customHeight="1">
      <c r="A486" s="322"/>
      <c r="B486" s="60" t="s">
        <v>703</v>
      </c>
      <c r="C486" s="342">
        <v>0.16</v>
      </c>
      <c r="D486" s="343">
        <f>$M$153</f>
        <v>81000</v>
      </c>
      <c r="E486" s="67">
        <f>IF(OR(ISBLANK(C486),ISBLANK(D486)),"",D486*C486)</f>
        <v>12960</v>
      </c>
      <c r="F486" s="324"/>
      <c r="J486" s="322"/>
      <c r="K486" s="277" t="s">
        <v>374</v>
      </c>
      <c r="L486" s="405">
        <v>0.02</v>
      </c>
      <c r="M486" s="371">
        <f>'F&amp;B'!F79/25</f>
        <v>14040</v>
      </c>
      <c r="N486" s="67">
        <f t="shared" si="56"/>
        <v>280.8</v>
      </c>
      <c r="O486" s="324"/>
      <c r="P486" s="324"/>
    </row>
    <row r="487" ht="15.75" customHeight="1">
      <c r="A487" s="322"/>
      <c r="B487" s="228" t="s">
        <v>225</v>
      </c>
      <c r="C487" s="405">
        <v>1.0</v>
      </c>
      <c r="D487" s="371">
        <f>'F&amp;B'!F84/30</f>
        <v>1299</v>
      </c>
      <c r="E487" s="67">
        <f t="shared" ref="E487:E493" si="57">D487*C487</f>
        <v>1299</v>
      </c>
      <c r="F487" s="324"/>
      <c r="J487" s="322"/>
      <c r="K487" s="228"/>
      <c r="L487" s="405"/>
      <c r="M487" s="371"/>
      <c r="N487" s="67">
        <f t="shared" si="56"/>
        <v>0</v>
      </c>
      <c r="O487" s="324"/>
      <c r="P487" s="324"/>
    </row>
    <row r="488" ht="15.75" customHeight="1">
      <c r="A488" s="322"/>
      <c r="B488" s="350" t="s">
        <v>1387</v>
      </c>
      <c r="C488" s="405">
        <v>0.75</v>
      </c>
      <c r="D488" s="489">
        <f>SAUCES!L77</f>
        <v>1303.068898</v>
      </c>
      <c r="E488" s="67">
        <f t="shared" si="57"/>
        <v>977.3016732</v>
      </c>
      <c r="F488" s="324"/>
      <c r="J488" s="322"/>
      <c r="K488" s="75"/>
      <c r="L488" s="346"/>
      <c r="M488" s="371"/>
      <c r="N488" s="67">
        <f t="shared" si="56"/>
        <v>0</v>
      </c>
      <c r="O488" s="324"/>
      <c r="P488" s="324"/>
    </row>
    <row r="489" ht="15.75" customHeight="1">
      <c r="A489" s="322"/>
      <c r="B489" s="75" t="str">
        <f t="shared" ref="B489:D489" si="58">K441</f>
        <v>French fries 200g</v>
      </c>
      <c r="C489" s="75">
        <f t="shared" si="58"/>
        <v>0.2</v>
      </c>
      <c r="D489" s="491">
        <f t="shared" si="58"/>
        <v>19665</v>
      </c>
      <c r="E489" s="67">
        <f t="shared" si="57"/>
        <v>3933</v>
      </c>
      <c r="F489" s="324"/>
      <c r="J489" s="322"/>
      <c r="K489" s="442"/>
      <c r="L489" s="346"/>
      <c r="M489" s="371"/>
      <c r="N489" s="67">
        <f t="shared" si="56"/>
        <v>0</v>
      </c>
      <c r="O489" s="324"/>
      <c r="P489" s="324"/>
    </row>
    <row r="490" ht="15.75" customHeight="1">
      <c r="A490" s="322"/>
      <c r="B490" s="75"/>
      <c r="C490" s="346"/>
      <c r="D490" s="371"/>
      <c r="E490" s="67">
        <f t="shared" si="57"/>
        <v>0</v>
      </c>
      <c r="F490" s="324"/>
      <c r="J490" s="322"/>
      <c r="K490" s="75"/>
      <c r="L490" s="398"/>
      <c r="M490" s="371"/>
      <c r="N490" s="67">
        <f t="shared" si="56"/>
        <v>0</v>
      </c>
      <c r="O490" s="324"/>
      <c r="P490" s="324"/>
    </row>
    <row r="491" ht="15.75" customHeight="1">
      <c r="A491" s="322"/>
      <c r="B491" s="75"/>
      <c r="C491" s="342"/>
      <c r="D491" s="343"/>
      <c r="E491" s="67">
        <f t="shared" si="57"/>
        <v>0</v>
      </c>
      <c r="F491" s="324"/>
      <c r="J491" s="322"/>
      <c r="K491" s="348"/>
      <c r="L491" s="346"/>
      <c r="M491" s="373"/>
      <c r="N491" s="67">
        <f t="shared" si="56"/>
        <v>0</v>
      </c>
      <c r="O491" s="324"/>
      <c r="P491" s="324"/>
    </row>
    <row r="492" ht="15.75" customHeight="1">
      <c r="A492" s="322"/>
      <c r="B492" s="348"/>
      <c r="C492" s="346"/>
      <c r="D492" s="373"/>
      <c r="E492" s="67">
        <f t="shared" si="57"/>
        <v>0</v>
      </c>
      <c r="F492" s="324"/>
      <c r="J492" s="322"/>
      <c r="K492" s="348"/>
      <c r="L492" s="346"/>
      <c r="M492" s="373"/>
      <c r="N492" s="67">
        <f t="shared" si="56"/>
        <v>0</v>
      </c>
      <c r="O492" s="324"/>
      <c r="P492" s="324"/>
    </row>
    <row r="493" ht="15.75" customHeight="1">
      <c r="A493" s="322"/>
      <c r="B493" s="354"/>
      <c r="C493" s="355"/>
      <c r="D493" s="356"/>
      <c r="E493" s="67">
        <f t="shared" si="57"/>
        <v>0</v>
      </c>
      <c r="F493" s="324"/>
      <c r="J493" s="322"/>
      <c r="K493" s="354"/>
      <c r="L493" s="355"/>
      <c r="M493" s="356"/>
      <c r="N493" s="67">
        <f t="shared" si="56"/>
        <v>0</v>
      </c>
      <c r="O493" s="324"/>
      <c r="P493" s="324"/>
    </row>
    <row r="494" ht="15.75" customHeight="1">
      <c r="A494" s="322"/>
      <c r="B494" s="362" t="s">
        <v>84</v>
      </c>
      <c r="C494" s="374"/>
      <c r="D494" s="374"/>
      <c r="E494" s="375">
        <f>IF(SUM(E484:E493)=0,"",SUM(E484:E493))</f>
        <v>21918.80167</v>
      </c>
      <c r="F494" s="324"/>
      <c r="J494" s="322"/>
      <c r="K494" s="362" t="s">
        <v>84</v>
      </c>
      <c r="L494" s="374"/>
      <c r="M494" s="374"/>
      <c r="N494" s="375">
        <f>IF(SUM(N484:N493)=0,"",SUM(N484:N493))</f>
        <v>6648.3</v>
      </c>
      <c r="O494" s="324"/>
      <c r="P494" s="324"/>
    </row>
    <row r="495" ht="15.75" customHeight="1">
      <c r="A495" s="322"/>
      <c r="B495" s="360"/>
      <c r="C495" s="360"/>
      <c r="D495" s="360"/>
      <c r="E495" s="361"/>
      <c r="F495" s="324"/>
      <c r="J495" s="322"/>
      <c r="K495" s="360"/>
      <c r="L495" s="360"/>
      <c r="M495" s="360"/>
      <c r="N495" s="361"/>
      <c r="O495" s="324"/>
      <c r="P495" s="324"/>
    </row>
    <row r="496" ht="15.75" customHeight="1">
      <c r="A496" s="322"/>
      <c r="B496" s="34" t="s">
        <v>17</v>
      </c>
      <c r="C496" s="35"/>
      <c r="D496" s="35"/>
      <c r="E496" s="35"/>
      <c r="F496" s="324"/>
      <c r="J496" s="322"/>
      <c r="K496" s="34" t="s">
        <v>17</v>
      </c>
      <c r="L496" s="35"/>
      <c r="M496" s="35"/>
      <c r="N496" s="35"/>
      <c r="O496" s="324"/>
      <c r="P496" s="324"/>
    </row>
    <row r="497" ht="15.75" customHeight="1">
      <c r="A497" s="322"/>
      <c r="B497" s="52" t="s">
        <v>42</v>
      </c>
      <c r="C497" s="54"/>
      <c r="D497" s="54"/>
      <c r="E497" s="56" t="s">
        <v>35</v>
      </c>
      <c r="F497" s="324"/>
      <c r="J497" s="322"/>
      <c r="K497" s="52" t="s">
        <v>42</v>
      </c>
      <c r="L497" s="54"/>
      <c r="M497" s="54"/>
      <c r="N497" s="56" t="s">
        <v>35</v>
      </c>
      <c r="O497" s="324"/>
      <c r="P497" s="324"/>
    </row>
    <row r="498" ht="15.75" customHeight="1">
      <c r="A498" s="322"/>
      <c r="B498" s="60" t="s">
        <v>40</v>
      </c>
      <c r="C498" s="343">
        <f>'UTL COST'!$B$3</f>
        <v>369000</v>
      </c>
      <c r="D498" s="379">
        <f>'UTL COST'!$C$3</f>
        <v>0.0075</v>
      </c>
      <c r="E498" s="67">
        <v>0.0</v>
      </c>
      <c r="F498" s="324"/>
      <c r="J498" s="322"/>
      <c r="K498" s="60" t="s">
        <v>40</v>
      </c>
      <c r="L498" s="343">
        <f>'UTL COST'!$B$3</f>
        <v>369000</v>
      </c>
      <c r="M498" s="379">
        <f>'UTL COST'!$C$3</f>
        <v>0.0075</v>
      </c>
      <c r="N498" s="67">
        <f>'UTL COST'!$D$3</f>
        <v>2767.5</v>
      </c>
      <c r="O498" s="324"/>
      <c r="P498" s="324"/>
    </row>
    <row r="499" ht="15.75" customHeight="1">
      <c r="A499" s="322"/>
      <c r="B499" s="75" t="s">
        <v>51</v>
      </c>
      <c r="C499" s="371" t="str">
        <f>'UTL COST'!$B$4</f>
        <v>#REF!</v>
      </c>
      <c r="D499" s="382">
        <f>'UTL COST'!$C$4</f>
        <v>7000</v>
      </c>
      <c r="E499" s="76" t="str">
        <f>'UTL COST'!$D$4</f>
        <v>#REF!</v>
      </c>
      <c r="F499" s="324"/>
      <c r="J499" s="322"/>
      <c r="K499" s="75" t="s">
        <v>51</v>
      </c>
      <c r="L499" s="371" t="str">
        <f>'UTL COST'!$B$4</f>
        <v>#REF!</v>
      </c>
      <c r="M499" s="382">
        <f>'UTL COST'!$C$4</f>
        <v>7000</v>
      </c>
      <c r="N499" s="67" t="str">
        <f>'UTL COST'!$D$4</f>
        <v>#REF!</v>
      </c>
      <c r="O499" s="324"/>
      <c r="P499" s="324"/>
    </row>
    <row r="500" ht="15.75" customHeight="1">
      <c r="A500" s="322"/>
      <c r="B500" s="75" t="s">
        <v>59</v>
      </c>
      <c r="C500" s="371" t="str">
        <f>'UTL COST'!$B$5</f>
        <v>#REF!</v>
      </c>
      <c r="D500" s="382">
        <f>'UTL COST'!$C$5</f>
        <v>45000</v>
      </c>
      <c r="E500" s="76" t="str">
        <f>'UTL COST'!$D$5</f>
        <v>#REF!</v>
      </c>
      <c r="F500" s="324"/>
      <c r="J500" s="322"/>
      <c r="K500" s="75" t="s">
        <v>59</v>
      </c>
      <c r="L500" s="371" t="str">
        <f>'UTL COST'!$B$5</f>
        <v>#REF!</v>
      </c>
      <c r="M500" s="382">
        <f>'UTL COST'!$C$5</f>
        <v>45000</v>
      </c>
      <c r="N500" s="76" t="str">
        <f>'UTL COST'!$D$5</f>
        <v>#REF!</v>
      </c>
      <c r="O500" s="324"/>
      <c r="P500" s="324"/>
    </row>
    <row r="501" ht="15.75" customHeight="1">
      <c r="A501" s="322"/>
      <c r="B501" s="87" t="s">
        <v>78</v>
      </c>
      <c r="C501" s="371" t="str">
        <f>'UTL COST'!$B$6</f>
        <v>#REF!</v>
      </c>
      <c r="D501" s="383">
        <f>'UTL COST'!$C$6</f>
        <v>525</v>
      </c>
      <c r="E501" s="89">
        <v>0.1</v>
      </c>
      <c r="F501" s="324"/>
      <c r="J501" s="322"/>
      <c r="K501" s="406" t="s">
        <v>64</v>
      </c>
      <c r="L501" s="371" t="str">
        <f>'UTL COST'!$B$6</f>
        <v>#REF!</v>
      </c>
      <c r="M501" s="383">
        <f>'UTL COST'!$C$6</f>
        <v>525</v>
      </c>
      <c r="N501" s="89">
        <v>0.1</v>
      </c>
      <c r="O501" s="324"/>
      <c r="P501" s="324"/>
    </row>
    <row r="502" ht="15.75" customHeight="1">
      <c r="A502" s="322"/>
      <c r="B502" s="34" t="s">
        <v>84</v>
      </c>
      <c r="C502" s="102"/>
      <c r="D502" s="102"/>
      <c r="E502" s="430" t="str">
        <f>IF(SUM(E498:E501)=0,"",SUM(E498:E501))</f>
        <v>#REF!</v>
      </c>
      <c r="F502" s="324"/>
      <c r="J502" s="322"/>
      <c r="K502" s="34" t="s">
        <v>84</v>
      </c>
      <c r="L502" s="102"/>
      <c r="M502" s="102"/>
      <c r="N502" s="104" t="str">
        <f>IF(SUM(N498:N501)=0,"",SUM(N498:N501))</f>
        <v>#REF!</v>
      </c>
      <c r="O502" s="324"/>
      <c r="P502" s="324"/>
    </row>
    <row r="503" ht="15.75" customHeight="1">
      <c r="A503" s="322"/>
      <c r="B503" s="360"/>
      <c r="C503" s="360"/>
      <c r="D503" s="360"/>
      <c r="E503" s="361"/>
      <c r="F503" s="324"/>
      <c r="J503" s="322"/>
      <c r="K503" s="360"/>
      <c r="L503" s="360"/>
      <c r="M503" s="360"/>
      <c r="N503" s="361"/>
      <c r="O503" s="324"/>
      <c r="P503" s="324"/>
    </row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82">
    <mergeCell ref="L10:M10"/>
    <mergeCell ref="L12:M12"/>
    <mergeCell ref="A1:F1"/>
    <mergeCell ref="C6:D6"/>
    <mergeCell ref="L6:M6"/>
    <mergeCell ref="C8:D8"/>
    <mergeCell ref="L8:M8"/>
    <mergeCell ref="C10:D10"/>
    <mergeCell ref="C12:D12"/>
    <mergeCell ref="C14:D14"/>
    <mergeCell ref="L14:M14"/>
    <mergeCell ref="F19:G19"/>
    <mergeCell ref="F20:G20"/>
    <mergeCell ref="F21:G21"/>
    <mergeCell ref="F22:G22"/>
    <mergeCell ref="F23:G23"/>
    <mergeCell ref="F24:G24"/>
    <mergeCell ref="B25:B26"/>
    <mergeCell ref="E25:E26"/>
    <mergeCell ref="F25:G25"/>
    <mergeCell ref="K25:K26"/>
    <mergeCell ref="N25:N26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L50:M50"/>
    <mergeCell ref="L52:M52"/>
    <mergeCell ref="L54:M54"/>
    <mergeCell ref="L56:M56"/>
    <mergeCell ref="L58:M58"/>
    <mergeCell ref="C140:D140"/>
    <mergeCell ref="C142:D142"/>
    <mergeCell ref="C144:D144"/>
    <mergeCell ref="C146:D146"/>
    <mergeCell ref="C148:D148"/>
    <mergeCell ref="B159:B160"/>
    <mergeCell ref="E159:E160"/>
    <mergeCell ref="C187:D187"/>
    <mergeCell ref="C189:D189"/>
    <mergeCell ref="C191:D191"/>
    <mergeCell ref="C193:D193"/>
    <mergeCell ref="C195:D195"/>
    <mergeCell ref="B206:B207"/>
    <mergeCell ref="E206:E207"/>
    <mergeCell ref="C279:D279"/>
    <mergeCell ref="C281:D281"/>
    <mergeCell ref="C283:D283"/>
    <mergeCell ref="C285:D285"/>
    <mergeCell ref="C287:D287"/>
    <mergeCell ref="B298:B299"/>
    <mergeCell ref="E298:E299"/>
    <mergeCell ref="C325:D325"/>
    <mergeCell ref="C327:D327"/>
    <mergeCell ref="C329:D329"/>
    <mergeCell ref="C331:D331"/>
    <mergeCell ref="C333:D333"/>
    <mergeCell ref="B344:B345"/>
    <mergeCell ref="E344:E345"/>
    <mergeCell ref="C371:D371"/>
    <mergeCell ref="C373:D373"/>
    <mergeCell ref="C375:D375"/>
    <mergeCell ref="C377:D377"/>
    <mergeCell ref="C379:D379"/>
    <mergeCell ref="B390:B391"/>
    <mergeCell ref="E390:E391"/>
    <mergeCell ref="C463:D463"/>
    <mergeCell ref="C465:D465"/>
    <mergeCell ref="C467:D467"/>
    <mergeCell ref="C469:D469"/>
    <mergeCell ref="C471:D471"/>
    <mergeCell ref="B482:B483"/>
    <mergeCell ref="E482:E483"/>
    <mergeCell ref="C416:D416"/>
    <mergeCell ref="C418:D418"/>
    <mergeCell ref="C420:D420"/>
    <mergeCell ref="C422:D422"/>
    <mergeCell ref="C424:D424"/>
    <mergeCell ref="B435:B436"/>
    <mergeCell ref="E435:E436"/>
    <mergeCell ref="L187:M187"/>
    <mergeCell ref="L189:M189"/>
    <mergeCell ref="L191:M191"/>
    <mergeCell ref="L193:M193"/>
    <mergeCell ref="L195:M195"/>
    <mergeCell ref="K206:K207"/>
    <mergeCell ref="N206:N207"/>
    <mergeCell ref="L233:M233"/>
    <mergeCell ref="L235:M235"/>
    <mergeCell ref="L237:M237"/>
    <mergeCell ref="L239:M239"/>
    <mergeCell ref="L241:M241"/>
    <mergeCell ref="K252:K253"/>
    <mergeCell ref="N252:N253"/>
    <mergeCell ref="L325:M325"/>
    <mergeCell ref="L327:M327"/>
    <mergeCell ref="L329:M329"/>
    <mergeCell ref="L331:M331"/>
    <mergeCell ref="L333:M333"/>
    <mergeCell ref="K344:K345"/>
    <mergeCell ref="N344:N345"/>
    <mergeCell ref="L371:M371"/>
    <mergeCell ref="L373:M373"/>
    <mergeCell ref="L375:M375"/>
    <mergeCell ref="L377:M377"/>
    <mergeCell ref="L379:M379"/>
    <mergeCell ref="K390:K391"/>
    <mergeCell ref="N390:N391"/>
    <mergeCell ref="L463:M463"/>
    <mergeCell ref="L465:M465"/>
    <mergeCell ref="L467:M467"/>
    <mergeCell ref="L469:M469"/>
    <mergeCell ref="L471:M471"/>
    <mergeCell ref="K482:K483"/>
    <mergeCell ref="N482:N483"/>
    <mergeCell ref="L416:M416"/>
    <mergeCell ref="L418:M418"/>
    <mergeCell ref="L420:M420"/>
    <mergeCell ref="L422:M422"/>
    <mergeCell ref="L424:M424"/>
    <mergeCell ref="K435:K436"/>
    <mergeCell ref="N435:N436"/>
    <mergeCell ref="F41:G41"/>
    <mergeCell ref="F42:G42"/>
    <mergeCell ref="F43:G43"/>
    <mergeCell ref="F44:G44"/>
    <mergeCell ref="F45:G45"/>
    <mergeCell ref="C50:D50"/>
    <mergeCell ref="C52:D52"/>
    <mergeCell ref="C54:D54"/>
    <mergeCell ref="C56:D56"/>
    <mergeCell ref="C58:D58"/>
    <mergeCell ref="B69:B70"/>
    <mergeCell ref="E69:E70"/>
    <mergeCell ref="K69:K70"/>
    <mergeCell ref="N69:N70"/>
    <mergeCell ref="C95:D95"/>
    <mergeCell ref="C97:D97"/>
    <mergeCell ref="C99:D99"/>
    <mergeCell ref="C101:D101"/>
    <mergeCell ref="C103:D103"/>
    <mergeCell ref="B114:B115"/>
    <mergeCell ref="E114:E115"/>
    <mergeCell ref="L95:M95"/>
    <mergeCell ref="L97:M97"/>
    <mergeCell ref="L99:M99"/>
    <mergeCell ref="L101:M101"/>
    <mergeCell ref="L103:M103"/>
    <mergeCell ref="K114:K115"/>
    <mergeCell ref="N114:N115"/>
    <mergeCell ref="L140:M140"/>
    <mergeCell ref="L142:M142"/>
    <mergeCell ref="L144:M144"/>
    <mergeCell ref="L146:M146"/>
    <mergeCell ref="L148:M148"/>
    <mergeCell ref="K159:K160"/>
    <mergeCell ref="N159:N160"/>
    <mergeCell ref="C233:D233"/>
    <mergeCell ref="C235:D235"/>
    <mergeCell ref="C237:D237"/>
    <mergeCell ref="C239:D239"/>
    <mergeCell ref="C241:D241"/>
    <mergeCell ref="B252:B253"/>
    <mergeCell ref="E252:E253"/>
    <mergeCell ref="L279:M279"/>
    <mergeCell ref="L281:M281"/>
    <mergeCell ref="L283:M283"/>
    <mergeCell ref="L285:M285"/>
    <mergeCell ref="L287:M287"/>
    <mergeCell ref="K298:K299"/>
    <mergeCell ref="N298:N299"/>
  </mergeCells>
  <printOptions/>
  <pageMargins bottom="0.75" footer="0.0" header="0.0" left="0.7" right="0.7" top="0.75"/>
  <pageSetup orientation="portrait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5867"/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0"/>
    <col customWidth="1" min="4" max="4" width="12.13"/>
    <col customWidth="1" min="5" max="5" width="12.63"/>
    <col customWidth="1" min="6" max="7" width="3.0"/>
    <col customWidth="1" min="8" max="10" width="7.75"/>
    <col customWidth="1" min="11" max="11" width="24.38"/>
    <col customWidth="1" min="12" max="13" width="12.0"/>
    <col customWidth="1" min="14" max="14" width="10.88"/>
    <col customWidth="1" min="15" max="16" width="7.75"/>
    <col customWidth="1" min="17" max="26" width="14.38"/>
  </cols>
  <sheetData>
    <row r="1" ht="46.5" customHeight="1">
      <c r="A1" s="399" t="s">
        <v>1295</v>
      </c>
      <c r="B1" s="321"/>
      <c r="C1" s="321"/>
      <c r="D1" s="321"/>
      <c r="E1" s="321"/>
      <c r="F1" s="321"/>
      <c r="G1" s="402"/>
      <c r="H1" s="387"/>
      <c r="I1" s="387"/>
      <c r="J1" s="387"/>
      <c r="K1" s="387"/>
      <c r="L1" s="387"/>
      <c r="M1" s="387"/>
      <c r="N1" s="387"/>
      <c r="O1" s="387"/>
      <c r="P1" s="387"/>
    </row>
    <row r="2" ht="18.0" customHeight="1">
      <c r="A2" s="388"/>
      <c r="B2" s="388"/>
      <c r="C2" s="388"/>
      <c r="D2" s="388"/>
      <c r="E2" s="389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</row>
    <row r="3" ht="6.75" customHeight="1">
      <c r="A3" s="388"/>
      <c r="B3" s="388"/>
      <c r="C3" s="388"/>
      <c r="D3" s="388"/>
      <c r="E3" s="389"/>
      <c r="F3" s="387"/>
      <c r="G3" s="387"/>
      <c r="H3" s="387"/>
      <c r="I3" s="387"/>
      <c r="J3" s="387"/>
      <c r="K3" s="387"/>
      <c r="L3" s="387"/>
      <c r="M3" s="387"/>
      <c r="N3" s="387"/>
      <c r="O3" s="387"/>
      <c r="P3" s="387"/>
    </row>
    <row r="4" ht="15.0" customHeight="1">
      <c r="A4" s="322"/>
      <c r="B4" s="322"/>
      <c r="C4" s="322"/>
      <c r="D4" s="322"/>
      <c r="E4" s="323"/>
      <c r="F4" s="324"/>
      <c r="G4" s="324"/>
      <c r="H4" s="387"/>
      <c r="I4" s="388"/>
      <c r="J4" s="322"/>
      <c r="K4" s="322"/>
      <c r="L4" s="322"/>
      <c r="M4" s="322"/>
      <c r="N4" s="323"/>
      <c r="O4" s="324"/>
      <c r="P4" s="387"/>
    </row>
    <row r="5" ht="4.5" customHeight="1">
      <c r="A5" s="322"/>
      <c r="B5" s="325"/>
      <c r="C5" s="322"/>
      <c r="D5" s="322"/>
      <c r="E5" s="323"/>
      <c r="F5" s="326"/>
      <c r="G5" s="326"/>
      <c r="H5" s="404"/>
      <c r="I5" s="388"/>
      <c r="J5" s="322"/>
      <c r="K5" s="325"/>
      <c r="L5" s="322"/>
      <c r="M5" s="322"/>
      <c r="N5" s="323"/>
      <c r="O5" s="326"/>
      <c r="P5" s="387"/>
    </row>
    <row r="6" ht="18.0" customHeight="1">
      <c r="A6" s="322"/>
      <c r="B6" s="327" t="s">
        <v>931</v>
      </c>
      <c r="C6" s="328" t="s">
        <v>388</v>
      </c>
      <c r="D6" s="329"/>
      <c r="E6" s="323"/>
      <c r="F6" s="326"/>
      <c r="G6" s="326"/>
      <c r="H6" s="404"/>
      <c r="I6" s="388"/>
      <c r="J6" s="322"/>
      <c r="K6" s="327" t="s">
        <v>931</v>
      </c>
      <c r="L6" s="328" t="s">
        <v>401</v>
      </c>
      <c r="M6" s="329"/>
      <c r="N6" s="323"/>
      <c r="O6" s="326"/>
      <c r="P6" s="387"/>
    </row>
    <row r="7" ht="4.5" customHeight="1">
      <c r="A7" s="322"/>
      <c r="B7" s="325"/>
      <c r="C7" s="322"/>
      <c r="D7" s="322"/>
      <c r="E7" s="323"/>
      <c r="F7" s="326"/>
      <c r="G7" s="326"/>
      <c r="H7" s="404"/>
      <c r="I7" s="388"/>
      <c r="J7" s="322"/>
      <c r="K7" s="325"/>
      <c r="L7" s="322"/>
      <c r="M7" s="322"/>
      <c r="N7" s="323"/>
      <c r="O7" s="326"/>
      <c r="P7" s="387"/>
    </row>
    <row r="8" ht="18.0" customHeight="1">
      <c r="A8" s="322"/>
      <c r="B8" s="327" t="s">
        <v>935</v>
      </c>
      <c r="C8" s="331">
        <v>110000.0</v>
      </c>
      <c r="D8" s="329"/>
      <c r="E8" s="323"/>
      <c r="F8" s="326"/>
      <c r="G8" s="326"/>
      <c r="H8" s="404"/>
      <c r="I8" s="388"/>
      <c r="J8" s="322"/>
      <c r="K8" s="327" t="s">
        <v>935</v>
      </c>
      <c r="L8" s="331">
        <v>165000.0</v>
      </c>
      <c r="M8" s="329"/>
      <c r="N8" s="323"/>
      <c r="O8" s="326"/>
      <c r="P8" s="387"/>
    </row>
    <row r="9" ht="4.5" customHeight="1">
      <c r="A9" s="322"/>
      <c r="B9" s="327"/>
      <c r="C9" s="332"/>
      <c r="D9" s="332"/>
      <c r="E9" s="323"/>
      <c r="F9" s="326"/>
      <c r="G9" s="326"/>
      <c r="H9" s="404"/>
      <c r="I9" s="388"/>
      <c r="J9" s="322"/>
      <c r="K9" s="327"/>
      <c r="L9" s="332"/>
      <c r="M9" s="332"/>
      <c r="N9" s="323"/>
      <c r="O9" s="326"/>
      <c r="P9" s="387"/>
    </row>
    <row r="10" ht="18.0" customHeight="1">
      <c r="A10" s="322"/>
      <c r="B10" s="327" t="s">
        <v>939</v>
      </c>
      <c r="C10" s="333" t="str">
        <f>IF(SUM(E22,E37,E45)=0,"",SUM(E22,E37,E45))</f>
        <v>#REF!</v>
      </c>
      <c r="D10" s="321"/>
      <c r="E10" s="323" t="str">
        <f>C10/90000</f>
        <v>#REF!</v>
      </c>
      <c r="F10" s="326"/>
      <c r="G10" s="326"/>
      <c r="H10" s="404"/>
      <c r="I10" s="388"/>
      <c r="J10" s="322"/>
      <c r="K10" s="327" t="s">
        <v>939</v>
      </c>
      <c r="L10" s="333" t="str">
        <f>IF(SUM(N22,N37,N45)=0,"",SUM(N22,N37,N45))</f>
        <v>#REF!</v>
      </c>
      <c r="M10" s="321"/>
      <c r="N10" s="323"/>
      <c r="O10" s="326"/>
      <c r="P10" s="387"/>
    </row>
    <row r="11" ht="4.5" customHeight="1">
      <c r="A11" s="322"/>
      <c r="B11" s="327"/>
      <c r="C11" s="334"/>
      <c r="D11" s="334"/>
      <c r="E11" s="323"/>
      <c r="F11" s="326"/>
      <c r="G11" s="326"/>
      <c r="H11" s="404"/>
      <c r="I11" s="388"/>
      <c r="J11" s="322"/>
      <c r="K11" s="327"/>
      <c r="L11" s="334"/>
      <c r="M11" s="334"/>
      <c r="N11" s="323"/>
      <c r="O11" s="326"/>
      <c r="P11" s="387"/>
    </row>
    <row r="12" ht="18.0" customHeight="1">
      <c r="A12" s="322"/>
      <c r="B12" s="327" t="s">
        <v>946</v>
      </c>
      <c r="C12" s="335" t="str">
        <f>IF(C10="","",IF(ISBLANK(C8),"",C10/C8))</f>
        <v>#REF!</v>
      </c>
      <c r="D12" s="321"/>
      <c r="E12" s="323"/>
      <c r="F12" s="326"/>
      <c r="G12" s="326"/>
      <c r="H12" s="404"/>
      <c r="I12" s="388"/>
      <c r="J12" s="322"/>
      <c r="K12" s="327" t="s">
        <v>946</v>
      </c>
      <c r="L12" s="335" t="str">
        <f>IF(L10="","",IF(ISBLANK(L8),"",L10/L8))</f>
        <v>#REF!</v>
      </c>
      <c r="M12" s="321"/>
      <c r="N12" s="323"/>
      <c r="O12" s="326"/>
      <c r="P12" s="387"/>
    </row>
    <row r="13" ht="4.5" customHeight="1">
      <c r="A13" s="322"/>
      <c r="B13" s="327"/>
      <c r="C13" s="334"/>
      <c r="D13" s="334"/>
      <c r="E13" s="323"/>
      <c r="F13" s="326"/>
      <c r="G13" s="326"/>
      <c r="H13" s="404"/>
      <c r="I13" s="388"/>
      <c r="J13" s="322"/>
      <c r="K13" s="327"/>
      <c r="L13" s="334"/>
      <c r="M13" s="334"/>
      <c r="N13" s="323"/>
      <c r="O13" s="326"/>
      <c r="P13" s="387"/>
    </row>
    <row r="14" ht="18.0" customHeight="1">
      <c r="A14" s="322"/>
      <c r="B14" s="327" t="s">
        <v>950</v>
      </c>
      <c r="C14" s="333" t="str">
        <f>C8-C10</f>
        <v>#REF!</v>
      </c>
      <c r="D14" s="321"/>
      <c r="E14" s="323"/>
      <c r="F14" s="326"/>
      <c r="G14" s="326"/>
      <c r="H14" s="404"/>
      <c r="I14" s="388"/>
      <c r="J14" s="322"/>
      <c r="K14" s="327" t="s">
        <v>950</v>
      </c>
      <c r="L14" s="333" t="str">
        <f>L8-L10</f>
        <v>#REF!</v>
      </c>
      <c r="M14" s="321"/>
      <c r="N14" s="323"/>
      <c r="O14" s="326"/>
      <c r="P14" s="387"/>
    </row>
    <row r="15" ht="15.0" customHeight="1">
      <c r="A15" s="322"/>
      <c r="B15" s="322"/>
      <c r="C15" s="322"/>
      <c r="D15" s="322"/>
      <c r="E15" s="323"/>
      <c r="F15" s="324"/>
      <c r="G15" s="324"/>
      <c r="H15" s="404"/>
      <c r="I15" s="388"/>
      <c r="J15" s="322"/>
      <c r="K15" s="322"/>
      <c r="L15" s="322"/>
      <c r="M15" s="322"/>
      <c r="N15" s="323"/>
      <c r="O15" s="324"/>
      <c r="P15" s="387"/>
    </row>
    <row r="16" ht="12.75" customHeight="1">
      <c r="A16" s="322"/>
      <c r="B16" s="322"/>
      <c r="C16" s="322"/>
      <c r="D16" s="322"/>
      <c r="E16" s="337"/>
      <c r="F16" s="324"/>
      <c r="G16" s="324"/>
      <c r="H16" s="387"/>
      <c r="I16" s="388"/>
      <c r="J16" s="322"/>
      <c r="K16" s="322"/>
      <c r="L16" s="322"/>
      <c r="M16" s="322"/>
      <c r="N16" s="337"/>
      <c r="O16" s="324"/>
      <c r="P16" s="387"/>
    </row>
    <row r="17" ht="12.75" customHeight="1">
      <c r="A17" s="322"/>
      <c r="B17" s="338" t="s">
        <v>951</v>
      </c>
      <c r="C17" s="339"/>
      <c r="D17" s="339"/>
      <c r="E17" s="339"/>
      <c r="F17" s="324"/>
      <c r="G17" s="324"/>
      <c r="H17" s="410"/>
      <c r="I17" s="388"/>
      <c r="J17" s="322"/>
      <c r="K17" s="338" t="s">
        <v>951</v>
      </c>
      <c r="L17" s="339"/>
      <c r="M17" s="339"/>
      <c r="N17" s="339"/>
      <c r="O17" s="324"/>
      <c r="P17" s="387"/>
    </row>
    <row r="18" ht="12.75" customHeight="1">
      <c r="A18" s="322"/>
      <c r="B18" s="340" t="s">
        <v>953</v>
      </c>
      <c r="C18" s="341" t="s">
        <v>954</v>
      </c>
      <c r="D18" s="341" t="s">
        <v>955</v>
      </c>
      <c r="E18" s="341" t="s">
        <v>35</v>
      </c>
      <c r="F18" s="324"/>
      <c r="G18" s="324"/>
      <c r="H18" s="387"/>
      <c r="I18" s="388"/>
      <c r="J18" s="322"/>
      <c r="K18" s="340" t="s">
        <v>953</v>
      </c>
      <c r="L18" s="341" t="s">
        <v>954</v>
      </c>
      <c r="M18" s="341" t="s">
        <v>955</v>
      </c>
      <c r="N18" s="341" t="s">
        <v>35</v>
      </c>
      <c r="O18" s="324"/>
      <c r="P18" s="387"/>
    </row>
    <row r="19" ht="12.75" customHeight="1">
      <c r="A19" s="322"/>
      <c r="B19" s="60" t="s">
        <v>1007</v>
      </c>
      <c r="C19" s="344">
        <v>0.166</v>
      </c>
      <c r="D19" s="343">
        <f>'F&amp;B'!$F$237/12</f>
        <v>787.5</v>
      </c>
      <c r="E19" s="67">
        <f t="shared" ref="E19:E20" si="1">IF(OR(ISBLANK(C19),ISBLANK(D19)),"",D19*C19)</f>
        <v>130.725</v>
      </c>
      <c r="F19" s="324"/>
      <c r="G19" s="324"/>
      <c r="H19" s="479">
        <f t="shared" ref="H19:H20" si="2">E19/90000</f>
        <v>0.0014525</v>
      </c>
      <c r="I19" s="480">
        <v>0.34</v>
      </c>
      <c r="J19" s="322"/>
      <c r="K19" s="60" t="s">
        <v>1007</v>
      </c>
      <c r="L19" s="344">
        <v>0.166</v>
      </c>
      <c r="M19" s="343">
        <f>D19</f>
        <v>787.5</v>
      </c>
      <c r="N19" s="67">
        <v>0.25</v>
      </c>
      <c r="O19" s="324"/>
      <c r="P19" s="387"/>
    </row>
    <row r="20" ht="12.75" customHeight="1">
      <c r="A20" s="322"/>
      <c r="B20" s="75" t="s">
        <v>795</v>
      </c>
      <c r="C20" s="346">
        <v>0.23</v>
      </c>
      <c r="D20" s="371">
        <f>SAUCES!L199</f>
        <v>30572.18192</v>
      </c>
      <c r="E20" s="67">
        <f t="shared" si="1"/>
        <v>7031.601841</v>
      </c>
      <c r="F20" s="324"/>
      <c r="G20" s="324"/>
      <c r="H20" s="479">
        <f t="shared" si="2"/>
        <v>0.07812890934</v>
      </c>
      <c r="I20" s="388"/>
      <c r="J20" s="322"/>
      <c r="K20" s="75" t="s">
        <v>1298</v>
      </c>
      <c r="L20" s="370">
        <v>0.15</v>
      </c>
      <c r="M20" s="371">
        <f>'F&amp;B'!F87</f>
        <v>58500</v>
      </c>
      <c r="N20" s="67">
        <f>IF(OR(ISBLANK(L20),ISBLANK(M20)),"",M20*L20)</f>
        <v>8775</v>
      </c>
      <c r="O20" s="324"/>
      <c r="P20" s="387"/>
    </row>
    <row r="21" ht="12.75" customHeight="1">
      <c r="A21" s="322"/>
      <c r="B21" s="87"/>
      <c r="C21" s="355"/>
      <c r="D21" s="356"/>
      <c r="E21" s="67"/>
      <c r="F21" s="324"/>
      <c r="G21" s="324"/>
      <c r="H21" s="387"/>
      <c r="I21" s="388"/>
      <c r="J21" s="322"/>
      <c r="K21" s="87"/>
      <c r="L21" s="355"/>
      <c r="M21" s="356"/>
      <c r="N21" s="67"/>
      <c r="O21" s="324"/>
      <c r="P21" s="387"/>
    </row>
    <row r="22" ht="12.75" customHeight="1">
      <c r="A22" s="322"/>
      <c r="B22" s="338" t="s">
        <v>84</v>
      </c>
      <c r="C22" s="358"/>
      <c r="D22" s="358"/>
      <c r="E22" s="359">
        <f>IF(SUM(E19:E21)=0,"",SUM(E19:E21))</f>
        <v>7162.326841</v>
      </c>
      <c r="F22" s="324"/>
      <c r="G22" s="324"/>
      <c r="H22" s="387"/>
      <c r="I22" s="388"/>
      <c r="J22" s="322"/>
      <c r="K22" s="338" t="s">
        <v>84</v>
      </c>
      <c r="L22" s="358"/>
      <c r="M22" s="358"/>
      <c r="N22" s="359">
        <f>IF(SUM(N19:N21)=0,"",SUM(N19:N21))</f>
        <v>8775.25</v>
      </c>
      <c r="O22" s="324"/>
      <c r="P22" s="387"/>
    </row>
    <row r="23" ht="12.75" customHeight="1">
      <c r="A23" s="322"/>
      <c r="B23" s="360"/>
      <c r="C23" s="360"/>
      <c r="D23" s="360"/>
      <c r="E23" s="361"/>
      <c r="F23" s="324"/>
      <c r="G23" s="324"/>
      <c r="H23" s="387"/>
      <c r="I23" s="388"/>
      <c r="J23" s="322"/>
      <c r="K23" s="360"/>
      <c r="L23" s="360"/>
      <c r="M23" s="360"/>
      <c r="N23" s="361"/>
      <c r="O23" s="324"/>
      <c r="P23" s="387"/>
    </row>
    <row r="24" ht="12.75" customHeight="1">
      <c r="A24" s="322"/>
      <c r="B24" s="362" t="s">
        <v>972</v>
      </c>
      <c r="C24" s="363"/>
      <c r="D24" s="363"/>
      <c r="E24" s="363"/>
      <c r="F24" s="324"/>
      <c r="G24" s="324"/>
      <c r="H24" s="387"/>
      <c r="I24" s="388"/>
      <c r="J24" s="322"/>
      <c r="K24" s="362" t="s">
        <v>972</v>
      </c>
      <c r="L24" s="363"/>
      <c r="M24" s="363"/>
      <c r="N24" s="363"/>
      <c r="O24" s="324"/>
      <c r="P24" s="387"/>
    </row>
    <row r="25" ht="12.75" customHeight="1">
      <c r="A25" s="322"/>
      <c r="B25" s="365" t="s">
        <v>953</v>
      </c>
      <c r="C25" s="366" t="s">
        <v>3</v>
      </c>
      <c r="D25" s="366" t="s">
        <v>975</v>
      </c>
      <c r="E25" s="367" t="s">
        <v>35</v>
      </c>
      <c r="F25" s="324"/>
      <c r="G25" s="324"/>
      <c r="H25" s="387"/>
      <c r="I25" s="388"/>
      <c r="J25" s="322"/>
      <c r="K25" s="365" t="s">
        <v>953</v>
      </c>
      <c r="L25" s="366" t="s">
        <v>3</v>
      </c>
      <c r="M25" s="366" t="s">
        <v>975</v>
      </c>
      <c r="N25" s="367" t="s">
        <v>35</v>
      </c>
      <c r="O25" s="324"/>
      <c r="P25" s="387"/>
    </row>
    <row r="26" ht="12.75" customHeight="1">
      <c r="A26" s="322"/>
      <c r="B26" s="368"/>
      <c r="C26" s="366"/>
      <c r="D26" s="366"/>
      <c r="E26" s="368"/>
      <c r="F26" s="324"/>
      <c r="G26" s="324"/>
      <c r="H26" s="387"/>
      <c r="I26" s="388"/>
      <c r="J26" s="322"/>
      <c r="K26" s="368"/>
      <c r="L26" s="366"/>
      <c r="M26" s="366"/>
      <c r="N26" s="368"/>
      <c r="O26" s="324"/>
      <c r="P26" s="387"/>
    </row>
    <row r="27" ht="12.75" customHeight="1">
      <c r="A27" s="322"/>
      <c r="B27" s="60" t="s">
        <v>60</v>
      </c>
      <c r="C27" s="342">
        <v>0.03</v>
      </c>
      <c r="D27" s="343">
        <f>D72</f>
        <v>148500</v>
      </c>
      <c r="E27" s="67">
        <f t="shared" ref="E27:E36" si="3">D27*C27</f>
        <v>4455</v>
      </c>
      <c r="F27" s="324"/>
      <c r="G27" s="324"/>
      <c r="H27" s="387"/>
      <c r="I27" s="388"/>
      <c r="J27" s="322"/>
      <c r="K27" s="60" t="s">
        <v>850</v>
      </c>
      <c r="L27" s="342">
        <v>0.05</v>
      </c>
      <c r="M27" s="343">
        <f>SANDWICHES!$D$27</f>
        <v>63000</v>
      </c>
      <c r="N27" s="67">
        <f t="shared" ref="N27:N36" si="4">M27*L27</f>
        <v>3150</v>
      </c>
      <c r="O27" s="324"/>
      <c r="P27" s="387"/>
    </row>
    <row r="28" ht="12.75" customHeight="1">
      <c r="A28" s="322"/>
      <c r="B28" s="75" t="s">
        <v>273</v>
      </c>
      <c r="C28" s="370">
        <v>0.06</v>
      </c>
      <c r="D28" s="371">
        <f>'F&amp;B'!F283</f>
        <v>9000</v>
      </c>
      <c r="E28" s="67">
        <f t="shared" si="3"/>
        <v>540</v>
      </c>
      <c r="F28" s="324"/>
      <c r="G28" s="324"/>
      <c r="H28" s="387"/>
      <c r="I28" s="388"/>
      <c r="J28" s="322"/>
      <c r="K28" s="75" t="s">
        <v>60</v>
      </c>
      <c r="L28" s="370">
        <v>0.03</v>
      </c>
      <c r="M28" s="371">
        <f>D27</f>
        <v>148500</v>
      </c>
      <c r="N28" s="67">
        <f t="shared" si="4"/>
        <v>4455</v>
      </c>
      <c r="O28" s="324"/>
      <c r="P28" s="387"/>
    </row>
    <row r="29" ht="12.75" customHeight="1">
      <c r="A29" s="322"/>
      <c r="B29" s="75" t="s">
        <v>176</v>
      </c>
      <c r="C29" s="370">
        <v>0.03</v>
      </c>
      <c r="D29" s="371">
        <f>'F&amp;B'!$F$43/13</f>
        <v>38076.92308</v>
      </c>
      <c r="E29" s="67">
        <f t="shared" si="3"/>
        <v>1142.307692</v>
      </c>
      <c r="F29" s="324"/>
      <c r="G29" s="324"/>
      <c r="H29" s="387"/>
      <c r="I29" s="388"/>
      <c r="J29" s="322"/>
      <c r="K29" s="75" t="s">
        <v>1121</v>
      </c>
      <c r="L29" s="370">
        <v>0.05</v>
      </c>
      <c r="M29" s="371">
        <f>SANDWICHES!$M$71</f>
        <v>129150</v>
      </c>
      <c r="N29" s="67">
        <f t="shared" si="4"/>
        <v>6457.5</v>
      </c>
      <c r="O29" s="324"/>
      <c r="P29" s="387"/>
    </row>
    <row r="30" ht="12.75" customHeight="1">
      <c r="A30" s="322"/>
      <c r="B30" s="75" t="s">
        <v>1300</v>
      </c>
      <c r="C30" s="370">
        <v>0.03</v>
      </c>
      <c r="D30" s="371">
        <f>'F&amp;B'!$F$258/3.37</f>
        <v>61691.39466</v>
      </c>
      <c r="E30" s="67">
        <f t="shared" si="3"/>
        <v>1850.74184</v>
      </c>
      <c r="F30" s="324"/>
      <c r="G30" s="324"/>
      <c r="H30" s="387"/>
      <c r="I30" s="388"/>
      <c r="J30" s="322"/>
      <c r="K30" s="75" t="s">
        <v>1046</v>
      </c>
      <c r="L30" s="370">
        <v>0.02</v>
      </c>
      <c r="M30" s="371">
        <f>'F&amp;B'!F80</f>
        <v>103500</v>
      </c>
      <c r="N30" s="67">
        <f t="shared" si="4"/>
        <v>2070</v>
      </c>
      <c r="O30" s="324"/>
      <c r="P30" s="387"/>
    </row>
    <row r="31" ht="12.75" customHeight="1">
      <c r="A31" s="322"/>
      <c r="B31" s="75"/>
      <c r="C31" s="346"/>
      <c r="D31" s="371"/>
      <c r="E31" s="67">
        <f t="shared" si="3"/>
        <v>0</v>
      </c>
      <c r="F31" s="324"/>
      <c r="G31" s="324"/>
      <c r="H31" s="387"/>
      <c r="I31" s="388"/>
      <c r="J31" s="322"/>
      <c r="K31" s="75"/>
      <c r="L31" s="346"/>
      <c r="M31" s="371"/>
      <c r="N31" s="67">
        <f t="shared" si="4"/>
        <v>0</v>
      </c>
      <c r="O31" s="324"/>
      <c r="P31" s="387"/>
    </row>
    <row r="32" ht="12.75" customHeight="1">
      <c r="A32" s="322"/>
      <c r="B32" s="75"/>
      <c r="C32" s="346"/>
      <c r="D32" s="373"/>
      <c r="E32" s="67">
        <f t="shared" si="3"/>
        <v>0</v>
      </c>
      <c r="F32" s="324"/>
      <c r="G32" s="324"/>
      <c r="H32" s="387"/>
      <c r="I32" s="388"/>
      <c r="J32" s="322"/>
      <c r="K32" s="75"/>
      <c r="L32" s="346"/>
      <c r="M32" s="373"/>
      <c r="N32" s="67">
        <f t="shared" si="4"/>
        <v>0</v>
      </c>
      <c r="O32" s="324"/>
      <c r="P32" s="387"/>
    </row>
    <row r="33" ht="12.75" customHeight="1">
      <c r="A33" s="322"/>
      <c r="B33" s="348"/>
      <c r="C33" s="346"/>
      <c r="D33" s="373"/>
      <c r="E33" s="67">
        <f t="shared" si="3"/>
        <v>0</v>
      </c>
      <c r="F33" s="324"/>
      <c r="G33" s="324"/>
      <c r="H33" s="387"/>
      <c r="I33" s="388"/>
      <c r="J33" s="322"/>
      <c r="K33" s="348"/>
      <c r="L33" s="346"/>
      <c r="M33" s="373"/>
      <c r="N33" s="67">
        <f t="shared" si="4"/>
        <v>0</v>
      </c>
      <c r="O33" s="324"/>
      <c r="P33" s="387"/>
    </row>
    <row r="34" ht="12.75" customHeight="1">
      <c r="A34" s="322"/>
      <c r="B34" s="348"/>
      <c r="C34" s="346"/>
      <c r="D34" s="373"/>
      <c r="E34" s="67">
        <f t="shared" si="3"/>
        <v>0</v>
      </c>
      <c r="F34" s="324"/>
      <c r="G34" s="324"/>
      <c r="H34" s="387"/>
      <c r="I34" s="388"/>
      <c r="J34" s="322"/>
      <c r="K34" s="348"/>
      <c r="L34" s="346"/>
      <c r="M34" s="373"/>
      <c r="N34" s="67">
        <f t="shared" si="4"/>
        <v>0</v>
      </c>
      <c r="O34" s="324"/>
      <c r="P34" s="387"/>
    </row>
    <row r="35" ht="12.75" customHeight="1">
      <c r="A35" s="322"/>
      <c r="B35" s="348"/>
      <c r="C35" s="346"/>
      <c r="D35" s="373"/>
      <c r="E35" s="67">
        <f t="shared" si="3"/>
        <v>0</v>
      </c>
      <c r="F35" s="324"/>
      <c r="G35" s="324"/>
      <c r="H35" s="387"/>
      <c r="I35" s="388"/>
      <c r="J35" s="322"/>
      <c r="K35" s="348"/>
      <c r="L35" s="346"/>
      <c r="M35" s="373"/>
      <c r="N35" s="67">
        <f t="shared" si="4"/>
        <v>0</v>
      </c>
      <c r="O35" s="324"/>
      <c r="P35" s="387"/>
    </row>
    <row r="36" ht="12.75" customHeight="1">
      <c r="A36" s="322"/>
      <c r="B36" s="354"/>
      <c r="C36" s="355"/>
      <c r="D36" s="356"/>
      <c r="E36" s="67">
        <f t="shared" si="3"/>
        <v>0</v>
      </c>
      <c r="F36" s="324"/>
      <c r="G36" s="324"/>
      <c r="H36" s="387"/>
      <c r="I36" s="388"/>
      <c r="J36" s="322"/>
      <c r="K36" s="354"/>
      <c r="L36" s="355"/>
      <c r="M36" s="356"/>
      <c r="N36" s="67">
        <f t="shared" si="4"/>
        <v>0</v>
      </c>
      <c r="O36" s="324"/>
      <c r="P36" s="387"/>
    </row>
    <row r="37" ht="12.75" customHeight="1">
      <c r="A37" s="322"/>
      <c r="B37" s="362" t="s">
        <v>84</v>
      </c>
      <c r="C37" s="374"/>
      <c r="D37" s="374"/>
      <c r="E37" s="375">
        <f>IF(SUM(E27:E36)=0,"",SUM(E27:E36))</f>
        <v>7988.049532</v>
      </c>
      <c r="F37" s="324"/>
      <c r="G37" s="324"/>
      <c r="H37" s="387"/>
      <c r="I37" s="388"/>
      <c r="J37" s="322"/>
      <c r="K37" s="362" t="s">
        <v>84</v>
      </c>
      <c r="L37" s="374"/>
      <c r="M37" s="374"/>
      <c r="N37" s="375">
        <f>IF(SUM(N27:N36)=0,"",SUM(N27:N36))</f>
        <v>16132.5</v>
      </c>
      <c r="O37" s="324"/>
      <c r="P37" s="387"/>
    </row>
    <row r="38" ht="12.75" customHeight="1">
      <c r="A38" s="322"/>
      <c r="B38" s="360"/>
      <c r="C38" s="360"/>
      <c r="D38" s="360"/>
      <c r="E38" s="361"/>
      <c r="F38" s="324"/>
      <c r="G38" s="324"/>
      <c r="H38" s="387"/>
      <c r="I38" s="388"/>
      <c r="J38" s="322"/>
      <c r="K38" s="360"/>
      <c r="L38" s="360"/>
      <c r="M38" s="360"/>
      <c r="N38" s="361"/>
      <c r="O38" s="324"/>
      <c r="P38" s="387"/>
    </row>
    <row r="39" ht="12.75" customHeight="1">
      <c r="A39" s="322"/>
      <c r="B39" s="34" t="s">
        <v>17</v>
      </c>
      <c r="C39" s="35"/>
      <c r="D39" s="35"/>
      <c r="E39" s="35"/>
      <c r="F39" s="324"/>
      <c r="G39" s="324"/>
      <c r="H39" s="387"/>
      <c r="I39" s="388"/>
      <c r="J39" s="322"/>
      <c r="K39" s="34" t="s">
        <v>17</v>
      </c>
      <c r="L39" s="35"/>
      <c r="M39" s="35"/>
      <c r="N39" s="35"/>
      <c r="O39" s="324"/>
      <c r="P39" s="387"/>
    </row>
    <row r="40" ht="12.75" customHeight="1">
      <c r="A40" s="322"/>
      <c r="B40" s="52" t="s">
        <v>42</v>
      </c>
      <c r="C40" s="54"/>
      <c r="D40" s="54"/>
      <c r="E40" s="56" t="s">
        <v>35</v>
      </c>
      <c r="F40" s="324"/>
      <c r="G40" s="324"/>
      <c r="H40" s="387"/>
      <c r="I40" s="388"/>
      <c r="J40" s="322"/>
      <c r="K40" s="52" t="s">
        <v>42</v>
      </c>
      <c r="L40" s="54"/>
      <c r="M40" s="54"/>
      <c r="N40" s="56" t="s">
        <v>35</v>
      </c>
      <c r="O40" s="324"/>
      <c r="P40" s="387"/>
    </row>
    <row r="41" ht="12.75" customHeight="1">
      <c r="A41" s="322"/>
      <c r="B41" s="60" t="s">
        <v>40</v>
      </c>
      <c r="C41" s="343">
        <f>'UTL COST'!$B$3</f>
        <v>369000</v>
      </c>
      <c r="D41" s="379">
        <f>'UTL COST'!$C$3</f>
        <v>0.0075</v>
      </c>
      <c r="E41" s="67">
        <v>0.0</v>
      </c>
      <c r="F41" s="324"/>
      <c r="G41" s="324"/>
      <c r="H41" s="387"/>
      <c r="I41" s="388"/>
      <c r="J41" s="322"/>
      <c r="K41" s="60" t="s">
        <v>40</v>
      </c>
      <c r="L41" s="343">
        <f>'UTL COST'!$B$3</f>
        <v>369000</v>
      </c>
      <c r="M41" s="379">
        <f>'UTL COST'!$C$3</f>
        <v>0.0075</v>
      </c>
      <c r="N41" s="67">
        <v>0.0</v>
      </c>
      <c r="O41" s="324"/>
      <c r="P41" s="387"/>
    </row>
    <row r="42" ht="12.75" customHeight="1">
      <c r="A42" s="322"/>
      <c r="B42" s="75" t="s">
        <v>51</v>
      </c>
      <c r="C42" s="371" t="str">
        <f>'UTL COST'!$B$4</f>
        <v>#REF!</v>
      </c>
      <c r="D42" s="382">
        <f>'UTL COST'!$C$4</f>
        <v>7000</v>
      </c>
      <c r="E42" s="76" t="str">
        <f>'UTL COST'!$D$4</f>
        <v>#REF!</v>
      </c>
      <c r="F42" s="324"/>
      <c r="G42" s="324"/>
      <c r="H42" s="387"/>
      <c r="I42" s="388"/>
      <c r="J42" s="322"/>
      <c r="K42" s="75" t="s">
        <v>51</v>
      </c>
      <c r="L42" s="371" t="str">
        <f>'UTL COST'!$B$4</f>
        <v>#REF!</v>
      </c>
      <c r="M42" s="382">
        <f>'UTL COST'!$C$4</f>
        <v>7000</v>
      </c>
      <c r="N42" s="76" t="str">
        <f>'UTL COST'!$D$4</f>
        <v>#REF!</v>
      </c>
      <c r="O42" s="324"/>
      <c r="P42" s="387"/>
    </row>
    <row r="43" ht="12.75" customHeight="1">
      <c r="A43" s="322"/>
      <c r="B43" s="75" t="s">
        <v>59</v>
      </c>
      <c r="C43" s="371" t="str">
        <f>'UTL COST'!$B$5</f>
        <v>#REF!</v>
      </c>
      <c r="D43" s="382">
        <f>'UTL COST'!$C$5</f>
        <v>45000</v>
      </c>
      <c r="E43" s="76" t="str">
        <f>'UTL COST'!$D$5</f>
        <v>#REF!</v>
      </c>
      <c r="F43" s="324"/>
      <c r="G43" s="324"/>
      <c r="H43" s="387"/>
      <c r="I43" s="388"/>
      <c r="J43" s="322"/>
      <c r="K43" s="75" t="s">
        <v>59</v>
      </c>
      <c r="L43" s="371" t="str">
        <f>'UTL COST'!$B$5</f>
        <v>#REF!</v>
      </c>
      <c r="M43" s="382">
        <f>'UTL COST'!$C$5</f>
        <v>45000</v>
      </c>
      <c r="N43" s="76" t="str">
        <f>'UTL COST'!$D$5</f>
        <v>#REF!</v>
      </c>
      <c r="O43" s="324"/>
      <c r="P43" s="387"/>
    </row>
    <row r="44" ht="12.75" customHeight="1">
      <c r="A44" s="322"/>
      <c r="B44" s="87" t="s">
        <v>78</v>
      </c>
      <c r="C44" s="371" t="str">
        <f>'UTL COST'!$B$6</f>
        <v>#REF!</v>
      </c>
      <c r="D44" s="383">
        <f>'UTL COST'!$C$6</f>
        <v>525</v>
      </c>
      <c r="E44" s="89">
        <v>0.1</v>
      </c>
      <c r="F44" s="324"/>
      <c r="G44" s="324"/>
      <c r="H44" s="387"/>
      <c r="I44" s="388"/>
      <c r="J44" s="322"/>
      <c r="K44" s="87" t="s">
        <v>78</v>
      </c>
      <c r="L44" s="371" t="str">
        <f>'UTL COST'!$B$6</f>
        <v>#REF!</v>
      </c>
      <c r="M44" s="383">
        <f>'UTL COST'!$C$6</f>
        <v>525</v>
      </c>
      <c r="N44" s="89">
        <v>0.1</v>
      </c>
      <c r="O44" s="324"/>
      <c r="P44" s="387"/>
    </row>
    <row r="45" ht="12.75" customHeight="1">
      <c r="A45" s="322"/>
      <c r="B45" s="34" t="s">
        <v>84</v>
      </c>
      <c r="C45" s="102"/>
      <c r="D45" s="102"/>
      <c r="E45" s="104" t="str">
        <f>IF(SUM(E41:E44)=0,"",SUM(E41:E44))</f>
        <v>#REF!</v>
      </c>
      <c r="F45" s="324"/>
      <c r="G45" s="324"/>
      <c r="H45" s="387"/>
      <c r="I45" s="388"/>
      <c r="J45" s="322"/>
      <c r="K45" s="34" t="s">
        <v>84</v>
      </c>
      <c r="L45" s="102"/>
      <c r="M45" s="102"/>
      <c r="N45" s="104" t="str">
        <f>IF(SUM(N41:N44)=0,"",SUM(N41:N44))</f>
        <v>#REF!</v>
      </c>
      <c r="O45" s="324"/>
      <c r="P45" s="387"/>
    </row>
    <row r="46" ht="12.75" customHeight="1">
      <c r="A46" s="322"/>
      <c r="B46" s="360"/>
      <c r="C46" s="360"/>
      <c r="D46" s="360"/>
      <c r="E46" s="361"/>
      <c r="F46" s="324"/>
      <c r="G46" s="324"/>
      <c r="H46" s="387"/>
      <c r="I46" s="388"/>
      <c r="J46" s="322"/>
      <c r="K46" s="360"/>
      <c r="L46" s="360"/>
      <c r="M46" s="360"/>
      <c r="N46" s="361"/>
      <c r="O46" s="324"/>
      <c r="P46" s="387"/>
    </row>
    <row r="47" ht="12.75" customHeight="1">
      <c r="A47" s="387"/>
      <c r="B47" s="387"/>
      <c r="C47" s="387"/>
      <c r="D47" s="387"/>
      <c r="E47" s="418"/>
      <c r="F47" s="387"/>
      <c r="G47" s="387"/>
      <c r="H47" s="387"/>
      <c r="I47" s="387"/>
      <c r="J47" s="387"/>
      <c r="K47" s="387"/>
      <c r="L47" s="387"/>
      <c r="M47" s="387"/>
      <c r="N47" s="387"/>
      <c r="O47" s="387"/>
      <c r="P47" s="387"/>
    </row>
    <row r="48" ht="12.75" customHeight="1">
      <c r="A48" s="322"/>
      <c r="B48" s="322"/>
      <c r="C48" s="322"/>
      <c r="D48" s="322"/>
      <c r="E48" s="323"/>
      <c r="F48" s="324"/>
      <c r="G48" s="324"/>
      <c r="H48" s="387"/>
      <c r="I48" s="388"/>
      <c r="J48" s="322"/>
      <c r="K48" s="322"/>
      <c r="L48" s="322"/>
      <c r="M48" s="322"/>
      <c r="N48" s="323"/>
      <c r="O48" s="324"/>
      <c r="P48" s="387"/>
    </row>
    <row r="49" ht="12.75" customHeight="1">
      <c r="A49" s="322"/>
      <c r="B49" s="325"/>
      <c r="C49" s="322"/>
      <c r="D49" s="322"/>
      <c r="E49" s="323"/>
      <c r="F49" s="326"/>
      <c r="G49" s="326"/>
      <c r="H49" s="404"/>
      <c r="I49" s="388"/>
      <c r="J49" s="322"/>
      <c r="K49" s="325"/>
      <c r="L49" s="322"/>
      <c r="M49" s="322"/>
      <c r="N49" s="323"/>
      <c r="O49" s="326"/>
      <c r="P49" s="387"/>
    </row>
    <row r="50" ht="12.75" customHeight="1">
      <c r="A50" s="322"/>
      <c r="B50" s="327" t="s">
        <v>931</v>
      </c>
      <c r="C50" s="328" t="s">
        <v>1303</v>
      </c>
      <c r="D50" s="329"/>
      <c r="E50" s="323"/>
      <c r="F50" s="326"/>
      <c r="G50" s="326"/>
      <c r="H50" s="404"/>
      <c r="I50" s="388"/>
      <c r="J50" s="322"/>
      <c r="K50" s="327" t="s">
        <v>931</v>
      </c>
      <c r="L50" s="328" t="s">
        <v>411</v>
      </c>
      <c r="M50" s="329"/>
      <c r="N50" s="323"/>
      <c r="O50" s="326"/>
      <c r="P50" s="387"/>
    </row>
    <row r="51" ht="12.75" customHeight="1">
      <c r="A51" s="322"/>
      <c r="B51" s="325"/>
      <c r="C51" s="322"/>
      <c r="D51" s="322"/>
      <c r="E51" s="323"/>
      <c r="F51" s="326"/>
      <c r="G51" s="326"/>
      <c r="H51" s="404"/>
      <c r="I51" s="388"/>
      <c r="J51" s="322"/>
      <c r="K51" s="325"/>
      <c r="L51" s="322"/>
      <c r="M51" s="322"/>
      <c r="N51" s="323"/>
      <c r="O51" s="326"/>
      <c r="P51" s="387"/>
    </row>
    <row r="52" ht="12.75" customHeight="1">
      <c r="A52" s="322"/>
      <c r="B52" s="327" t="s">
        <v>935</v>
      </c>
      <c r="C52" s="331">
        <v>185000.0</v>
      </c>
      <c r="D52" s="329"/>
      <c r="E52" s="323"/>
      <c r="F52" s="326"/>
      <c r="G52" s="326"/>
      <c r="H52" s="404"/>
      <c r="I52" s="388"/>
      <c r="J52" s="322"/>
      <c r="K52" s="327" t="s">
        <v>935</v>
      </c>
      <c r="L52" s="331">
        <v>225000.0</v>
      </c>
      <c r="M52" s="329"/>
      <c r="N52" s="323"/>
      <c r="O52" s="326"/>
      <c r="P52" s="387"/>
    </row>
    <row r="53" ht="12.75" customHeight="1">
      <c r="A53" s="322"/>
      <c r="B53" s="327"/>
      <c r="C53" s="332"/>
      <c r="D53" s="332"/>
      <c r="E53" s="323"/>
      <c r="F53" s="326"/>
      <c r="G53" s="326"/>
      <c r="H53" s="404"/>
      <c r="I53" s="388"/>
      <c r="J53" s="322"/>
      <c r="K53" s="327"/>
      <c r="L53" s="332"/>
      <c r="M53" s="332"/>
      <c r="N53" s="323"/>
      <c r="O53" s="326"/>
      <c r="P53" s="387"/>
    </row>
    <row r="54" ht="12.75" customHeight="1">
      <c r="A54" s="322"/>
      <c r="B54" s="327" t="s">
        <v>939</v>
      </c>
      <c r="C54" s="333" t="str">
        <f>IF(SUM(E66,E81,E89)=0,"",SUM(E66,E81,E89))</f>
        <v>#REF!</v>
      </c>
      <c r="D54" s="321"/>
      <c r="E54" s="323"/>
      <c r="F54" s="326"/>
      <c r="G54" s="326"/>
      <c r="H54" s="404"/>
      <c r="I54" s="388"/>
      <c r="J54" s="322"/>
      <c r="K54" s="327" t="s">
        <v>939</v>
      </c>
      <c r="L54" s="333" t="str">
        <f>IF(SUM(N66,N81,N89)=0,"",SUM(N66,N81,N89))</f>
        <v>#REF!</v>
      </c>
      <c r="M54" s="321"/>
      <c r="N54" s="323" t="str">
        <f>L54/90000</f>
        <v>#REF!</v>
      </c>
      <c r="O54" s="326"/>
      <c r="P54" s="387"/>
    </row>
    <row r="55" ht="12.75" customHeight="1">
      <c r="A55" s="322"/>
      <c r="B55" s="327"/>
      <c r="C55" s="334"/>
      <c r="D55" s="334"/>
      <c r="E55" s="323"/>
      <c r="F55" s="326"/>
      <c r="G55" s="326"/>
      <c r="H55" s="404"/>
      <c r="I55" s="388"/>
      <c r="J55" s="322"/>
      <c r="K55" s="327"/>
      <c r="L55" s="334"/>
      <c r="M55" s="334"/>
      <c r="N55" s="323"/>
      <c r="O55" s="326"/>
      <c r="P55" s="387"/>
    </row>
    <row r="56" ht="12.75" customHeight="1">
      <c r="A56" s="322"/>
      <c r="B56" s="327" t="s">
        <v>946</v>
      </c>
      <c r="C56" s="335" t="str">
        <f>IF(C54="","",IF(ISBLANK(C52),"",C54/C52))</f>
        <v>#REF!</v>
      </c>
      <c r="D56" s="321"/>
      <c r="E56" s="323"/>
      <c r="F56" s="326"/>
      <c r="G56" s="326"/>
      <c r="H56" s="404"/>
      <c r="I56" s="388"/>
      <c r="J56" s="322"/>
      <c r="K56" s="327" t="s">
        <v>946</v>
      </c>
      <c r="L56" s="335" t="str">
        <f>IF(L54="","",IF(ISBLANK(L52),"",L54/L52))</f>
        <v>#REF!</v>
      </c>
      <c r="M56" s="321"/>
      <c r="N56" s="323"/>
      <c r="O56" s="326"/>
      <c r="P56" s="387"/>
    </row>
    <row r="57" ht="12.75" customHeight="1">
      <c r="A57" s="322"/>
      <c r="B57" s="327"/>
      <c r="C57" s="334"/>
      <c r="D57" s="334"/>
      <c r="E57" s="323"/>
      <c r="F57" s="326"/>
      <c r="G57" s="326"/>
      <c r="H57" s="404"/>
      <c r="I57" s="388"/>
      <c r="J57" s="322"/>
      <c r="K57" s="327"/>
      <c r="L57" s="334"/>
      <c r="M57" s="334"/>
      <c r="N57" s="323"/>
      <c r="O57" s="326"/>
      <c r="P57" s="387"/>
    </row>
    <row r="58" ht="12.75" customHeight="1">
      <c r="A58" s="322"/>
      <c r="B58" s="327" t="s">
        <v>950</v>
      </c>
      <c r="C58" s="333" t="str">
        <f>C52-C54</f>
        <v>#REF!</v>
      </c>
      <c r="D58" s="321"/>
      <c r="E58" s="323"/>
      <c r="F58" s="326"/>
      <c r="G58" s="326"/>
      <c r="H58" s="404"/>
      <c r="I58" s="388"/>
      <c r="J58" s="322"/>
      <c r="K58" s="327" t="s">
        <v>950</v>
      </c>
      <c r="L58" s="333" t="str">
        <f>L52-L54</f>
        <v>#REF!</v>
      </c>
      <c r="M58" s="321"/>
      <c r="N58" s="323"/>
      <c r="O58" s="326"/>
      <c r="P58" s="387"/>
    </row>
    <row r="59" ht="12.75" customHeight="1">
      <c r="A59" s="322"/>
      <c r="B59" s="322"/>
      <c r="C59" s="322"/>
      <c r="D59" s="322"/>
      <c r="E59" s="323"/>
      <c r="F59" s="324"/>
      <c r="G59" s="324"/>
      <c r="H59" s="404"/>
      <c r="I59" s="388"/>
      <c r="J59" s="322"/>
      <c r="K59" s="322"/>
      <c r="L59" s="322"/>
      <c r="M59" s="322"/>
      <c r="N59" s="323"/>
      <c r="O59" s="324"/>
      <c r="P59" s="387"/>
    </row>
    <row r="60" ht="12.75" customHeight="1">
      <c r="A60" s="322"/>
      <c r="B60" s="322"/>
      <c r="C60" s="322"/>
      <c r="D60" s="322"/>
      <c r="E60" s="337"/>
      <c r="F60" s="324"/>
      <c r="G60" s="324"/>
      <c r="H60" s="387"/>
      <c r="I60" s="388"/>
      <c r="J60" s="322"/>
      <c r="K60" s="322"/>
      <c r="L60" s="322"/>
      <c r="M60" s="322"/>
      <c r="N60" s="337"/>
      <c r="O60" s="324"/>
      <c r="P60" s="387"/>
    </row>
    <row r="61" ht="12.75" customHeight="1">
      <c r="A61" s="322"/>
      <c r="B61" s="338" t="s">
        <v>951</v>
      </c>
      <c r="C61" s="339"/>
      <c r="D61" s="339"/>
      <c r="E61" s="339"/>
      <c r="F61" s="324"/>
      <c r="G61" s="324"/>
      <c r="H61" s="410"/>
      <c r="I61" s="388"/>
      <c r="J61" s="322"/>
      <c r="K61" s="338" t="s">
        <v>951</v>
      </c>
      <c r="L61" s="339"/>
      <c r="M61" s="339"/>
      <c r="N61" s="339"/>
      <c r="O61" s="324"/>
      <c r="P61" s="387"/>
    </row>
    <row r="62" ht="12.75" customHeight="1">
      <c r="A62" s="322"/>
      <c r="B62" s="340" t="s">
        <v>953</v>
      </c>
      <c r="C62" s="341" t="s">
        <v>954</v>
      </c>
      <c r="D62" s="341" t="s">
        <v>955</v>
      </c>
      <c r="E62" s="341" t="s">
        <v>35</v>
      </c>
      <c r="F62" s="324"/>
      <c r="G62" s="324"/>
      <c r="H62" s="387"/>
      <c r="I62" s="388"/>
      <c r="J62" s="322"/>
      <c r="K62" s="340" t="s">
        <v>953</v>
      </c>
      <c r="L62" s="341" t="s">
        <v>954</v>
      </c>
      <c r="M62" s="341" t="s">
        <v>955</v>
      </c>
      <c r="N62" s="341" t="s">
        <v>35</v>
      </c>
      <c r="O62" s="324"/>
      <c r="P62" s="387"/>
    </row>
    <row r="63" ht="12.75" customHeight="1">
      <c r="A63" s="322"/>
      <c r="B63" s="60" t="s">
        <v>1117</v>
      </c>
      <c r="C63" s="344">
        <v>0.5</v>
      </c>
      <c r="D63" s="343">
        <f>'F&amp;B'!$F$241/6</f>
        <v>2925</v>
      </c>
      <c r="E63" s="67">
        <f t="shared" ref="E63:E65" si="5">IF(OR(ISBLANK(C63),ISBLANK(D63)),"",D63*C63)</f>
        <v>1462.5</v>
      </c>
      <c r="F63" s="324"/>
      <c r="G63" s="324"/>
      <c r="H63" s="387"/>
      <c r="I63" s="388"/>
      <c r="J63" s="322"/>
      <c r="K63" s="60" t="s">
        <v>1306</v>
      </c>
      <c r="L63" s="344">
        <v>0.166</v>
      </c>
      <c r="M63" s="343">
        <f>'F&amp;B'!$F$241/12</f>
        <v>1462.5</v>
      </c>
      <c r="N63" s="67">
        <f t="shared" ref="N63:N65" si="6">IF(OR(ISBLANK(L63),ISBLANK(M63)),"",M63*L63)</f>
        <v>242.775</v>
      </c>
      <c r="O63" s="324"/>
      <c r="P63" s="387"/>
    </row>
    <row r="64" ht="12.75" customHeight="1">
      <c r="A64" s="322"/>
      <c r="B64" s="75" t="s">
        <v>1298</v>
      </c>
      <c r="C64" s="370">
        <v>0.2</v>
      </c>
      <c r="D64" s="371">
        <f>M20</f>
        <v>58500</v>
      </c>
      <c r="E64" s="67">
        <f t="shared" si="5"/>
        <v>11700</v>
      </c>
      <c r="F64" s="324"/>
      <c r="G64" s="324"/>
      <c r="H64" s="387"/>
      <c r="I64" s="388"/>
      <c r="J64" s="322"/>
      <c r="K64" s="75" t="s">
        <v>1298</v>
      </c>
      <c r="L64" s="370">
        <v>0.15</v>
      </c>
      <c r="M64" s="371">
        <f>D64</f>
        <v>58500</v>
      </c>
      <c r="N64" s="67">
        <f t="shared" si="6"/>
        <v>8775</v>
      </c>
      <c r="O64" s="324"/>
      <c r="P64" s="387"/>
    </row>
    <row r="65" ht="12.75" customHeight="1">
      <c r="A65" s="322"/>
      <c r="B65" s="87" t="s">
        <v>703</v>
      </c>
      <c r="C65" s="355">
        <v>0.16</v>
      </c>
      <c r="D65" s="408">
        <f>SANDWICHES!$D$19</f>
        <v>81000</v>
      </c>
      <c r="E65" s="67">
        <f t="shared" si="5"/>
        <v>12960</v>
      </c>
      <c r="F65" s="324"/>
      <c r="G65" s="324"/>
      <c r="H65" s="387"/>
      <c r="I65" s="388"/>
      <c r="J65" s="322"/>
      <c r="K65" s="87" t="s">
        <v>703</v>
      </c>
      <c r="L65" s="412">
        <v>0.16</v>
      </c>
      <c r="M65" s="408">
        <f>$D$65</f>
        <v>81000</v>
      </c>
      <c r="N65" s="67">
        <f t="shared" si="6"/>
        <v>12960</v>
      </c>
      <c r="O65" s="324"/>
      <c r="P65" s="387"/>
    </row>
    <row r="66" ht="12.75" customHeight="1">
      <c r="A66" s="322"/>
      <c r="B66" s="338" t="s">
        <v>84</v>
      </c>
      <c r="C66" s="358"/>
      <c r="D66" s="358"/>
      <c r="E66" s="359">
        <f>IF(SUM(E63:E65)=0,"",SUM(E63:E65))</f>
        <v>26122.5</v>
      </c>
      <c r="F66" s="324"/>
      <c r="G66" s="324"/>
      <c r="H66" s="387"/>
      <c r="I66" s="388"/>
      <c r="J66" s="322"/>
      <c r="K66" s="338" t="s">
        <v>84</v>
      </c>
      <c r="L66" s="358"/>
      <c r="M66" s="358"/>
      <c r="N66" s="359">
        <f>IF(SUM(N63:N65)=0,"",SUM(N63:N65))</f>
        <v>21977.775</v>
      </c>
      <c r="O66" s="324"/>
      <c r="P66" s="387"/>
    </row>
    <row r="67" ht="12.75" customHeight="1">
      <c r="A67" s="322"/>
      <c r="B67" s="360"/>
      <c r="C67" s="360"/>
      <c r="D67" s="360"/>
      <c r="E67" s="361"/>
      <c r="F67" s="324"/>
      <c r="G67" s="324"/>
      <c r="H67" s="387"/>
      <c r="I67" s="388"/>
      <c r="J67" s="322"/>
      <c r="K67" s="360"/>
      <c r="L67" s="360"/>
      <c r="M67" s="360"/>
      <c r="N67" s="361"/>
      <c r="O67" s="324"/>
      <c r="P67" s="387"/>
    </row>
    <row r="68" ht="12.75" customHeight="1">
      <c r="A68" s="322"/>
      <c r="B68" s="362" t="s">
        <v>972</v>
      </c>
      <c r="C68" s="363"/>
      <c r="D68" s="363"/>
      <c r="E68" s="363"/>
      <c r="F68" s="324"/>
      <c r="G68" s="324"/>
      <c r="H68" s="387"/>
      <c r="I68" s="388"/>
      <c r="J68" s="322"/>
      <c r="K68" s="362" t="s">
        <v>972</v>
      </c>
      <c r="L68" s="363"/>
      <c r="M68" s="363"/>
      <c r="N68" s="363"/>
      <c r="O68" s="324"/>
      <c r="P68" s="387"/>
    </row>
    <row r="69" ht="12.75" customHeight="1">
      <c r="A69" s="322"/>
      <c r="B69" s="365" t="s">
        <v>953</v>
      </c>
      <c r="C69" s="366" t="s">
        <v>3</v>
      </c>
      <c r="D69" s="366" t="s">
        <v>975</v>
      </c>
      <c r="E69" s="367" t="s">
        <v>35</v>
      </c>
      <c r="F69" s="324"/>
      <c r="G69" s="324"/>
      <c r="H69" s="387"/>
      <c r="I69" s="388"/>
      <c r="J69" s="322"/>
      <c r="K69" s="365" t="s">
        <v>953</v>
      </c>
      <c r="L69" s="366" t="s">
        <v>3</v>
      </c>
      <c r="M69" s="366" t="s">
        <v>975</v>
      </c>
      <c r="N69" s="367" t="s">
        <v>35</v>
      </c>
      <c r="O69" s="324"/>
      <c r="P69" s="387"/>
    </row>
    <row r="70" ht="12.75" customHeight="1">
      <c r="A70" s="322"/>
      <c r="B70" s="368"/>
      <c r="C70" s="366"/>
      <c r="D70" s="366"/>
      <c r="E70" s="368"/>
      <c r="F70" s="324"/>
      <c r="G70" s="324"/>
      <c r="H70" s="387"/>
      <c r="I70" s="388"/>
      <c r="J70" s="322"/>
      <c r="K70" s="368"/>
      <c r="L70" s="366"/>
      <c r="M70" s="366"/>
      <c r="N70" s="368"/>
      <c r="O70" s="324"/>
      <c r="P70" s="387"/>
    </row>
    <row r="71" ht="12.75" customHeight="1">
      <c r="A71" s="322"/>
      <c r="B71" s="60" t="s">
        <v>1033</v>
      </c>
      <c r="C71" s="342">
        <v>0.03</v>
      </c>
      <c r="D71" s="343">
        <f>'F&amp;B'!$F$278</f>
        <v>103500</v>
      </c>
      <c r="E71" s="67">
        <f t="shared" ref="E71:E80" si="7">D71*C71</f>
        <v>3105</v>
      </c>
      <c r="F71" s="324"/>
      <c r="G71" s="324"/>
      <c r="H71" s="387"/>
      <c r="I71" s="388"/>
      <c r="J71" s="322"/>
      <c r="K71" s="75" t="s">
        <v>60</v>
      </c>
      <c r="L71" s="370">
        <v>0.03</v>
      </c>
      <c r="M71" s="371">
        <f>SALADS!$D$19</f>
        <v>148500</v>
      </c>
      <c r="N71" s="67">
        <f t="shared" ref="N71:N80" si="8">M71*L71</f>
        <v>4455</v>
      </c>
      <c r="O71" s="324"/>
      <c r="P71" s="387"/>
    </row>
    <row r="72" ht="12.75" customHeight="1">
      <c r="A72" s="322"/>
      <c r="B72" s="75" t="s">
        <v>60</v>
      </c>
      <c r="C72" s="370">
        <v>0.03</v>
      </c>
      <c r="D72" s="371">
        <f>SALADS!$D$19</f>
        <v>148500</v>
      </c>
      <c r="E72" s="67">
        <f t="shared" si="7"/>
        <v>4455</v>
      </c>
      <c r="F72" s="324"/>
      <c r="G72" s="324"/>
      <c r="H72" s="387"/>
      <c r="I72" s="388"/>
      <c r="J72" s="322"/>
      <c r="K72" s="75" t="s">
        <v>1046</v>
      </c>
      <c r="L72" s="370">
        <v>0.05</v>
      </c>
      <c r="M72" s="371">
        <f>'F&amp;B'!$F$80</f>
        <v>103500</v>
      </c>
      <c r="N72" s="67">
        <f t="shared" si="8"/>
        <v>5175</v>
      </c>
      <c r="O72" s="324"/>
      <c r="P72" s="387"/>
    </row>
    <row r="73" ht="12.75" customHeight="1">
      <c r="A73" s="322"/>
      <c r="B73" s="75"/>
      <c r="C73" s="370"/>
      <c r="D73" s="371"/>
      <c r="E73" s="67">
        <f t="shared" si="7"/>
        <v>0</v>
      </c>
      <c r="F73" s="324"/>
      <c r="G73" s="324"/>
      <c r="H73" s="387"/>
      <c r="I73" s="388"/>
      <c r="J73" s="322"/>
      <c r="K73" s="75" t="s">
        <v>1309</v>
      </c>
      <c r="L73" s="370">
        <v>0.05</v>
      </c>
      <c r="M73" s="371">
        <f>$M$27</f>
        <v>63000</v>
      </c>
      <c r="N73" s="67">
        <f t="shared" si="8"/>
        <v>3150</v>
      </c>
      <c r="O73" s="324"/>
      <c r="P73" s="387"/>
    </row>
    <row r="74" ht="12.75" customHeight="1">
      <c r="A74" s="322"/>
      <c r="B74" s="75"/>
      <c r="C74" s="346"/>
      <c r="D74" s="371"/>
      <c r="E74" s="67">
        <f t="shared" si="7"/>
        <v>0</v>
      </c>
      <c r="F74" s="324"/>
      <c r="G74" s="324"/>
      <c r="H74" s="387"/>
      <c r="I74" s="388"/>
      <c r="J74" s="322"/>
      <c r="K74" s="75" t="s">
        <v>1078</v>
      </c>
      <c r="L74" s="346">
        <v>0.1</v>
      </c>
      <c r="M74" s="371">
        <f>'F&amp;B'!F294</f>
        <v>6750</v>
      </c>
      <c r="N74" s="67">
        <f t="shared" si="8"/>
        <v>675</v>
      </c>
      <c r="O74" s="324"/>
      <c r="P74" s="387"/>
    </row>
    <row r="75" ht="12.75" customHeight="1">
      <c r="A75" s="322"/>
      <c r="B75" s="75"/>
      <c r="C75" s="346"/>
      <c r="D75" s="371"/>
      <c r="E75" s="67">
        <f t="shared" si="7"/>
        <v>0</v>
      </c>
      <c r="F75" s="324"/>
      <c r="G75" s="324"/>
      <c r="H75" s="387"/>
      <c r="I75" s="388"/>
      <c r="J75" s="322"/>
      <c r="K75" s="75" t="s">
        <v>1310</v>
      </c>
      <c r="L75" s="346">
        <v>1.0</v>
      </c>
      <c r="M75" s="371">
        <f>STARTERS!$N$66/2</f>
        <v>3751.671326</v>
      </c>
      <c r="N75" s="67">
        <f t="shared" si="8"/>
        <v>3751.671326</v>
      </c>
      <c r="O75" s="324"/>
      <c r="P75" s="387"/>
    </row>
    <row r="76" ht="12.75" customHeight="1">
      <c r="A76" s="322"/>
      <c r="B76" s="75"/>
      <c r="C76" s="346"/>
      <c r="D76" s="373"/>
      <c r="E76" s="67">
        <f t="shared" si="7"/>
        <v>0</v>
      </c>
      <c r="F76" s="324"/>
      <c r="G76" s="324"/>
      <c r="H76" s="387"/>
      <c r="I76" s="388"/>
      <c r="J76" s="322"/>
      <c r="K76" s="75" t="s">
        <v>482</v>
      </c>
      <c r="L76" s="346">
        <v>0.02</v>
      </c>
      <c r="M76" s="371">
        <f>'F&amp;B'!F79/25</f>
        <v>14040</v>
      </c>
      <c r="N76" s="67">
        <f t="shared" si="8"/>
        <v>280.8</v>
      </c>
      <c r="O76" s="324"/>
      <c r="P76" s="387"/>
    </row>
    <row r="77" ht="12.75" customHeight="1">
      <c r="A77" s="322"/>
      <c r="B77" s="348"/>
      <c r="C77" s="346"/>
      <c r="D77" s="373"/>
      <c r="E77" s="67">
        <f t="shared" si="7"/>
        <v>0</v>
      </c>
      <c r="F77" s="324"/>
      <c r="G77" s="324"/>
      <c r="H77" s="387"/>
      <c r="I77" s="388"/>
      <c r="J77" s="322"/>
      <c r="K77" s="348"/>
      <c r="L77" s="346"/>
      <c r="M77" s="373"/>
      <c r="N77" s="67">
        <f t="shared" si="8"/>
        <v>0</v>
      </c>
      <c r="O77" s="324"/>
      <c r="P77" s="387"/>
    </row>
    <row r="78" ht="12.75" customHeight="1">
      <c r="A78" s="322"/>
      <c r="B78" s="348"/>
      <c r="C78" s="346"/>
      <c r="D78" s="373"/>
      <c r="E78" s="67">
        <f t="shared" si="7"/>
        <v>0</v>
      </c>
      <c r="F78" s="324"/>
      <c r="G78" s="324"/>
      <c r="H78" s="387"/>
      <c r="I78" s="388"/>
      <c r="J78" s="322"/>
      <c r="K78" s="348"/>
      <c r="L78" s="346"/>
      <c r="M78" s="373"/>
      <c r="N78" s="67">
        <f t="shared" si="8"/>
        <v>0</v>
      </c>
      <c r="O78" s="324"/>
      <c r="P78" s="387"/>
    </row>
    <row r="79" ht="12.75" customHeight="1">
      <c r="A79" s="322"/>
      <c r="B79" s="348"/>
      <c r="C79" s="346"/>
      <c r="D79" s="373"/>
      <c r="E79" s="67">
        <f t="shared" si="7"/>
        <v>0</v>
      </c>
      <c r="F79" s="324"/>
      <c r="G79" s="324"/>
      <c r="H79" s="387"/>
      <c r="I79" s="388"/>
      <c r="J79" s="322"/>
      <c r="K79" s="348"/>
      <c r="L79" s="346"/>
      <c r="M79" s="373"/>
      <c r="N79" s="67">
        <f t="shared" si="8"/>
        <v>0</v>
      </c>
      <c r="O79" s="324"/>
      <c r="P79" s="387"/>
    </row>
    <row r="80" ht="12.75" customHeight="1">
      <c r="A80" s="322"/>
      <c r="B80" s="354"/>
      <c r="C80" s="355"/>
      <c r="D80" s="356"/>
      <c r="E80" s="67">
        <f t="shared" si="7"/>
        <v>0</v>
      </c>
      <c r="F80" s="324"/>
      <c r="G80" s="324"/>
      <c r="H80" s="387"/>
      <c r="I80" s="388"/>
      <c r="J80" s="322"/>
      <c r="K80" s="354"/>
      <c r="L80" s="355"/>
      <c r="M80" s="356"/>
      <c r="N80" s="67">
        <f t="shared" si="8"/>
        <v>0</v>
      </c>
      <c r="O80" s="324"/>
      <c r="P80" s="387"/>
    </row>
    <row r="81" ht="12.75" customHeight="1">
      <c r="A81" s="322"/>
      <c r="B81" s="362" t="s">
        <v>84</v>
      </c>
      <c r="C81" s="374"/>
      <c r="D81" s="374"/>
      <c r="E81" s="375">
        <f>IF(SUM(E71:E80)=0,"",SUM(E71:E80))</f>
        <v>7560</v>
      </c>
      <c r="F81" s="324"/>
      <c r="G81" s="324"/>
      <c r="H81" s="387"/>
      <c r="I81" s="388"/>
      <c r="J81" s="322"/>
      <c r="K81" s="362" t="s">
        <v>84</v>
      </c>
      <c r="L81" s="374"/>
      <c r="M81" s="374"/>
      <c r="N81" s="375">
        <f>IF(SUM(N71:N80)=0,"",SUM(N71:N80))</f>
        <v>17487.47133</v>
      </c>
      <c r="O81" s="324"/>
      <c r="P81" s="387"/>
    </row>
    <row r="82" ht="12.75" customHeight="1">
      <c r="A82" s="322"/>
      <c r="B82" s="360"/>
      <c r="C82" s="360"/>
      <c r="D82" s="360"/>
      <c r="E82" s="361"/>
      <c r="F82" s="324"/>
      <c r="G82" s="324"/>
      <c r="H82" s="387"/>
      <c r="I82" s="388"/>
      <c r="J82" s="322"/>
      <c r="K82" s="360"/>
      <c r="L82" s="360"/>
      <c r="M82" s="360"/>
      <c r="N82" s="361"/>
      <c r="O82" s="324"/>
      <c r="P82" s="387"/>
    </row>
    <row r="83" ht="12.75" customHeight="1">
      <c r="A83" s="322"/>
      <c r="B83" s="34" t="s">
        <v>17</v>
      </c>
      <c r="C83" s="35"/>
      <c r="D83" s="35"/>
      <c r="E83" s="35"/>
      <c r="F83" s="324"/>
      <c r="G83" s="324"/>
      <c r="H83" s="387"/>
      <c r="I83" s="388"/>
      <c r="J83" s="322"/>
      <c r="K83" s="34" t="s">
        <v>17</v>
      </c>
      <c r="L83" s="35"/>
      <c r="M83" s="35"/>
      <c r="N83" s="35"/>
      <c r="O83" s="324"/>
      <c r="P83" s="387"/>
    </row>
    <row r="84" ht="12.75" customHeight="1">
      <c r="A84" s="322"/>
      <c r="B84" s="52" t="s">
        <v>42</v>
      </c>
      <c r="C84" s="54"/>
      <c r="D84" s="54"/>
      <c r="E84" s="56" t="s">
        <v>35</v>
      </c>
      <c r="F84" s="324"/>
      <c r="G84" s="324"/>
      <c r="H84" s="387"/>
      <c r="I84" s="388"/>
      <c r="J84" s="322"/>
      <c r="K84" s="52" t="s">
        <v>42</v>
      </c>
      <c r="L84" s="54"/>
      <c r="M84" s="54"/>
      <c r="N84" s="56" t="s">
        <v>35</v>
      </c>
      <c r="O84" s="324"/>
      <c r="P84" s="387"/>
    </row>
    <row r="85" ht="12.75" customHeight="1">
      <c r="A85" s="322"/>
      <c r="B85" s="60" t="s">
        <v>40</v>
      </c>
      <c r="C85" s="343">
        <f>'UTL COST'!$B$3</f>
        <v>369000</v>
      </c>
      <c r="D85" s="379">
        <f>'UTL COST'!$C$3</f>
        <v>0.0075</v>
      </c>
      <c r="E85" s="67">
        <v>0.0</v>
      </c>
      <c r="F85" s="324"/>
      <c r="G85" s="324"/>
      <c r="H85" s="387"/>
      <c r="I85" s="388"/>
      <c r="J85" s="322"/>
      <c r="K85" s="60" t="s">
        <v>40</v>
      </c>
      <c r="L85" s="343">
        <f>'UTL COST'!$B$3</f>
        <v>369000</v>
      </c>
      <c r="M85" s="379">
        <f>'UTL COST'!$C$3</f>
        <v>0.0075</v>
      </c>
      <c r="N85" s="67">
        <v>0.0</v>
      </c>
      <c r="O85" s="324"/>
      <c r="P85" s="387"/>
    </row>
    <row r="86" ht="12.75" customHeight="1">
      <c r="A86" s="322"/>
      <c r="B86" s="75" t="s">
        <v>51</v>
      </c>
      <c r="C86" s="371" t="str">
        <f>'UTL COST'!$B$4</f>
        <v>#REF!</v>
      </c>
      <c r="D86" s="382">
        <f>'UTL COST'!$C$4</f>
        <v>7000</v>
      </c>
      <c r="E86" s="76" t="str">
        <f>'UTL COST'!$D$4</f>
        <v>#REF!</v>
      </c>
      <c r="F86" s="324"/>
      <c r="G86" s="324"/>
      <c r="H86" s="387"/>
      <c r="I86" s="388"/>
      <c r="J86" s="322"/>
      <c r="K86" s="75" t="s">
        <v>51</v>
      </c>
      <c r="L86" s="371" t="str">
        <f>'UTL COST'!$B$4</f>
        <v>#REF!</v>
      </c>
      <c r="M86" s="382">
        <f>'UTL COST'!$C$4</f>
        <v>7000</v>
      </c>
      <c r="N86" s="76" t="str">
        <f>'UTL COST'!$D$4</f>
        <v>#REF!</v>
      </c>
      <c r="O86" s="324"/>
      <c r="P86" s="387"/>
    </row>
    <row r="87" ht="12.75" customHeight="1">
      <c r="A87" s="322"/>
      <c r="B87" s="75" t="s">
        <v>59</v>
      </c>
      <c r="C87" s="371" t="str">
        <f>'UTL COST'!$B$5</f>
        <v>#REF!</v>
      </c>
      <c r="D87" s="382">
        <f>'UTL COST'!$C$5</f>
        <v>45000</v>
      </c>
      <c r="E87" s="76" t="str">
        <f>'UTL COST'!$D$5</f>
        <v>#REF!</v>
      </c>
      <c r="F87" s="324"/>
      <c r="G87" s="324"/>
      <c r="H87" s="387"/>
      <c r="I87" s="388"/>
      <c r="J87" s="322"/>
      <c r="K87" s="75" t="s">
        <v>59</v>
      </c>
      <c r="L87" s="371" t="str">
        <f>'UTL COST'!$B$5</f>
        <v>#REF!</v>
      </c>
      <c r="M87" s="382">
        <f>'UTL COST'!$C$5</f>
        <v>45000</v>
      </c>
      <c r="N87" s="76" t="str">
        <f>'UTL COST'!$D$5</f>
        <v>#REF!</v>
      </c>
      <c r="O87" s="324"/>
      <c r="P87" s="387"/>
    </row>
    <row r="88" ht="12.75" customHeight="1">
      <c r="A88" s="322"/>
      <c r="B88" s="87" t="s">
        <v>78</v>
      </c>
      <c r="C88" s="371" t="str">
        <f>'UTL COST'!$B$6</f>
        <v>#REF!</v>
      </c>
      <c r="D88" s="383">
        <f>'UTL COST'!$C$6</f>
        <v>525</v>
      </c>
      <c r="E88" s="89">
        <v>0.1</v>
      </c>
      <c r="F88" s="324"/>
      <c r="G88" s="324"/>
      <c r="H88" s="387"/>
      <c r="I88" s="388"/>
      <c r="J88" s="322"/>
      <c r="K88" s="87" t="s">
        <v>78</v>
      </c>
      <c r="L88" s="371" t="str">
        <f>'UTL COST'!$B$6</f>
        <v>#REF!</v>
      </c>
      <c r="M88" s="383">
        <f>'UTL COST'!$C$6</f>
        <v>525</v>
      </c>
      <c r="N88" s="89">
        <v>0.1</v>
      </c>
      <c r="O88" s="324"/>
      <c r="P88" s="387"/>
    </row>
    <row r="89" ht="12.75" customHeight="1">
      <c r="A89" s="322"/>
      <c r="B89" s="34" t="s">
        <v>84</v>
      </c>
      <c r="C89" s="102"/>
      <c r="D89" s="102"/>
      <c r="E89" s="104" t="str">
        <f>IF(SUM(E85:E88)=0,"",SUM(E85:E88))</f>
        <v>#REF!</v>
      </c>
      <c r="F89" s="324"/>
      <c r="G89" s="324"/>
      <c r="H89" s="387"/>
      <c r="I89" s="388"/>
      <c r="J89" s="322"/>
      <c r="K89" s="34" t="s">
        <v>84</v>
      </c>
      <c r="L89" s="102"/>
      <c r="M89" s="102"/>
      <c r="N89" s="104" t="str">
        <f>IF(SUM(N85:N88)=0,"",SUM(N85:N88))</f>
        <v>#REF!</v>
      </c>
      <c r="O89" s="324"/>
      <c r="P89" s="387"/>
    </row>
    <row r="90" ht="12.75" customHeight="1">
      <c r="A90" s="322"/>
      <c r="B90" s="360"/>
      <c r="C90" s="360"/>
      <c r="D90" s="360"/>
      <c r="E90" s="361"/>
      <c r="F90" s="324"/>
      <c r="G90" s="324"/>
      <c r="H90" s="387"/>
      <c r="I90" s="388"/>
      <c r="J90" s="322"/>
      <c r="K90" s="360"/>
      <c r="L90" s="360"/>
      <c r="M90" s="360"/>
      <c r="N90" s="361"/>
      <c r="O90" s="324"/>
      <c r="P90" s="387"/>
    </row>
    <row r="91" ht="12.75" customHeight="1">
      <c r="A91" s="388"/>
      <c r="B91" s="432"/>
      <c r="C91" s="432"/>
      <c r="D91" s="432"/>
      <c r="E91" s="433"/>
      <c r="F91" s="387"/>
      <c r="G91" s="387"/>
      <c r="H91" s="387"/>
      <c r="I91" s="388"/>
      <c r="J91" s="387"/>
      <c r="K91" s="387"/>
      <c r="L91" s="387"/>
      <c r="M91" s="387"/>
      <c r="N91" s="387"/>
      <c r="O91" s="387"/>
      <c r="P91" s="387"/>
    </row>
    <row r="92" ht="12.75" customHeight="1">
      <c r="A92" s="387"/>
      <c r="B92" s="387"/>
      <c r="C92" s="387"/>
      <c r="D92" s="387"/>
      <c r="E92" s="418"/>
      <c r="F92" s="387"/>
      <c r="G92" s="387"/>
      <c r="H92" s="387"/>
      <c r="I92" s="387"/>
      <c r="J92" s="387"/>
      <c r="K92" s="387"/>
      <c r="L92" s="387"/>
      <c r="M92" s="387"/>
      <c r="N92" s="387"/>
      <c r="O92" s="387"/>
      <c r="P92" s="387"/>
    </row>
    <row r="93" ht="12.75" customHeight="1">
      <c r="A93" s="322"/>
      <c r="B93" s="322"/>
      <c r="C93" s="322"/>
      <c r="D93" s="322"/>
      <c r="E93" s="323"/>
      <c r="F93" s="324"/>
      <c r="G93" s="324"/>
      <c r="H93" s="387"/>
      <c r="I93" s="387"/>
      <c r="J93" s="322"/>
      <c r="K93" s="322"/>
      <c r="L93" s="322"/>
      <c r="M93" s="322"/>
      <c r="N93" s="323"/>
      <c r="O93" s="324"/>
      <c r="P93" s="387"/>
    </row>
    <row r="94" ht="12.75" customHeight="1">
      <c r="A94" s="322"/>
      <c r="B94" s="325"/>
      <c r="C94" s="322"/>
      <c r="D94" s="322"/>
      <c r="E94" s="323"/>
      <c r="F94" s="326"/>
      <c r="G94" s="326"/>
      <c r="H94" s="387"/>
      <c r="I94" s="387"/>
      <c r="J94" s="322"/>
      <c r="K94" s="325"/>
      <c r="L94" s="322"/>
      <c r="M94" s="322"/>
      <c r="N94" s="323"/>
      <c r="O94" s="326"/>
      <c r="P94" s="387"/>
    </row>
    <row r="95" ht="12.75" customHeight="1">
      <c r="A95" s="322"/>
      <c r="B95" s="327" t="s">
        <v>931</v>
      </c>
      <c r="C95" s="328" t="s">
        <v>414</v>
      </c>
      <c r="D95" s="329"/>
      <c r="E95" s="323"/>
      <c r="F95" s="326"/>
      <c r="G95" s="326"/>
      <c r="H95" s="387"/>
      <c r="I95" s="387"/>
      <c r="J95" s="322"/>
      <c r="K95" s="327" t="s">
        <v>931</v>
      </c>
      <c r="L95" s="328" t="s">
        <v>1313</v>
      </c>
      <c r="M95" s="329"/>
      <c r="N95" s="323"/>
      <c r="O95" s="326"/>
      <c r="P95" s="387"/>
    </row>
    <row r="96" ht="12.75" customHeight="1">
      <c r="A96" s="322"/>
      <c r="B96" s="325"/>
      <c r="C96" s="322"/>
      <c r="D96" s="322"/>
      <c r="E96" s="323"/>
      <c r="F96" s="326"/>
      <c r="G96" s="326"/>
      <c r="H96" s="387"/>
      <c r="I96" s="387"/>
      <c r="J96" s="322"/>
      <c r="K96" s="325"/>
      <c r="L96" s="322"/>
      <c r="M96" s="322"/>
      <c r="N96" s="323"/>
      <c r="O96" s="326"/>
      <c r="P96" s="387"/>
    </row>
    <row r="97" ht="12.75" customHeight="1">
      <c r="A97" s="322"/>
      <c r="B97" s="327" t="s">
        <v>935</v>
      </c>
      <c r="C97" s="331">
        <v>185000.0</v>
      </c>
      <c r="D97" s="329"/>
      <c r="E97" s="323"/>
      <c r="F97" s="326"/>
      <c r="G97" s="326"/>
      <c r="H97" s="387"/>
      <c r="I97" s="387"/>
      <c r="J97" s="322"/>
      <c r="K97" s="327" t="s">
        <v>935</v>
      </c>
      <c r="L97" s="331">
        <v>110000.0</v>
      </c>
      <c r="M97" s="329"/>
      <c r="N97" s="323"/>
      <c r="O97" s="326"/>
      <c r="P97" s="387"/>
    </row>
    <row r="98" ht="12.75" customHeight="1">
      <c r="A98" s="322"/>
      <c r="B98" s="327"/>
      <c r="C98" s="332"/>
      <c r="D98" s="332"/>
      <c r="E98" s="323"/>
      <c r="F98" s="326"/>
      <c r="G98" s="326"/>
      <c r="H98" s="387"/>
      <c r="I98" s="387"/>
      <c r="J98" s="322"/>
      <c r="K98" s="327"/>
      <c r="L98" s="332"/>
      <c r="M98" s="332"/>
      <c r="N98" s="323"/>
      <c r="O98" s="326"/>
      <c r="P98" s="387"/>
    </row>
    <row r="99" ht="12.75" customHeight="1">
      <c r="A99" s="322"/>
      <c r="B99" s="327" t="s">
        <v>939</v>
      </c>
      <c r="C99" s="333" t="str">
        <f>IF(SUM(E111,E126,E134)=0,"",SUM(E111,E126,E134))</f>
        <v>#REF!</v>
      </c>
      <c r="D99" s="321"/>
      <c r="E99" s="323"/>
      <c r="F99" s="326"/>
      <c r="G99" s="326"/>
      <c r="H99" s="387"/>
      <c r="I99" s="387"/>
      <c r="J99" s="322"/>
      <c r="K99" s="327" t="s">
        <v>939</v>
      </c>
      <c r="L99" s="333" t="str">
        <f>IF(SUM(N111,N126,N134)=0,"",SUM(N111,N126,N134))</f>
        <v>#REF!</v>
      </c>
      <c r="M99" s="321"/>
      <c r="N99" s="323"/>
      <c r="O99" s="326"/>
      <c r="P99" s="387"/>
    </row>
    <row r="100" ht="12.75" customHeight="1">
      <c r="A100" s="322"/>
      <c r="B100" s="327"/>
      <c r="C100" s="334"/>
      <c r="D100" s="334"/>
      <c r="E100" s="323"/>
      <c r="F100" s="326"/>
      <c r="G100" s="326"/>
      <c r="H100" s="387"/>
      <c r="I100" s="387"/>
      <c r="J100" s="322"/>
      <c r="K100" s="327"/>
      <c r="L100" s="334"/>
      <c r="M100" s="334"/>
      <c r="N100" s="323"/>
      <c r="O100" s="326"/>
      <c r="P100" s="387"/>
    </row>
    <row r="101" ht="12.75" customHeight="1">
      <c r="A101" s="322"/>
      <c r="B101" s="327" t="s">
        <v>946</v>
      </c>
      <c r="C101" s="335" t="str">
        <f>IF(C99="","",IF(ISBLANK(C97),"",C99/C97))</f>
        <v>#REF!</v>
      </c>
      <c r="D101" s="321"/>
      <c r="E101" s="323"/>
      <c r="F101" s="326"/>
      <c r="G101" s="326"/>
      <c r="H101" s="387"/>
      <c r="I101" s="387"/>
      <c r="J101" s="322"/>
      <c r="K101" s="327" t="s">
        <v>946</v>
      </c>
      <c r="L101" s="335" t="str">
        <f>IF(L99="","",IF(ISBLANK(L97),"",L99/L97))</f>
        <v>#REF!</v>
      </c>
      <c r="M101" s="321"/>
      <c r="N101" s="323"/>
      <c r="O101" s="326"/>
      <c r="P101" s="387"/>
    </row>
    <row r="102" ht="12.75" customHeight="1">
      <c r="A102" s="322"/>
      <c r="B102" s="327"/>
      <c r="C102" s="334"/>
      <c r="D102" s="334"/>
      <c r="E102" s="323"/>
      <c r="F102" s="326"/>
      <c r="G102" s="326"/>
      <c r="H102" s="387"/>
      <c r="I102" s="387"/>
      <c r="J102" s="322"/>
      <c r="K102" s="327"/>
      <c r="L102" s="334"/>
      <c r="M102" s="334"/>
      <c r="N102" s="323"/>
      <c r="O102" s="326"/>
      <c r="P102" s="387"/>
    </row>
    <row r="103" ht="12.75" customHeight="1">
      <c r="A103" s="322"/>
      <c r="B103" s="327" t="s">
        <v>950</v>
      </c>
      <c r="C103" s="333" t="str">
        <f>C97-C99</f>
        <v>#REF!</v>
      </c>
      <c r="D103" s="321"/>
      <c r="E103" s="323"/>
      <c r="F103" s="326"/>
      <c r="G103" s="326"/>
      <c r="H103" s="387"/>
      <c r="I103" s="387"/>
      <c r="J103" s="322"/>
      <c r="K103" s="327" t="s">
        <v>950</v>
      </c>
      <c r="L103" s="333" t="str">
        <f>L97-L99</f>
        <v>#REF!</v>
      </c>
      <c r="M103" s="321"/>
      <c r="N103" s="323"/>
      <c r="O103" s="326"/>
      <c r="P103" s="387"/>
    </row>
    <row r="104" ht="12.75" customHeight="1">
      <c r="A104" s="322"/>
      <c r="B104" s="322"/>
      <c r="C104" s="322"/>
      <c r="D104" s="322"/>
      <c r="E104" s="323"/>
      <c r="F104" s="324"/>
      <c r="G104" s="324"/>
      <c r="H104" s="387"/>
      <c r="I104" s="387"/>
      <c r="J104" s="322"/>
      <c r="K104" s="322"/>
      <c r="L104" s="322"/>
      <c r="M104" s="322"/>
      <c r="N104" s="323"/>
      <c r="O104" s="324"/>
      <c r="P104" s="387"/>
    </row>
    <row r="105" ht="12.75" customHeight="1">
      <c r="A105" s="322"/>
      <c r="B105" s="322"/>
      <c r="C105" s="322"/>
      <c r="D105" s="322"/>
      <c r="E105" s="337"/>
      <c r="F105" s="324"/>
      <c r="G105" s="324"/>
      <c r="H105" s="387"/>
      <c r="I105" s="387"/>
      <c r="J105" s="322"/>
      <c r="K105" s="322"/>
      <c r="L105" s="322"/>
      <c r="M105" s="322"/>
      <c r="N105" s="337"/>
      <c r="O105" s="324"/>
      <c r="P105" s="387"/>
    </row>
    <row r="106" ht="12.75" customHeight="1">
      <c r="A106" s="322"/>
      <c r="B106" s="338" t="s">
        <v>951</v>
      </c>
      <c r="C106" s="339"/>
      <c r="D106" s="339"/>
      <c r="E106" s="339"/>
      <c r="F106" s="324"/>
      <c r="G106" s="324"/>
      <c r="H106" s="387"/>
      <c r="I106" s="387"/>
      <c r="J106" s="322"/>
      <c r="K106" s="338" t="s">
        <v>951</v>
      </c>
      <c r="L106" s="339"/>
      <c r="M106" s="339"/>
      <c r="N106" s="339"/>
      <c r="O106" s="324"/>
      <c r="P106" s="387"/>
    </row>
    <row r="107" ht="12.75" customHeight="1">
      <c r="A107" s="322"/>
      <c r="B107" s="340" t="s">
        <v>953</v>
      </c>
      <c r="C107" s="341" t="s">
        <v>954</v>
      </c>
      <c r="D107" s="341" t="s">
        <v>955</v>
      </c>
      <c r="E107" s="341" t="s">
        <v>35</v>
      </c>
      <c r="F107" s="324"/>
      <c r="G107" s="324"/>
      <c r="H107" s="387"/>
      <c r="I107" s="387"/>
      <c r="J107" s="322"/>
      <c r="K107" s="340" t="s">
        <v>953</v>
      </c>
      <c r="L107" s="341" t="s">
        <v>954</v>
      </c>
      <c r="M107" s="341" t="s">
        <v>955</v>
      </c>
      <c r="N107" s="341" t="s">
        <v>35</v>
      </c>
      <c r="O107" s="324"/>
      <c r="P107" s="387"/>
    </row>
    <row r="108" ht="12.75" customHeight="1">
      <c r="A108" s="322"/>
      <c r="B108" s="60" t="s">
        <v>1007</v>
      </c>
      <c r="C108" s="344">
        <v>0.166</v>
      </c>
      <c r="D108" s="343">
        <f>D19</f>
        <v>787.5</v>
      </c>
      <c r="E108" s="67">
        <f t="shared" ref="E108:E110" si="9">IF(OR(ISBLANK(C108),ISBLANK(D108)),"",D108*C108)</f>
        <v>130.725</v>
      </c>
      <c r="F108" s="324"/>
      <c r="G108" s="324"/>
      <c r="H108" s="387"/>
      <c r="I108" s="387"/>
      <c r="J108" s="322"/>
      <c r="K108" s="60" t="s">
        <v>1314</v>
      </c>
      <c r="L108" s="344">
        <v>0.166</v>
      </c>
      <c r="M108" s="343">
        <f>'F&amp;B'!$F$237/12</f>
        <v>787.5</v>
      </c>
      <c r="N108" s="67">
        <f t="shared" ref="N108:N110" si="10">IF(OR(ISBLANK(L108),ISBLANK(M108)),"",M108*L108)</f>
        <v>130.725</v>
      </c>
      <c r="O108" s="324"/>
      <c r="P108" s="387"/>
    </row>
    <row r="109" ht="12.75" customHeight="1">
      <c r="A109" s="322"/>
      <c r="B109" s="75" t="s">
        <v>1298</v>
      </c>
      <c r="C109" s="370">
        <v>0.15</v>
      </c>
      <c r="D109" s="371">
        <f>M65</f>
        <v>81000</v>
      </c>
      <c r="E109" s="67">
        <f t="shared" si="9"/>
        <v>12150</v>
      </c>
      <c r="F109" s="324"/>
      <c r="G109" s="324"/>
      <c r="H109" s="387"/>
      <c r="I109" s="387"/>
      <c r="J109" s="322"/>
      <c r="K109" s="75" t="s">
        <v>795</v>
      </c>
      <c r="L109" s="346">
        <v>0.23</v>
      </c>
      <c r="M109" s="371">
        <f>D20</f>
        <v>30572.18192</v>
      </c>
      <c r="N109" s="67">
        <f t="shared" si="10"/>
        <v>7031.601841</v>
      </c>
      <c r="O109" s="324"/>
      <c r="P109" s="387"/>
    </row>
    <row r="110" ht="12.75" customHeight="1">
      <c r="A110" s="322"/>
      <c r="B110" s="87" t="s">
        <v>1099</v>
      </c>
      <c r="C110" s="355">
        <v>0.065</v>
      </c>
      <c r="D110" s="408">
        <f>'F&amp;B'!$F$274</f>
        <v>94500</v>
      </c>
      <c r="E110" s="67">
        <f t="shared" si="9"/>
        <v>6142.5</v>
      </c>
      <c r="F110" s="324"/>
      <c r="G110" s="324"/>
      <c r="H110" s="387"/>
      <c r="I110" s="387"/>
      <c r="J110" s="322"/>
      <c r="K110" s="87" t="s">
        <v>1315</v>
      </c>
      <c r="L110" s="355">
        <v>0.1</v>
      </c>
      <c r="M110" s="434">
        <f>'F&amp;B'!$F$209</f>
        <v>99000</v>
      </c>
      <c r="N110" s="67">
        <f t="shared" si="10"/>
        <v>9900</v>
      </c>
      <c r="O110" s="324"/>
      <c r="P110" s="387"/>
    </row>
    <row r="111" ht="12.75" customHeight="1">
      <c r="A111" s="322"/>
      <c r="B111" s="338" t="s">
        <v>84</v>
      </c>
      <c r="C111" s="358"/>
      <c r="D111" s="358"/>
      <c r="E111" s="359">
        <f>IF(SUM(E108:E110)=0,"",SUM(E108:E110))</f>
        <v>18423.225</v>
      </c>
      <c r="F111" s="324"/>
      <c r="G111" s="324"/>
      <c r="H111" s="387"/>
      <c r="I111" s="387"/>
      <c r="J111" s="322"/>
      <c r="K111" s="338" t="s">
        <v>84</v>
      </c>
      <c r="L111" s="358"/>
      <c r="M111" s="358"/>
      <c r="N111" s="359">
        <f>IF(SUM(N108:N110)=0,"",SUM(N108:N110))</f>
        <v>17062.32684</v>
      </c>
      <c r="O111" s="324"/>
      <c r="P111" s="387"/>
    </row>
    <row r="112" ht="12.75" customHeight="1">
      <c r="A112" s="322"/>
      <c r="B112" s="360"/>
      <c r="C112" s="360"/>
      <c r="D112" s="360"/>
      <c r="E112" s="361"/>
      <c r="F112" s="324"/>
      <c r="G112" s="324"/>
      <c r="H112" s="387"/>
      <c r="I112" s="387"/>
      <c r="J112" s="322"/>
      <c r="K112" s="360"/>
      <c r="L112" s="360"/>
      <c r="M112" s="360"/>
      <c r="N112" s="361"/>
      <c r="O112" s="324"/>
      <c r="P112" s="387"/>
    </row>
    <row r="113" ht="12.75" customHeight="1">
      <c r="A113" s="322"/>
      <c r="B113" s="362" t="s">
        <v>972</v>
      </c>
      <c r="C113" s="363"/>
      <c r="D113" s="363"/>
      <c r="E113" s="363"/>
      <c r="F113" s="324"/>
      <c r="G113" s="324"/>
      <c r="H113" s="387"/>
      <c r="I113" s="387"/>
      <c r="J113" s="322"/>
      <c r="K113" s="362" t="s">
        <v>972</v>
      </c>
      <c r="L113" s="363"/>
      <c r="M113" s="363"/>
      <c r="N113" s="363"/>
      <c r="O113" s="324"/>
      <c r="P113" s="387"/>
    </row>
    <row r="114" ht="12.75" customHeight="1">
      <c r="A114" s="322"/>
      <c r="B114" s="365" t="s">
        <v>953</v>
      </c>
      <c r="C114" s="366" t="s">
        <v>3</v>
      </c>
      <c r="D114" s="366" t="s">
        <v>975</v>
      </c>
      <c r="E114" s="367" t="s">
        <v>35</v>
      </c>
      <c r="F114" s="324"/>
      <c r="G114" s="324"/>
      <c r="H114" s="387"/>
      <c r="I114" s="387"/>
      <c r="J114" s="322"/>
      <c r="K114" s="365" t="s">
        <v>953</v>
      </c>
      <c r="L114" s="366" t="s">
        <v>3</v>
      </c>
      <c r="M114" s="366" t="s">
        <v>975</v>
      </c>
      <c r="N114" s="367" t="s">
        <v>35</v>
      </c>
      <c r="O114" s="324"/>
      <c r="P114" s="387"/>
    </row>
    <row r="115" ht="12.75" customHeight="1">
      <c r="A115" s="322"/>
      <c r="B115" s="368"/>
      <c r="C115" s="366"/>
      <c r="D115" s="366"/>
      <c r="E115" s="368"/>
      <c r="F115" s="324"/>
      <c r="G115" s="324"/>
      <c r="H115" s="387"/>
      <c r="I115" s="387"/>
      <c r="J115" s="322"/>
      <c r="K115" s="368"/>
      <c r="L115" s="366"/>
      <c r="M115" s="366"/>
      <c r="N115" s="368"/>
      <c r="O115" s="324"/>
      <c r="P115" s="387"/>
    </row>
    <row r="116" ht="12.75" customHeight="1">
      <c r="A116" s="322"/>
      <c r="B116" s="60" t="s">
        <v>795</v>
      </c>
      <c r="C116" s="342">
        <v>0.1</v>
      </c>
      <c r="D116" s="343"/>
      <c r="E116" s="67">
        <f t="shared" ref="E116:E125" si="11">D116*C116</f>
        <v>0</v>
      </c>
      <c r="F116" s="324"/>
      <c r="G116" s="324"/>
      <c r="H116" s="387"/>
      <c r="I116" s="387"/>
      <c r="J116" s="322"/>
      <c r="K116" s="60" t="s">
        <v>60</v>
      </c>
      <c r="L116" s="342">
        <v>0.05</v>
      </c>
      <c r="M116" s="343">
        <f>D117</f>
        <v>148500</v>
      </c>
      <c r="N116" s="67">
        <f t="shared" ref="N116:N125" si="12">M116*L116</f>
        <v>7425</v>
      </c>
      <c r="O116" s="324"/>
      <c r="P116" s="387"/>
    </row>
    <row r="117" ht="12.75" customHeight="1">
      <c r="A117" s="322"/>
      <c r="B117" s="75" t="s">
        <v>60</v>
      </c>
      <c r="C117" s="370">
        <v>0.03</v>
      </c>
      <c r="D117" s="371">
        <f>SALADS!$D$19</f>
        <v>148500</v>
      </c>
      <c r="E117" s="67">
        <f t="shared" si="11"/>
        <v>4455</v>
      </c>
      <c r="F117" s="324"/>
      <c r="G117" s="324"/>
      <c r="H117" s="387"/>
      <c r="I117" s="387"/>
      <c r="J117" s="322"/>
      <c r="K117" s="75" t="s">
        <v>1309</v>
      </c>
      <c r="L117" s="370">
        <v>0.1</v>
      </c>
      <c r="M117" s="371">
        <f>$M$27</f>
        <v>63000</v>
      </c>
      <c r="N117" s="67">
        <f t="shared" si="12"/>
        <v>6300</v>
      </c>
      <c r="O117" s="324"/>
      <c r="P117" s="387"/>
    </row>
    <row r="118" ht="12.75" customHeight="1">
      <c r="A118" s="322"/>
      <c r="B118" s="75"/>
      <c r="C118" s="370"/>
      <c r="D118" s="371"/>
      <c r="E118" s="67">
        <f t="shared" si="11"/>
        <v>0</v>
      </c>
      <c r="F118" s="324"/>
      <c r="G118" s="324"/>
      <c r="H118" s="387"/>
      <c r="I118" s="387"/>
      <c r="J118" s="322"/>
      <c r="K118" s="75"/>
      <c r="L118" s="370"/>
      <c r="M118" s="371"/>
      <c r="N118" s="67">
        <f t="shared" si="12"/>
        <v>0</v>
      </c>
      <c r="O118" s="324"/>
      <c r="P118" s="387"/>
    </row>
    <row r="119" ht="12.75" customHeight="1">
      <c r="A119" s="322"/>
      <c r="B119" s="75"/>
      <c r="C119" s="346"/>
      <c r="D119" s="371"/>
      <c r="E119" s="67">
        <f t="shared" si="11"/>
        <v>0</v>
      </c>
      <c r="F119" s="324"/>
      <c r="G119" s="324"/>
      <c r="H119" s="387"/>
      <c r="I119" s="387"/>
      <c r="J119" s="322"/>
      <c r="K119" s="75"/>
      <c r="L119" s="370"/>
      <c r="M119" s="371"/>
      <c r="N119" s="67">
        <f t="shared" si="12"/>
        <v>0</v>
      </c>
      <c r="O119" s="324"/>
      <c r="P119" s="387"/>
    </row>
    <row r="120" ht="12.75" customHeight="1">
      <c r="A120" s="322"/>
      <c r="B120" s="75"/>
      <c r="C120" s="346"/>
      <c r="D120" s="371"/>
      <c r="E120" s="67">
        <f t="shared" si="11"/>
        <v>0</v>
      </c>
      <c r="F120" s="324"/>
      <c r="G120" s="324"/>
      <c r="H120" s="387"/>
      <c r="I120" s="387"/>
      <c r="J120" s="322"/>
      <c r="K120" s="75"/>
      <c r="L120" s="346"/>
      <c r="M120" s="371"/>
      <c r="N120" s="67">
        <f t="shared" si="12"/>
        <v>0</v>
      </c>
      <c r="O120" s="324"/>
      <c r="P120" s="387"/>
    </row>
    <row r="121" ht="12.75" customHeight="1">
      <c r="A121" s="322"/>
      <c r="B121" s="75"/>
      <c r="C121" s="346"/>
      <c r="D121" s="373"/>
      <c r="E121" s="67">
        <f t="shared" si="11"/>
        <v>0</v>
      </c>
      <c r="F121" s="324"/>
      <c r="G121" s="324"/>
      <c r="H121" s="387"/>
      <c r="I121" s="387"/>
      <c r="J121" s="322"/>
      <c r="K121" s="75"/>
      <c r="L121" s="346"/>
      <c r="M121" s="373"/>
      <c r="N121" s="67">
        <f t="shared" si="12"/>
        <v>0</v>
      </c>
      <c r="O121" s="324"/>
      <c r="P121" s="387"/>
    </row>
    <row r="122" ht="12.75" customHeight="1">
      <c r="A122" s="322"/>
      <c r="B122" s="348"/>
      <c r="C122" s="346"/>
      <c r="D122" s="373"/>
      <c r="E122" s="67">
        <f t="shared" si="11"/>
        <v>0</v>
      </c>
      <c r="F122" s="324"/>
      <c r="G122" s="324"/>
      <c r="H122" s="387"/>
      <c r="I122" s="387"/>
      <c r="J122" s="322"/>
      <c r="K122" s="348"/>
      <c r="L122" s="346"/>
      <c r="M122" s="373"/>
      <c r="N122" s="67">
        <f t="shared" si="12"/>
        <v>0</v>
      </c>
      <c r="O122" s="324"/>
      <c r="P122" s="387"/>
    </row>
    <row r="123" ht="12.75" customHeight="1">
      <c r="A123" s="322"/>
      <c r="B123" s="348"/>
      <c r="C123" s="346"/>
      <c r="D123" s="373"/>
      <c r="E123" s="67">
        <f t="shared" si="11"/>
        <v>0</v>
      </c>
      <c r="F123" s="324"/>
      <c r="G123" s="324"/>
      <c r="H123" s="387"/>
      <c r="I123" s="387"/>
      <c r="J123" s="322"/>
      <c r="K123" s="348"/>
      <c r="L123" s="346"/>
      <c r="M123" s="373"/>
      <c r="N123" s="67">
        <f t="shared" si="12"/>
        <v>0</v>
      </c>
      <c r="O123" s="324"/>
      <c r="P123" s="387"/>
    </row>
    <row r="124" ht="12.75" customHeight="1">
      <c r="A124" s="322"/>
      <c r="B124" s="348"/>
      <c r="C124" s="346"/>
      <c r="D124" s="373"/>
      <c r="E124" s="67">
        <f t="shared" si="11"/>
        <v>0</v>
      </c>
      <c r="F124" s="324"/>
      <c r="G124" s="324"/>
      <c r="H124" s="387"/>
      <c r="I124" s="387"/>
      <c r="J124" s="322"/>
      <c r="K124" s="348"/>
      <c r="L124" s="346"/>
      <c r="M124" s="373"/>
      <c r="N124" s="67">
        <f t="shared" si="12"/>
        <v>0</v>
      </c>
      <c r="O124" s="324"/>
      <c r="P124" s="387"/>
    </row>
    <row r="125" ht="12.75" customHeight="1">
      <c r="A125" s="322"/>
      <c r="B125" s="354"/>
      <c r="C125" s="355"/>
      <c r="D125" s="356"/>
      <c r="E125" s="67">
        <f t="shared" si="11"/>
        <v>0</v>
      </c>
      <c r="F125" s="324"/>
      <c r="G125" s="324"/>
      <c r="H125" s="387"/>
      <c r="I125" s="387"/>
      <c r="J125" s="322"/>
      <c r="K125" s="354"/>
      <c r="L125" s="355"/>
      <c r="M125" s="356"/>
      <c r="N125" s="67">
        <f t="shared" si="12"/>
        <v>0</v>
      </c>
      <c r="O125" s="324"/>
      <c r="P125" s="387"/>
    </row>
    <row r="126" ht="12.75" customHeight="1">
      <c r="A126" s="322"/>
      <c r="B126" s="362" t="s">
        <v>84</v>
      </c>
      <c r="C126" s="374"/>
      <c r="D126" s="374"/>
      <c r="E126" s="375">
        <f>IF(SUM(E116:E125)=0,"",SUM(E116:E125))</f>
        <v>4455</v>
      </c>
      <c r="F126" s="324"/>
      <c r="G126" s="324"/>
      <c r="H126" s="387"/>
      <c r="I126" s="387"/>
      <c r="J126" s="322"/>
      <c r="K126" s="362" t="s">
        <v>84</v>
      </c>
      <c r="L126" s="374"/>
      <c r="M126" s="374"/>
      <c r="N126" s="375">
        <f>IF(SUM(N116:N125)=0,"",SUM(N116:N125))</f>
        <v>13725</v>
      </c>
      <c r="O126" s="324"/>
      <c r="P126" s="387"/>
    </row>
    <row r="127" ht="12.75" customHeight="1">
      <c r="A127" s="322"/>
      <c r="B127" s="360"/>
      <c r="C127" s="360"/>
      <c r="D127" s="360"/>
      <c r="E127" s="361"/>
      <c r="F127" s="324"/>
      <c r="G127" s="324"/>
      <c r="H127" s="387"/>
      <c r="I127" s="387"/>
      <c r="J127" s="322"/>
      <c r="K127" s="360"/>
      <c r="L127" s="360"/>
      <c r="M127" s="360"/>
      <c r="N127" s="361"/>
      <c r="O127" s="324"/>
      <c r="P127" s="387"/>
    </row>
    <row r="128" ht="12.75" customHeight="1">
      <c r="A128" s="322"/>
      <c r="B128" s="34" t="s">
        <v>17</v>
      </c>
      <c r="C128" s="35"/>
      <c r="D128" s="35"/>
      <c r="E128" s="35"/>
      <c r="F128" s="324"/>
      <c r="G128" s="324"/>
      <c r="H128" s="387"/>
      <c r="I128" s="387"/>
      <c r="J128" s="322"/>
      <c r="K128" s="34" t="s">
        <v>17</v>
      </c>
      <c r="L128" s="35"/>
      <c r="M128" s="35"/>
      <c r="N128" s="35"/>
      <c r="O128" s="324"/>
      <c r="P128" s="387"/>
    </row>
    <row r="129" ht="12.75" customHeight="1">
      <c r="A129" s="322"/>
      <c r="B129" s="52" t="s">
        <v>42</v>
      </c>
      <c r="C129" s="54"/>
      <c r="D129" s="54"/>
      <c r="E129" s="56" t="s">
        <v>35</v>
      </c>
      <c r="F129" s="324"/>
      <c r="G129" s="324"/>
      <c r="H129" s="387"/>
      <c r="I129" s="387"/>
      <c r="J129" s="322"/>
      <c r="K129" s="52" t="s">
        <v>42</v>
      </c>
      <c r="L129" s="54"/>
      <c r="M129" s="54"/>
      <c r="N129" s="56" t="s">
        <v>35</v>
      </c>
      <c r="O129" s="324"/>
      <c r="P129" s="387"/>
    </row>
    <row r="130" ht="12.75" customHeight="1">
      <c r="A130" s="322"/>
      <c r="B130" s="60" t="s">
        <v>40</v>
      </c>
      <c r="C130" s="343">
        <f>'UTL COST'!$B$3</f>
        <v>369000</v>
      </c>
      <c r="D130" s="379">
        <f>'UTL COST'!$C$3</f>
        <v>0.0075</v>
      </c>
      <c r="E130" s="67">
        <v>0.0</v>
      </c>
      <c r="F130" s="324"/>
      <c r="G130" s="324"/>
      <c r="H130" s="387"/>
      <c r="I130" s="387"/>
      <c r="J130" s="322"/>
      <c r="K130" s="60" t="s">
        <v>40</v>
      </c>
      <c r="L130" s="343">
        <f>'UTL COST'!$B$3</f>
        <v>369000</v>
      </c>
      <c r="M130" s="379">
        <f>'UTL COST'!$C$3</f>
        <v>0.0075</v>
      </c>
      <c r="N130" s="67">
        <v>0.0</v>
      </c>
      <c r="O130" s="324"/>
      <c r="P130" s="387"/>
    </row>
    <row r="131" ht="12.75" customHeight="1">
      <c r="A131" s="322"/>
      <c r="B131" s="75" t="s">
        <v>51</v>
      </c>
      <c r="C131" s="371" t="str">
        <f>'UTL COST'!$B$4</f>
        <v>#REF!</v>
      </c>
      <c r="D131" s="382">
        <f>'UTL COST'!$C$4</f>
        <v>7000</v>
      </c>
      <c r="E131" s="76" t="str">
        <f>'UTL COST'!$D$4</f>
        <v>#REF!</v>
      </c>
      <c r="F131" s="324"/>
      <c r="G131" s="324"/>
      <c r="H131" s="387"/>
      <c r="I131" s="387"/>
      <c r="J131" s="322"/>
      <c r="K131" s="75" t="s">
        <v>51</v>
      </c>
      <c r="L131" s="371" t="str">
        <f>'UTL COST'!$B$4</f>
        <v>#REF!</v>
      </c>
      <c r="M131" s="382">
        <f>'UTL COST'!$C$4</f>
        <v>7000</v>
      </c>
      <c r="N131" s="76" t="str">
        <f>'UTL COST'!$D$4</f>
        <v>#REF!</v>
      </c>
      <c r="O131" s="324"/>
      <c r="P131" s="387"/>
    </row>
    <row r="132" ht="12.75" customHeight="1">
      <c r="A132" s="322"/>
      <c r="B132" s="75" t="s">
        <v>59</v>
      </c>
      <c r="C132" s="371" t="str">
        <f>'UTL COST'!$B$5</f>
        <v>#REF!</v>
      </c>
      <c r="D132" s="382">
        <f>'UTL COST'!$C$5</f>
        <v>45000</v>
      </c>
      <c r="E132" s="76" t="str">
        <f>'UTL COST'!$D$5</f>
        <v>#REF!</v>
      </c>
      <c r="F132" s="324"/>
      <c r="G132" s="324"/>
      <c r="H132" s="387"/>
      <c r="I132" s="387"/>
      <c r="J132" s="322"/>
      <c r="K132" s="75" t="s">
        <v>59</v>
      </c>
      <c r="L132" s="371" t="str">
        <f>'UTL COST'!$B$5</f>
        <v>#REF!</v>
      </c>
      <c r="M132" s="382">
        <f>'UTL COST'!$C$5</f>
        <v>45000</v>
      </c>
      <c r="N132" s="76" t="str">
        <f>'UTL COST'!$D$5</f>
        <v>#REF!</v>
      </c>
      <c r="O132" s="324"/>
      <c r="P132" s="387"/>
    </row>
    <row r="133" ht="12.75" customHeight="1">
      <c r="A133" s="322"/>
      <c r="B133" s="87" t="s">
        <v>78</v>
      </c>
      <c r="C133" s="371" t="str">
        <f>'UTL COST'!$B$6</f>
        <v>#REF!</v>
      </c>
      <c r="D133" s="383">
        <f>'UTL COST'!$C$6</f>
        <v>525</v>
      </c>
      <c r="E133" s="89">
        <v>0.1</v>
      </c>
      <c r="F133" s="324"/>
      <c r="G133" s="324"/>
      <c r="H133" s="387"/>
      <c r="I133" s="387"/>
      <c r="J133" s="322"/>
      <c r="K133" s="87" t="s">
        <v>78</v>
      </c>
      <c r="L133" s="371" t="str">
        <f>'UTL COST'!$B$6</f>
        <v>#REF!</v>
      </c>
      <c r="M133" s="383">
        <f>'UTL COST'!$C$6</f>
        <v>525</v>
      </c>
      <c r="N133" s="89">
        <v>0.1</v>
      </c>
      <c r="O133" s="324"/>
      <c r="P133" s="387"/>
    </row>
    <row r="134" ht="12.75" customHeight="1">
      <c r="A134" s="322"/>
      <c r="B134" s="34" t="s">
        <v>84</v>
      </c>
      <c r="C134" s="102"/>
      <c r="D134" s="102"/>
      <c r="E134" s="104" t="str">
        <f>IF(SUM(E130:E133)=0,"",SUM(E130:E133))</f>
        <v>#REF!</v>
      </c>
      <c r="F134" s="324"/>
      <c r="G134" s="324"/>
      <c r="H134" s="387"/>
      <c r="I134" s="387"/>
      <c r="J134" s="322"/>
      <c r="K134" s="34" t="s">
        <v>84</v>
      </c>
      <c r="L134" s="102"/>
      <c r="M134" s="102"/>
      <c r="N134" s="104" t="str">
        <f>IF(SUM(N130:N133)=0,"",SUM(N130:N133))</f>
        <v>#REF!</v>
      </c>
      <c r="O134" s="324"/>
      <c r="P134" s="387"/>
    </row>
    <row r="135" ht="12.75" customHeight="1">
      <c r="A135" s="322"/>
      <c r="B135" s="360"/>
      <c r="C135" s="360"/>
      <c r="D135" s="360"/>
      <c r="E135" s="361"/>
      <c r="F135" s="324"/>
      <c r="G135" s="324"/>
      <c r="H135" s="387"/>
      <c r="I135" s="387"/>
      <c r="J135" s="322"/>
      <c r="K135" s="360"/>
      <c r="L135" s="360"/>
      <c r="M135" s="360"/>
      <c r="N135" s="361"/>
      <c r="O135" s="324"/>
      <c r="P135" s="387"/>
    </row>
    <row r="136" ht="12.75" customHeight="1">
      <c r="A136" s="387"/>
      <c r="B136" s="387"/>
      <c r="C136" s="387"/>
      <c r="D136" s="387"/>
      <c r="E136" s="418"/>
      <c r="F136" s="387"/>
      <c r="G136" s="387"/>
      <c r="H136" s="387"/>
      <c r="I136" s="387"/>
      <c r="J136" s="387"/>
      <c r="K136" s="387"/>
      <c r="L136" s="387"/>
      <c r="M136" s="387"/>
      <c r="N136" s="387"/>
      <c r="O136" s="387"/>
      <c r="P136" s="387"/>
    </row>
    <row r="137" ht="12.75" customHeight="1">
      <c r="A137" s="387"/>
      <c r="B137" s="387"/>
      <c r="C137" s="387"/>
      <c r="D137" s="387"/>
      <c r="E137" s="418"/>
      <c r="F137" s="387"/>
      <c r="G137" s="387"/>
      <c r="H137" s="387"/>
      <c r="I137" s="387"/>
      <c r="J137" s="387"/>
      <c r="K137" s="387"/>
      <c r="L137" s="387"/>
      <c r="M137" s="387"/>
      <c r="N137" s="387"/>
      <c r="O137" s="387"/>
      <c r="P137" s="387"/>
    </row>
    <row r="138" ht="12.75" customHeight="1">
      <c r="A138" s="322"/>
      <c r="B138" s="322"/>
      <c r="C138" s="322"/>
      <c r="D138" s="322"/>
      <c r="E138" s="323"/>
      <c r="F138" s="324"/>
      <c r="G138" s="324"/>
      <c r="H138" s="387"/>
      <c r="I138" s="387"/>
      <c r="J138" s="322"/>
      <c r="K138" s="322"/>
      <c r="L138" s="322"/>
      <c r="M138" s="322"/>
      <c r="N138" s="323"/>
      <c r="O138" s="324"/>
      <c r="P138" s="387"/>
    </row>
    <row r="139" ht="12.75" customHeight="1">
      <c r="A139" s="322"/>
      <c r="B139" s="325"/>
      <c r="C139" s="322"/>
      <c r="D139" s="322"/>
      <c r="E139" s="323"/>
      <c r="F139" s="326"/>
      <c r="G139" s="326"/>
      <c r="H139" s="387"/>
      <c r="I139" s="387"/>
      <c r="J139" s="322"/>
      <c r="K139" s="325"/>
      <c r="L139" s="322"/>
      <c r="M139" s="322"/>
      <c r="N139" s="323"/>
      <c r="O139" s="326"/>
      <c r="P139" s="387"/>
    </row>
    <row r="140" ht="12.75" customHeight="1">
      <c r="A140" s="322"/>
      <c r="B140" s="327" t="s">
        <v>931</v>
      </c>
      <c r="C140" s="328" t="s">
        <v>1318</v>
      </c>
      <c r="D140" s="329"/>
      <c r="E140" s="323"/>
      <c r="F140" s="326"/>
      <c r="G140" s="326"/>
      <c r="H140" s="387"/>
      <c r="I140" s="387"/>
      <c r="J140" s="322"/>
      <c r="K140" s="327" t="s">
        <v>931</v>
      </c>
      <c r="L140" s="328" t="s">
        <v>1319</v>
      </c>
      <c r="M140" s="329"/>
      <c r="N140" s="323"/>
      <c r="O140" s="326"/>
      <c r="P140" s="387"/>
    </row>
    <row r="141" ht="12.75" customHeight="1">
      <c r="A141" s="322"/>
      <c r="B141" s="325"/>
      <c r="C141" s="322"/>
      <c r="D141" s="322"/>
      <c r="E141" s="323"/>
      <c r="F141" s="326"/>
      <c r="G141" s="326"/>
      <c r="H141" s="387"/>
      <c r="I141" s="387"/>
      <c r="J141" s="322"/>
      <c r="K141" s="325"/>
      <c r="L141" s="322"/>
      <c r="M141" s="322"/>
      <c r="N141" s="323"/>
      <c r="O141" s="326"/>
      <c r="P141" s="387"/>
    </row>
    <row r="142" ht="12.75" customHeight="1">
      <c r="A142" s="322"/>
      <c r="B142" s="327" t="s">
        <v>935</v>
      </c>
      <c r="C142" s="331">
        <f>E142*90000</f>
        <v>900000</v>
      </c>
      <c r="D142" s="329"/>
      <c r="E142" s="394">
        <v>10.0</v>
      </c>
      <c r="F142" s="326"/>
      <c r="G142" s="326"/>
      <c r="H142" s="387"/>
      <c r="I142" s="387"/>
      <c r="J142" s="322"/>
      <c r="K142" s="327" t="s">
        <v>935</v>
      </c>
      <c r="L142" s="440">
        <v>1250000.0</v>
      </c>
      <c r="M142" s="329"/>
      <c r="N142" s="323"/>
      <c r="O142" s="326"/>
      <c r="P142" s="387"/>
    </row>
    <row r="143" ht="12.75" customHeight="1">
      <c r="A143" s="322"/>
      <c r="B143" s="327"/>
      <c r="C143" s="332"/>
      <c r="D143" s="332"/>
      <c r="E143" s="323"/>
      <c r="F143" s="326"/>
      <c r="G143" s="326"/>
      <c r="H143" s="387"/>
      <c r="I143" s="387"/>
      <c r="J143" s="322"/>
      <c r="K143" s="327"/>
      <c r="L143" s="332"/>
      <c r="M143" s="332"/>
      <c r="N143" s="323"/>
      <c r="O143" s="326"/>
      <c r="P143" s="387"/>
    </row>
    <row r="144" ht="12.75" customHeight="1">
      <c r="A144" s="322"/>
      <c r="B144" s="327" t="s">
        <v>939</v>
      </c>
      <c r="C144" s="333" t="str">
        <f>IF(SUM(E156,E171,E179)=0,"",SUM(E156,E171,E179))</f>
        <v>#REF!</v>
      </c>
      <c r="D144" s="321"/>
      <c r="E144" s="323" t="str">
        <f>C144/90000</f>
        <v>#REF!</v>
      </c>
      <c r="F144" s="326"/>
      <c r="G144" s="326"/>
      <c r="H144" s="387"/>
      <c r="I144" s="387"/>
      <c r="J144" s="322"/>
      <c r="K144" s="327" t="s">
        <v>939</v>
      </c>
      <c r="L144" s="333" t="str">
        <f>IF(SUM(N156,N171,N179)=0,"",SUM(N156,N171,N179))</f>
        <v>#REF!</v>
      </c>
      <c r="M144" s="321"/>
      <c r="N144" s="323"/>
      <c r="O144" s="326"/>
      <c r="P144" s="387"/>
    </row>
    <row r="145" ht="12.75" customHeight="1">
      <c r="A145" s="322"/>
      <c r="B145" s="327"/>
      <c r="C145" s="334"/>
      <c r="D145" s="334"/>
      <c r="E145" s="323"/>
      <c r="F145" s="326"/>
      <c r="G145" s="326"/>
      <c r="H145" s="387"/>
      <c r="I145" s="387"/>
      <c r="J145" s="322"/>
      <c r="K145" s="327"/>
      <c r="L145" s="334"/>
      <c r="M145" s="334"/>
      <c r="N145" s="323"/>
      <c r="O145" s="326"/>
      <c r="P145" s="387"/>
    </row>
    <row r="146" ht="12.75" customHeight="1">
      <c r="A146" s="322"/>
      <c r="B146" s="327" t="s">
        <v>946</v>
      </c>
      <c r="C146" s="335" t="str">
        <f>IF(C144="","",IF(ISBLANK(C142),"",C144/C142))</f>
        <v>#REF!</v>
      </c>
      <c r="D146" s="321"/>
      <c r="E146" s="323"/>
      <c r="F146" s="326"/>
      <c r="G146" s="326"/>
      <c r="H146" s="387"/>
      <c r="I146" s="387"/>
      <c r="J146" s="322"/>
      <c r="K146" s="327" t="s">
        <v>946</v>
      </c>
      <c r="L146" s="335" t="str">
        <f>IF(L144="","",IF(ISBLANK(L142),"",L144/L142))</f>
        <v>#REF!</v>
      </c>
      <c r="M146" s="321"/>
      <c r="N146" s="323"/>
      <c r="O146" s="326"/>
      <c r="P146" s="387"/>
    </row>
    <row r="147" ht="12.75" customHeight="1">
      <c r="A147" s="322"/>
      <c r="B147" s="327"/>
      <c r="C147" s="334"/>
      <c r="D147" s="334"/>
      <c r="E147" s="323"/>
      <c r="F147" s="326"/>
      <c r="G147" s="326"/>
      <c r="H147" s="387"/>
      <c r="I147" s="387"/>
      <c r="J147" s="322"/>
      <c r="K147" s="327"/>
      <c r="L147" s="334"/>
      <c r="M147" s="334"/>
      <c r="N147" s="323"/>
      <c r="O147" s="326"/>
      <c r="P147" s="387"/>
    </row>
    <row r="148" ht="12.75" customHeight="1">
      <c r="A148" s="322"/>
      <c r="B148" s="327" t="s">
        <v>950</v>
      </c>
      <c r="C148" s="333" t="str">
        <f>C142-C144</f>
        <v>#REF!</v>
      </c>
      <c r="D148" s="321"/>
      <c r="E148" s="323"/>
      <c r="F148" s="326"/>
      <c r="G148" s="326"/>
      <c r="H148" s="387"/>
      <c r="I148" s="387"/>
      <c r="J148" s="322"/>
      <c r="K148" s="327" t="s">
        <v>950</v>
      </c>
      <c r="L148" s="333" t="str">
        <f>L142-L144</f>
        <v>#REF!</v>
      </c>
      <c r="M148" s="321"/>
      <c r="N148" s="323"/>
      <c r="O148" s="326"/>
      <c r="P148" s="387"/>
    </row>
    <row r="149" ht="12.75" customHeight="1">
      <c r="A149" s="322"/>
      <c r="B149" s="322"/>
      <c r="C149" s="322"/>
      <c r="D149" s="322"/>
      <c r="E149" s="323"/>
      <c r="F149" s="324"/>
      <c r="G149" s="324"/>
      <c r="H149" s="387"/>
      <c r="I149" s="387"/>
      <c r="J149" s="322"/>
      <c r="K149" s="322"/>
      <c r="L149" s="322"/>
      <c r="M149" s="322"/>
      <c r="N149" s="323"/>
      <c r="O149" s="324"/>
      <c r="P149" s="387"/>
    </row>
    <row r="150" ht="12.75" customHeight="1">
      <c r="A150" s="322"/>
      <c r="B150" s="322"/>
      <c r="C150" s="322"/>
      <c r="D150" s="322"/>
      <c r="E150" s="337"/>
      <c r="F150" s="324"/>
      <c r="G150" s="324"/>
      <c r="H150" s="387"/>
      <c r="I150" s="387"/>
      <c r="J150" s="322"/>
      <c r="K150" s="322"/>
      <c r="L150" s="322"/>
      <c r="M150" s="322"/>
      <c r="N150" s="337"/>
      <c r="O150" s="324"/>
      <c r="P150" s="387"/>
    </row>
    <row r="151" ht="12.75" customHeight="1">
      <c r="A151" s="322"/>
      <c r="B151" s="338" t="s">
        <v>951</v>
      </c>
      <c r="C151" s="339"/>
      <c r="D151" s="339"/>
      <c r="E151" s="339"/>
      <c r="F151" s="324"/>
      <c r="G151" s="324"/>
      <c r="H151" s="387"/>
      <c r="I151" s="387"/>
      <c r="J151" s="322"/>
      <c r="K151" s="338" t="s">
        <v>951</v>
      </c>
      <c r="L151" s="339"/>
      <c r="M151" s="339"/>
      <c r="N151" s="339"/>
      <c r="O151" s="324"/>
      <c r="P151" s="387"/>
    </row>
    <row r="152" ht="12.75" customHeight="1">
      <c r="A152" s="322"/>
      <c r="B152" s="340" t="s">
        <v>953</v>
      </c>
      <c r="C152" s="341" t="s">
        <v>954</v>
      </c>
      <c r="D152" s="341" t="s">
        <v>955</v>
      </c>
      <c r="E152" s="341" t="s">
        <v>35</v>
      </c>
      <c r="F152" s="324"/>
      <c r="G152" s="324"/>
      <c r="H152" s="387"/>
      <c r="I152" s="387"/>
      <c r="J152" s="322"/>
      <c r="K152" s="340" t="s">
        <v>953</v>
      </c>
      <c r="L152" s="341" t="s">
        <v>954</v>
      </c>
      <c r="M152" s="341" t="s">
        <v>955</v>
      </c>
      <c r="N152" s="341" t="s">
        <v>35</v>
      </c>
      <c r="O152" s="324"/>
      <c r="P152" s="387"/>
    </row>
    <row r="153" ht="12.75" customHeight="1">
      <c r="A153" s="322"/>
      <c r="B153" s="139" t="s">
        <v>1325</v>
      </c>
      <c r="C153" s="344">
        <v>0.166</v>
      </c>
      <c r="D153" s="343">
        <f>D108</f>
        <v>787.5</v>
      </c>
      <c r="E153" s="67">
        <f t="shared" ref="E153:E155" si="13">IF(OR(ISBLANK(C153),ISBLANK(D153)),"",D153*C153)</f>
        <v>130.725</v>
      </c>
      <c r="F153" s="324"/>
      <c r="G153" s="324"/>
      <c r="H153" s="387"/>
      <c r="I153" s="387"/>
      <c r="J153" s="322"/>
      <c r="K153" s="139" t="s">
        <v>1325</v>
      </c>
      <c r="L153" s="344">
        <v>0.166</v>
      </c>
      <c r="M153" s="343">
        <f>M108</f>
        <v>787.5</v>
      </c>
      <c r="N153" s="67">
        <f t="shared" ref="N153:N155" si="14">IF(OR(ISBLANK(L153),ISBLANK(M153)),"",M153*L153)</f>
        <v>130.725</v>
      </c>
      <c r="O153" s="324"/>
      <c r="P153" s="387"/>
    </row>
    <row r="154" ht="12.75" customHeight="1">
      <c r="A154" s="322"/>
      <c r="B154" s="75" t="s">
        <v>718</v>
      </c>
      <c r="C154" s="405">
        <v>0.1</v>
      </c>
      <c r="D154" s="371">
        <f>SAUCES!D172</f>
        <v>65027.16346</v>
      </c>
      <c r="E154" s="67">
        <f t="shared" si="13"/>
        <v>6502.716346</v>
      </c>
      <c r="F154" s="324"/>
      <c r="G154" s="324"/>
      <c r="H154" s="387"/>
      <c r="I154" s="387"/>
      <c r="J154" s="322"/>
      <c r="K154" s="75" t="s">
        <v>718</v>
      </c>
      <c r="L154" s="405">
        <v>0.1</v>
      </c>
      <c r="M154" s="371">
        <f>D154</f>
        <v>65027.16346</v>
      </c>
      <c r="N154" s="67">
        <f t="shared" si="14"/>
        <v>6502.716346</v>
      </c>
      <c r="O154" s="324"/>
      <c r="P154" s="387"/>
    </row>
    <row r="155" ht="12.75" customHeight="1">
      <c r="A155" s="322"/>
      <c r="B155" s="87" t="s">
        <v>703</v>
      </c>
      <c r="C155" s="407">
        <v>0.2</v>
      </c>
      <c r="D155" s="408"/>
      <c r="E155" s="67" t="str">
        <f t="shared" si="13"/>
        <v/>
      </c>
      <c r="F155" s="324"/>
      <c r="G155" s="324"/>
      <c r="H155" s="387"/>
      <c r="I155" s="387"/>
      <c r="J155" s="322"/>
      <c r="K155" s="87" t="s">
        <v>703</v>
      </c>
      <c r="L155" s="407">
        <v>0.2</v>
      </c>
      <c r="M155" s="408">
        <f>D65</f>
        <v>81000</v>
      </c>
      <c r="N155" s="67">
        <f t="shared" si="14"/>
        <v>16200</v>
      </c>
      <c r="O155" s="324"/>
      <c r="P155" s="387"/>
    </row>
    <row r="156" ht="12.75" customHeight="1">
      <c r="A156" s="322"/>
      <c r="B156" s="338" t="s">
        <v>84</v>
      </c>
      <c r="C156" s="358"/>
      <c r="D156" s="358"/>
      <c r="E156" s="359">
        <f>IF(SUM(E153:E155)=0,"",SUM(E153:E155))</f>
        <v>6633.441346</v>
      </c>
      <c r="F156" s="324"/>
      <c r="G156" s="324"/>
      <c r="H156" s="387"/>
      <c r="I156" s="387"/>
      <c r="J156" s="322"/>
      <c r="K156" s="338" t="s">
        <v>84</v>
      </c>
      <c r="L156" s="358"/>
      <c r="M156" s="358"/>
      <c r="N156" s="359">
        <f>IF(SUM(N153:N155)=0,"",SUM(N153:N155))</f>
        <v>22833.44135</v>
      </c>
      <c r="O156" s="324"/>
      <c r="P156" s="387"/>
    </row>
    <row r="157" ht="12.75" customHeight="1">
      <c r="A157" s="322"/>
      <c r="B157" s="360"/>
      <c r="C157" s="360"/>
      <c r="D157" s="360"/>
      <c r="E157" s="361"/>
      <c r="F157" s="324"/>
      <c r="G157" s="324"/>
      <c r="H157" s="387"/>
      <c r="I157" s="387"/>
      <c r="J157" s="322"/>
      <c r="K157" s="360"/>
      <c r="L157" s="360"/>
      <c r="M157" s="360"/>
      <c r="N157" s="361"/>
      <c r="O157" s="324"/>
      <c r="P157" s="387"/>
    </row>
    <row r="158" ht="12.75" customHeight="1">
      <c r="A158" s="322"/>
      <c r="B158" s="362" t="s">
        <v>972</v>
      </c>
      <c r="C158" s="363"/>
      <c r="D158" s="363"/>
      <c r="E158" s="363"/>
      <c r="F158" s="324"/>
      <c r="G158" s="324"/>
      <c r="H158" s="387"/>
      <c r="I158" s="387"/>
      <c r="J158" s="322"/>
      <c r="K158" s="362" t="s">
        <v>972</v>
      </c>
      <c r="L158" s="363"/>
      <c r="M158" s="363"/>
      <c r="N158" s="363"/>
      <c r="O158" s="324"/>
      <c r="P158" s="387"/>
    </row>
    <row r="159" ht="12.75" customHeight="1">
      <c r="A159" s="322"/>
      <c r="B159" s="365" t="s">
        <v>953</v>
      </c>
      <c r="C159" s="366" t="s">
        <v>3</v>
      </c>
      <c r="D159" s="366" t="s">
        <v>975</v>
      </c>
      <c r="E159" s="367" t="s">
        <v>35</v>
      </c>
      <c r="F159" s="324"/>
      <c r="G159" s="324"/>
      <c r="H159" s="387"/>
      <c r="I159" s="387"/>
      <c r="J159" s="322"/>
      <c r="K159" s="365" t="s">
        <v>953</v>
      </c>
      <c r="L159" s="366" t="s">
        <v>3</v>
      </c>
      <c r="M159" s="366" t="s">
        <v>975</v>
      </c>
      <c r="N159" s="367" t="s">
        <v>35</v>
      </c>
      <c r="O159" s="324"/>
      <c r="P159" s="387"/>
    </row>
    <row r="160" ht="12.75" customHeight="1">
      <c r="A160" s="322"/>
      <c r="B160" s="368"/>
      <c r="C160" s="366"/>
      <c r="D160" s="366"/>
      <c r="E160" s="368"/>
      <c r="F160" s="324"/>
      <c r="G160" s="324"/>
      <c r="H160" s="387"/>
      <c r="I160" s="387"/>
      <c r="J160" s="322"/>
      <c r="K160" s="368"/>
      <c r="L160" s="366"/>
      <c r="M160" s="366"/>
      <c r="N160" s="368"/>
      <c r="O160" s="324"/>
      <c r="P160" s="387"/>
    </row>
    <row r="161" ht="12.75" customHeight="1">
      <c r="A161" s="322"/>
      <c r="B161" s="60" t="s">
        <v>1033</v>
      </c>
      <c r="C161" s="344">
        <v>0.05</v>
      </c>
      <c r="D161" s="343">
        <f>'F&amp;B'!$F$278</f>
        <v>103500</v>
      </c>
      <c r="E161" s="67">
        <f t="shared" ref="E161:E170" si="15">D161*C161</f>
        <v>5175</v>
      </c>
      <c r="F161" s="324"/>
      <c r="G161" s="324"/>
      <c r="H161" s="387"/>
      <c r="I161" s="387"/>
      <c r="J161" s="322"/>
      <c r="K161" s="60" t="s">
        <v>1033</v>
      </c>
      <c r="L161" s="344">
        <v>0.05</v>
      </c>
      <c r="M161" s="343">
        <f>'F&amp;B'!$F$278</f>
        <v>103500</v>
      </c>
      <c r="N161" s="67">
        <f t="shared" ref="N161:N170" si="16">M161*L161</f>
        <v>5175</v>
      </c>
      <c r="O161" s="324"/>
      <c r="P161" s="387"/>
    </row>
    <row r="162" ht="12.75" customHeight="1">
      <c r="A162" s="322"/>
      <c r="B162" s="75" t="s">
        <v>60</v>
      </c>
      <c r="C162" s="370">
        <v>0.03</v>
      </c>
      <c r="D162" s="371">
        <f>SALADS!$D$19</f>
        <v>148500</v>
      </c>
      <c r="E162" s="67">
        <f t="shared" si="15"/>
        <v>4455</v>
      </c>
      <c r="F162" s="324"/>
      <c r="G162" s="324"/>
      <c r="H162" s="387"/>
      <c r="I162" s="387"/>
      <c r="J162" s="322"/>
      <c r="K162" s="75" t="s">
        <v>60</v>
      </c>
      <c r="L162" s="370">
        <v>0.03</v>
      </c>
      <c r="M162" s="371">
        <f>SALADS!$D$19</f>
        <v>148500</v>
      </c>
      <c r="N162" s="67">
        <f t="shared" si="16"/>
        <v>4455</v>
      </c>
      <c r="O162" s="324"/>
      <c r="P162" s="387"/>
    </row>
    <row r="163" ht="12.75" customHeight="1">
      <c r="A163" s="322"/>
      <c r="B163" s="75"/>
      <c r="C163" s="370"/>
      <c r="D163" s="371"/>
      <c r="E163" s="67">
        <f t="shared" si="15"/>
        <v>0</v>
      </c>
      <c r="F163" s="324"/>
      <c r="G163" s="324"/>
      <c r="H163" s="387"/>
      <c r="I163" s="387"/>
      <c r="J163" s="322"/>
      <c r="K163" s="75"/>
      <c r="L163" s="370"/>
      <c r="M163" s="371"/>
      <c r="N163" s="67">
        <f t="shared" si="16"/>
        <v>0</v>
      </c>
      <c r="O163" s="324"/>
      <c r="P163" s="387"/>
    </row>
    <row r="164" ht="12.75" customHeight="1">
      <c r="A164" s="322"/>
      <c r="B164" s="75"/>
      <c r="C164" s="346"/>
      <c r="D164" s="371"/>
      <c r="E164" s="67">
        <f t="shared" si="15"/>
        <v>0</v>
      </c>
      <c r="F164" s="324"/>
      <c r="G164" s="324"/>
      <c r="H164" s="387"/>
      <c r="I164" s="387"/>
      <c r="J164" s="322"/>
      <c r="K164" s="75"/>
      <c r="L164" s="370"/>
      <c r="M164" s="371"/>
      <c r="N164" s="67">
        <f t="shared" si="16"/>
        <v>0</v>
      </c>
      <c r="O164" s="324"/>
      <c r="P164" s="387"/>
    </row>
    <row r="165" ht="12.75" customHeight="1">
      <c r="A165" s="322"/>
      <c r="B165" s="75"/>
      <c r="C165" s="346"/>
      <c r="D165" s="371"/>
      <c r="E165" s="67">
        <f t="shared" si="15"/>
        <v>0</v>
      </c>
      <c r="F165" s="324"/>
      <c r="G165" s="324"/>
      <c r="H165" s="387"/>
      <c r="I165" s="387"/>
      <c r="J165" s="322"/>
      <c r="K165" s="75"/>
      <c r="L165" s="346"/>
      <c r="M165" s="371"/>
      <c r="N165" s="67">
        <f t="shared" si="16"/>
        <v>0</v>
      </c>
      <c r="O165" s="324"/>
      <c r="P165" s="387"/>
    </row>
    <row r="166" ht="12.75" customHeight="1">
      <c r="A166" s="322"/>
      <c r="B166" s="75"/>
      <c r="C166" s="346"/>
      <c r="D166" s="373"/>
      <c r="E166" s="67">
        <f t="shared" si="15"/>
        <v>0</v>
      </c>
      <c r="F166" s="324"/>
      <c r="G166" s="324"/>
      <c r="H166" s="387"/>
      <c r="I166" s="387"/>
      <c r="J166" s="322"/>
      <c r="K166" s="75"/>
      <c r="L166" s="346"/>
      <c r="M166" s="373"/>
      <c r="N166" s="67">
        <f t="shared" si="16"/>
        <v>0</v>
      </c>
      <c r="O166" s="324"/>
      <c r="P166" s="387"/>
    </row>
    <row r="167" ht="12.75" customHeight="1">
      <c r="A167" s="322"/>
      <c r="B167" s="348"/>
      <c r="C167" s="346"/>
      <c r="D167" s="373"/>
      <c r="E167" s="67">
        <f t="shared" si="15"/>
        <v>0</v>
      </c>
      <c r="F167" s="324"/>
      <c r="G167" s="324"/>
      <c r="H167" s="387"/>
      <c r="I167" s="387"/>
      <c r="J167" s="322"/>
      <c r="K167" s="348"/>
      <c r="L167" s="346"/>
      <c r="M167" s="373"/>
      <c r="N167" s="67">
        <f t="shared" si="16"/>
        <v>0</v>
      </c>
      <c r="O167" s="324"/>
      <c r="P167" s="387"/>
    </row>
    <row r="168" ht="12.75" customHeight="1">
      <c r="A168" s="322"/>
      <c r="B168" s="348"/>
      <c r="C168" s="346"/>
      <c r="D168" s="373"/>
      <c r="E168" s="67">
        <f t="shared" si="15"/>
        <v>0</v>
      </c>
      <c r="F168" s="324"/>
      <c r="G168" s="324"/>
      <c r="H168" s="387"/>
      <c r="I168" s="387"/>
      <c r="J168" s="322"/>
      <c r="K168" s="348"/>
      <c r="L168" s="346"/>
      <c r="M168" s="373"/>
      <c r="N168" s="67">
        <f t="shared" si="16"/>
        <v>0</v>
      </c>
      <c r="O168" s="324"/>
      <c r="P168" s="387"/>
    </row>
    <row r="169" ht="12.75" customHeight="1">
      <c r="A169" s="322"/>
      <c r="B169" s="348"/>
      <c r="C169" s="346"/>
      <c r="D169" s="373"/>
      <c r="E169" s="67">
        <f t="shared" si="15"/>
        <v>0</v>
      </c>
      <c r="F169" s="324"/>
      <c r="G169" s="324"/>
      <c r="H169" s="387"/>
      <c r="I169" s="387"/>
      <c r="J169" s="322"/>
      <c r="K169" s="348"/>
      <c r="L169" s="346"/>
      <c r="M169" s="373"/>
      <c r="N169" s="67">
        <f t="shared" si="16"/>
        <v>0</v>
      </c>
      <c r="O169" s="324"/>
      <c r="P169" s="387"/>
    </row>
    <row r="170" ht="12.75" customHeight="1">
      <c r="A170" s="322"/>
      <c r="B170" s="354"/>
      <c r="C170" s="355"/>
      <c r="D170" s="356"/>
      <c r="E170" s="67">
        <f t="shared" si="15"/>
        <v>0</v>
      </c>
      <c r="F170" s="324"/>
      <c r="G170" s="324"/>
      <c r="H170" s="387"/>
      <c r="I170" s="387"/>
      <c r="J170" s="322"/>
      <c r="K170" s="354"/>
      <c r="L170" s="355"/>
      <c r="M170" s="356"/>
      <c r="N170" s="67">
        <f t="shared" si="16"/>
        <v>0</v>
      </c>
      <c r="O170" s="324"/>
      <c r="P170" s="387"/>
    </row>
    <row r="171" ht="12.75" customHeight="1">
      <c r="A171" s="322"/>
      <c r="B171" s="362" t="s">
        <v>84</v>
      </c>
      <c r="C171" s="374"/>
      <c r="D171" s="374"/>
      <c r="E171" s="375">
        <f>IF(SUM(E161:E170)=0,"",SUM(E161:E170))</f>
        <v>9630</v>
      </c>
      <c r="F171" s="324"/>
      <c r="G171" s="324"/>
      <c r="H171" s="387"/>
      <c r="I171" s="387"/>
      <c r="J171" s="322"/>
      <c r="K171" s="362" t="s">
        <v>84</v>
      </c>
      <c r="L171" s="374"/>
      <c r="M171" s="374"/>
      <c r="N171" s="375">
        <f>IF(SUM(N161:N170)=0,"",SUM(N161:N170))</f>
        <v>9630</v>
      </c>
      <c r="O171" s="324"/>
      <c r="P171" s="387"/>
    </row>
    <row r="172" ht="12.75" customHeight="1">
      <c r="A172" s="322"/>
      <c r="B172" s="360"/>
      <c r="C172" s="360"/>
      <c r="D172" s="360"/>
      <c r="E172" s="361"/>
      <c r="F172" s="324"/>
      <c r="G172" s="324"/>
      <c r="H172" s="387"/>
      <c r="I172" s="387"/>
      <c r="J172" s="322"/>
      <c r="K172" s="360"/>
      <c r="L172" s="360"/>
      <c r="M172" s="360"/>
      <c r="N172" s="361"/>
      <c r="O172" s="324"/>
      <c r="P172" s="387"/>
    </row>
    <row r="173" ht="12.75" customHeight="1">
      <c r="A173" s="322"/>
      <c r="B173" s="34" t="s">
        <v>17</v>
      </c>
      <c r="C173" s="35"/>
      <c r="D173" s="35"/>
      <c r="E173" s="35"/>
      <c r="F173" s="324"/>
      <c r="G173" s="324"/>
      <c r="H173" s="387"/>
      <c r="I173" s="387"/>
      <c r="J173" s="322"/>
      <c r="K173" s="34" t="s">
        <v>17</v>
      </c>
      <c r="L173" s="35"/>
      <c r="M173" s="35"/>
      <c r="N173" s="35"/>
      <c r="O173" s="324"/>
      <c r="P173" s="387"/>
    </row>
    <row r="174" ht="12.75" customHeight="1">
      <c r="A174" s="322"/>
      <c r="B174" s="52" t="s">
        <v>42</v>
      </c>
      <c r="C174" s="54"/>
      <c r="D174" s="54"/>
      <c r="E174" s="56" t="s">
        <v>35</v>
      </c>
      <c r="F174" s="324"/>
      <c r="G174" s="324"/>
      <c r="H174" s="387"/>
      <c r="I174" s="387"/>
      <c r="J174" s="322"/>
      <c r="K174" s="52" t="s">
        <v>42</v>
      </c>
      <c r="L174" s="54"/>
      <c r="M174" s="54"/>
      <c r="N174" s="56" t="s">
        <v>35</v>
      </c>
      <c r="O174" s="324"/>
      <c r="P174" s="387"/>
    </row>
    <row r="175" ht="12.75" customHeight="1">
      <c r="A175" s="322"/>
      <c r="B175" s="60" t="s">
        <v>40</v>
      </c>
      <c r="C175" s="343">
        <f>'UTL COST'!$B$3</f>
        <v>369000</v>
      </c>
      <c r="D175" s="379">
        <f>'UTL COST'!$C$3</f>
        <v>0.0075</v>
      </c>
      <c r="E175" s="67">
        <v>0.0</v>
      </c>
      <c r="F175" s="324"/>
      <c r="G175" s="324"/>
      <c r="H175" s="387"/>
      <c r="I175" s="387"/>
      <c r="J175" s="322"/>
      <c r="K175" s="60" t="s">
        <v>40</v>
      </c>
      <c r="L175" s="343">
        <f>'UTL COST'!$B$3</f>
        <v>369000</v>
      </c>
      <c r="M175" s="379">
        <f>'UTL COST'!$C$3</f>
        <v>0.0075</v>
      </c>
      <c r="N175" s="67">
        <v>0.0</v>
      </c>
      <c r="O175" s="324"/>
      <c r="P175" s="387"/>
    </row>
    <row r="176" ht="12.75" customHeight="1">
      <c r="A176" s="322"/>
      <c r="B176" s="75" t="s">
        <v>51</v>
      </c>
      <c r="C176" s="371" t="str">
        <f>'UTL COST'!$B$4</f>
        <v>#REF!</v>
      </c>
      <c r="D176" s="382">
        <f>'UTL COST'!$C$4</f>
        <v>7000</v>
      </c>
      <c r="E176" s="76" t="str">
        <f>'UTL COST'!$D$4</f>
        <v>#REF!</v>
      </c>
      <c r="F176" s="324"/>
      <c r="G176" s="324"/>
      <c r="H176" s="387"/>
      <c r="I176" s="387"/>
      <c r="J176" s="322"/>
      <c r="K176" s="75" t="s">
        <v>51</v>
      </c>
      <c r="L176" s="371" t="str">
        <f>'UTL COST'!$B$4</f>
        <v>#REF!</v>
      </c>
      <c r="M176" s="382">
        <f>'UTL COST'!$C$4</f>
        <v>7000</v>
      </c>
      <c r="N176" s="76" t="str">
        <f>'UTL COST'!$D$4</f>
        <v>#REF!</v>
      </c>
      <c r="O176" s="324"/>
      <c r="P176" s="387"/>
    </row>
    <row r="177" ht="12.75" customHeight="1">
      <c r="A177" s="322"/>
      <c r="B177" s="75" t="s">
        <v>59</v>
      </c>
      <c r="C177" s="371" t="str">
        <f>'UTL COST'!$B$5</f>
        <v>#REF!</v>
      </c>
      <c r="D177" s="382">
        <f>'UTL COST'!$C$5</f>
        <v>45000</v>
      </c>
      <c r="E177" s="76" t="str">
        <f>'UTL COST'!$D$5</f>
        <v>#REF!</v>
      </c>
      <c r="F177" s="324"/>
      <c r="G177" s="324"/>
      <c r="H177" s="387"/>
      <c r="I177" s="387"/>
      <c r="J177" s="322"/>
      <c r="K177" s="75" t="s">
        <v>59</v>
      </c>
      <c r="L177" s="371" t="str">
        <f>'UTL COST'!$B$5</f>
        <v>#REF!</v>
      </c>
      <c r="M177" s="382">
        <f>'UTL COST'!$C$5</f>
        <v>45000</v>
      </c>
      <c r="N177" s="76" t="str">
        <f>'UTL COST'!$D$5</f>
        <v>#REF!</v>
      </c>
      <c r="O177" s="324"/>
      <c r="P177" s="387"/>
    </row>
    <row r="178" ht="12.75" customHeight="1">
      <c r="A178" s="322"/>
      <c r="B178" s="87" t="s">
        <v>78</v>
      </c>
      <c r="C178" s="371" t="str">
        <f>'UTL COST'!$B$6</f>
        <v>#REF!</v>
      </c>
      <c r="D178" s="383">
        <f>'UTL COST'!$C$6</f>
        <v>525</v>
      </c>
      <c r="E178" s="89">
        <v>0.1</v>
      </c>
      <c r="F178" s="324"/>
      <c r="G178" s="324"/>
      <c r="H178" s="387"/>
      <c r="I178" s="387"/>
      <c r="J178" s="322"/>
      <c r="K178" s="87" t="s">
        <v>78</v>
      </c>
      <c r="L178" s="371" t="str">
        <f>'UTL COST'!$B$6</f>
        <v>#REF!</v>
      </c>
      <c r="M178" s="383">
        <f>'UTL COST'!$C$6</f>
        <v>525</v>
      </c>
      <c r="N178" s="89">
        <v>0.1</v>
      </c>
      <c r="O178" s="324"/>
      <c r="P178" s="387"/>
    </row>
    <row r="179" ht="12.75" customHeight="1">
      <c r="A179" s="322"/>
      <c r="B179" s="34" t="s">
        <v>84</v>
      </c>
      <c r="C179" s="102"/>
      <c r="D179" s="102"/>
      <c r="E179" s="104" t="str">
        <f>IF(SUM(E175:E178)=0,"",SUM(E175:E178))</f>
        <v>#REF!</v>
      </c>
      <c r="F179" s="324"/>
      <c r="G179" s="324"/>
      <c r="H179" s="387"/>
      <c r="I179" s="387"/>
      <c r="J179" s="322"/>
      <c r="K179" s="34" t="s">
        <v>84</v>
      </c>
      <c r="L179" s="102"/>
      <c r="M179" s="102"/>
      <c r="N179" s="104" t="str">
        <f>IF(SUM(N175:N178)=0,"",SUM(N175:N178))</f>
        <v>#REF!</v>
      </c>
      <c r="O179" s="324"/>
      <c r="P179" s="387"/>
    </row>
    <row r="180" ht="12.75" customHeight="1">
      <c r="A180" s="322"/>
      <c r="B180" s="360"/>
      <c r="C180" s="360"/>
      <c r="D180" s="360"/>
      <c r="E180" s="361"/>
      <c r="F180" s="324"/>
      <c r="G180" s="324"/>
      <c r="H180" s="387"/>
      <c r="I180" s="387"/>
      <c r="J180" s="322"/>
      <c r="K180" s="360"/>
      <c r="L180" s="360"/>
      <c r="M180" s="360"/>
      <c r="N180" s="361"/>
      <c r="O180" s="324"/>
      <c r="P180" s="387"/>
    </row>
    <row r="181" ht="15.75" customHeight="1">
      <c r="P181" s="387"/>
    </row>
    <row r="182" ht="15.75" customHeight="1">
      <c r="P182" s="387"/>
    </row>
    <row r="183" ht="15.75" customHeight="1">
      <c r="A183" s="444"/>
      <c r="B183" s="444"/>
      <c r="C183" s="444"/>
      <c r="D183" s="444"/>
      <c r="E183" s="445"/>
      <c r="F183" s="446"/>
      <c r="G183" s="324"/>
      <c r="J183" s="444"/>
      <c r="K183" s="444"/>
      <c r="L183" s="444"/>
      <c r="M183" s="444"/>
      <c r="N183" s="445"/>
      <c r="O183" s="446"/>
      <c r="P183" s="387"/>
    </row>
    <row r="184" ht="15.75" customHeight="1">
      <c r="A184" s="322"/>
      <c r="B184" s="325"/>
      <c r="C184" s="322"/>
      <c r="D184" s="322"/>
      <c r="E184" s="323"/>
      <c r="F184" s="326"/>
      <c r="G184" s="326"/>
      <c r="J184" s="322"/>
      <c r="K184" s="325"/>
      <c r="L184" s="322"/>
      <c r="M184" s="322"/>
      <c r="N184" s="323"/>
      <c r="O184" s="326"/>
      <c r="P184" s="387"/>
    </row>
    <row r="185" ht="15.75" customHeight="1">
      <c r="A185" s="322"/>
      <c r="B185" s="327" t="s">
        <v>931</v>
      </c>
      <c r="C185" s="330" t="s">
        <v>1329</v>
      </c>
      <c r="D185" s="329"/>
      <c r="E185" s="323"/>
      <c r="F185" s="326"/>
      <c r="G185" s="326"/>
      <c r="J185" s="322"/>
      <c r="K185" s="327" t="s">
        <v>931</v>
      </c>
      <c r="L185" s="330" t="s">
        <v>1330</v>
      </c>
      <c r="M185" s="329"/>
      <c r="N185" s="323"/>
      <c r="O185" s="326"/>
      <c r="P185" s="387"/>
    </row>
    <row r="186" ht="15.75" customHeight="1">
      <c r="A186" s="322"/>
      <c r="B186" s="325"/>
      <c r="C186" s="322"/>
      <c r="D186" s="322"/>
      <c r="E186" s="323"/>
      <c r="F186" s="326"/>
      <c r="G186" s="326"/>
      <c r="J186" s="322"/>
      <c r="K186" s="325"/>
      <c r="L186" s="322"/>
      <c r="M186" s="322"/>
      <c r="N186" s="323"/>
      <c r="O186" s="326"/>
      <c r="P186" s="387"/>
    </row>
    <row r="187" ht="15.75" customHeight="1">
      <c r="A187" s="322"/>
      <c r="B187" s="327" t="s">
        <v>935</v>
      </c>
      <c r="C187" s="440">
        <v>1200000.0</v>
      </c>
      <c r="D187" s="329"/>
      <c r="E187" s="394">
        <v>14.0</v>
      </c>
      <c r="F187" s="326"/>
      <c r="G187" s="326"/>
      <c r="J187" s="322"/>
      <c r="K187" s="327" t="s">
        <v>935</v>
      </c>
      <c r="L187" s="440">
        <v>1200000.0</v>
      </c>
      <c r="M187" s="329"/>
      <c r="N187" s="394">
        <v>14.0</v>
      </c>
      <c r="O187" s="326"/>
      <c r="P187" s="387"/>
    </row>
    <row r="188" ht="15.75" customHeight="1">
      <c r="A188" s="322"/>
      <c r="B188" s="327"/>
      <c r="C188" s="332"/>
      <c r="D188" s="332"/>
      <c r="E188" s="323"/>
      <c r="F188" s="326"/>
      <c r="G188" s="326"/>
      <c r="J188" s="322"/>
      <c r="K188" s="327"/>
      <c r="L188" s="332"/>
      <c r="M188" s="332"/>
      <c r="N188" s="323"/>
      <c r="O188" s="326"/>
      <c r="P188" s="387"/>
    </row>
    <row r="189" ht="15.75" customHeight="1">
      <c r="A189" s="322"/>
      <c r="B189" s="327" t="s">
        <v>939</v>
      </c>
      <c r="C189" s="333" t="str">
        <f>IF(SUM(E201,E216,E224)=0,"",SUM(E201,E216,E224))</f>
        <v>#REF!</v>
      </c>
      <c r="D189" s="321"/>
      <c r="E189" s="323" t="str">
        <f>C189/90000</f>
        <v>#REF!</v>
      </c>
      <c r="F189" s="326"/>
      <c r="G189" s="326"/>
      <c r="J189" s="322"/>
      <c r="K189" s="327" t="s">
        <v>939</v>
      </c>
      <c r="L189" s="333" t="str">
        <f>IF(SUM(N201,N216,N224)=0,"",SUM(N201,N216,N224))</f>
        <v>#REF!</v>
      </c>
      <c r="M189" s="321"/>
      <c r="N189" s="323" t="str">
        <f>L189/90000</f>
        <v>#REF!</v>
      </c>
      <c r="O189" s="326"/>
      <c r="P189" s="387"/>
    </row>
    <row r="190" ht="15.75" customHeight="1">
      <c r="A190" s="322"/>
      <c r="B190" s="327"/>
      <c r="C190" s="334"/>
      <c r="D190" s="334"/>
      <c r="E190" s="323"/>
      <c r="F190" s="326"/>
      <c r="G190" s="326"/>
      <c r="J190" s="322"/>
      <c r="K190" s="327"/>
      <c r="L190" s="334"/>
      <c r="M190" s="334"/>
      <c r="N190" s="323"/>
      <c r="O190" s="326"/>
      <c r="P190" s="387"/>
    </row>
    <row r="191" ht="15.75" customHeight="1">
      <c r="A191" s="322"/>
      <c r="B191" s="327" t="s">
        <v>946</v>
      </c>
      <c r="C191" s="335" t="str">
        <f>IF(C189="","",IF(ISBLANK(C187),"",C189/C187))</f>
        <v>#REF!</v>
      </c>
      <c r="D191" s="321"/>
      <c r="E191" s="323"/>
      <c r="F191" s="326"/>
      <c r="G191" s="326"/>
      <c r="J191" s="322"/>
      <c r="K191" s="327" t="s">
        <v>946</v>
      </c>
      <c r="L191" s="335" t="str">
        <f>IF(L189="","",IF(ISBLANK(L187),"",L189/L187))</f>
        <v>#REF!</v>
      </c>
      <c r="M191" s="321"/>
      <c r="N191" s="323"/>
      <c r="O191" s="326"/>
      <c r="P191" s="387"/>
    </row>
    <row r="192" ht="15.75" customHeight="1">
      <c r="A192" s="322"/>
      <c r="B192" s="327"/>
      <c r="C192" s="334"/>
      <c r="D192" s="334"/>
      <c r="E192" s="323"/>
      <c r="F192" s="326"/>
      <c r="G192" s="326"/>
      <c r="J192" s="322"/>
      <c r="K192" s="327"/>
      <c r="L192" s="334"/>
      <c r="M192" s="334"/>
      <c r="N192" s="323"/>
      <c r="O192" s="326"/>
      <c r="P192" s="387"/>
    </row>
    <row r="193" ht="15.75" customHeight="1">
      <c r="A193" s="322"/>
      <c r="B193" s="327" t="s">
        <v>950</v>
      </c>
      <c r="C193" s="333" t="str">
        <f>C187-C189</f>
        <v>#REF!</v>
      </c>
      <c r="D193" s="321"/>
      <c r="E193" s="323"/>
      <c r="F193" s="326"/>
      <c r="G193" s="326"/>
      <c r="J193" s="322"/>
      <c r="K193" s="327" t="s">
        <v>950</v>
      </c>
      <c r="L193" s="333" t="str">
        <f>L187-L189</f>
        <v>#REF!</v>
      </c>
      <c r="M193" s="321"/>
      <c r="N193" s="323"/>
      <c r="O193" s="326"/>
      <c r="P193" s="387"/>
    </row>
    <row r="194" ht="15.75" customHeight="1">
      <c r="A194" s="322"/>
      <c r="B194" s="322"/>
      <c r="C194" s="322"/>
      <c r="D194" s="322"/>
      <c r="E194" s="323"/>
      <c r="F194" s="324"/>
      <c r="G194" s="324"/>
      <c r="J194" s="322"/>
      <c r="K194" s="322"/>
      <c r="L194" s="322"/>
      <c r="M194" s="322"/>
      <c r="N194" s="323"/>
      <c r="O194" s="324"/>
      <c r="P194" s="387"/>
    </row>
    <row r="195" ht="15.75" customHeight="1">
      <c r="A195" s="322"/>
      <c r="B195" s="322"/>
      <c r="C195" s="322"/>
      <c r="D195" s="322"/>
      <c r="E195" s="337"/>
      <c r="F195" s="324"/>
      <c r="G195" s="324"/>
      <c r="J195" s="322"/>
      <c r="K195" s="322"/>
      <c r="L195" s="322"/>
      <c r="M195" s="322"/>
      <c r="N195" s="337"/>
      <c r="O195" s="324"/>
      <c r="P195" s="387"/>
    </row>
    <row r="196" ht="15.75" customHeight="1">
      <c r="A196" s="322"/>
      <c r="B196" s="338" t="s">
        <v>951</v>
      </c>
      <c r="C196" s="339"/>
      <c r="D196" s="339"/>
      <c r="E196" s="339"/>
      <c r="F196" s="324"/>
      <c r="G196" s="324"/>
      <c r="J196" s="322"/>
      <c r="K196" s="338" t="s">
        <v>951</v>
      </c>
      <c r="L196" s="339"/>
      <c r="M196" s="339"/>
      <c r="N196" s="339"/>
      <c r="O196" s="324"/>
      <c r="P196" s="387"/>
    </row>
    <row r="197" ht="15.75" customHeight="1">
      <c r="A197" s="322"/>
      <c r="B197" s="340" t="s">
        <v>953</v>
      </c>
      <c r="C197" s="341" t="s">
        <v>954</v>
      </c>
      <c r="D197" s="341" t="s">
        <v>955</v>
      </c>
      <c r="E197" s="341" t="s">
        <v>35</v>
      </c>
      <c r="F197" s="324"/>
      <c r="G197" s="324"/>
      <c r="J197" s="322"/>
      <c r="K197" s="340" t="s">
        <v>953</v>
      </c>
      <c r="L197" s="341" t="s">
        <v>954</v>
      </c>
      <c r="M197" s="341" t="s">
        <v>955</v>
      </c>
      <c r="N197" s="341" t="s">
        <v>35</v>
      </c>
      <c r="O197" s="324"/>
      <c r="P197" s="387"/>
    </row>
    <row r="198" ht="15.75" customHeight="1">
      <c r="A198" s="322"/>
      <c r="B198" s="139" t="s">
        <v>1117</v>
      </c>
      <c r="C198" s="344">
        <v>1.0</v>
      </c>
      <c r="D198" s="343">
        <f>D63</f>
        <v>2925</v>
      </c>
      <c r="E198" s="67">
        <f t="shared" ref="E198:E200" si="17">IF(OR(ISBLANK(C198),ISBLANK(D198)),"",D198*C198)</f>
        <v>2925</v>
      </c>
      <c r="F198" s="324"/>
      <c r="G198" s="324"/>
      <c r="J198" s="322"/>
      <c r="K198" s="139" t="s">
        <v>1332</v>
      </c>
      <c r="L198" s="344">
        <v>1.0</v>
      </c>
      <c r="M198" s="343">
        <f>M63</f>
        <v>1462.5</v>
      </c>
      <c r="N198" s="67">
        <f t="shared" ref="N198:N200" si="18">IF(OR(ISBLANK(L198),ISBLANK(M198)),"",M198*L198)</f>
        <v>1462.5</v>
      </c>
      <c r="O198" s="324"/>
      <c r="P198" s="387"/>
    </row>
    <row r="199" ht="15.75" customHeight="1">
      <c r="A199" s="322"/>
      <c r="B199" s="228" t="s">
        <v>1104</v>
      </c>
      <c r="C199" s="405">
        <v>0.025</v>
      </c>
      <c r="D199" s="371">
        <f>'F&amp;B'!F263</f>
        <v>168300</v>
      </c>
      <c r="E199" s="67">
        <f t="shared" si="17"/>
        <v>4207.5</v>
      </c>
      <c r="F199" s="324"/>
      <c r="G199" s="324"/>
      <c r="J199" s="322"/>
      <c r="K199" s="228" t="s">
        <v>56</v>
      </c>
      <c r="L199" s="405">
        <v>0.2</v>
      </c>
      <c r="M199" s="371">
        <f>D200</f>
        <v>58500</v>
      </c>
      <c r="N199" s="67">
        <f t="shared" si="18"/>
        <v>11700</v>
      </c>
      <c r="O199" s="324"/>
      <c r="P199" s="387"/>
    </row>
    <row r="200" ht="15.75" customHeight="1">
      <c r="A200" s="322"/>
      <c r="B200" s="406" t="s">
        <v>56</v>
      </c>
      <c r="C200" s="407">
        <v>0.1</v>
      </c>
      <c r="D200" s="408">
        <f>D64</f>
        <v>58500</v>
      </c>
      <c r="E200" s="67">
        <f t="shared" si="17"/>
        <v>5850</v>
      </c>
      <c r="F200" s="324"/>
      <c r="G200" s="324"/>
      <c r="J200" s="322"/>
      <c r="K200" s="406" t="s">
        <v>1142</v>
      </c>
      <c r="L200" s="407">
        <v>0.1</v>
      </c>
      <c r="M200" s="408">
        <f>'F&amp;B'!F269</f>
        <v>414000</v>
      </c>
      <c r="N200" s="67">
        <f t="shared" si="18"/>
        <v>41400</v>
      </c>
      <c r="O200" s="324"/>
      <c r="P200" s="387"/>
    </row>
    <row r="201" ht="15.75" customHeight="1">
      <c r="A201" s="322"/>
      <c r="B201" s="338" t="s">
        <v>84</v>
      </c>
      <c r="C201" s="358"/>
      <c r="D201" s="358"/>
      <c r="E201" s="359">
        <f>IF(SUM(E198:E200)=0,"",SUM(E198:E200))</f>
        <v>12982.5</v>
      </c>
      <c r="F201" s="324"/>
      <c r="G201" s="324"/>
      <c r="J201" s="322"/>
      <c r="K201" s="338" t="s">
        <v>84</v>
      </c>
      <c r="L201" s="358"/>
      <c r="M201" s="358"/>
      <c r="N201" s="359">
        <f>IF(SUM(N198:N200)=0,"",SUM(N198:N200))</f>
        <v>54562.5</v>
      </c>
      <c r="O201" s="324"/>
      <c r="P201" s="387"/>
    </row>
    <row r="202" ht="15.75" customHeight="1">
      <c r="A202" s="322"/>
      <c r="B202" s="360"/>
      <c r="C202" s="360"/>
      <c r="D202" s="360"/>
      <c r="E202" s="361"/>
      <c r="F202" s="324"/>
      <c r="G202" s="324"/>
      <c r="J202" s="322"/>
      <c r="K202" s="360"/>
      <c r="L202" s="360"/>
      <c r="M202" s="360"/>
      <c r="N202" s="361"/>
      <c r="O202" s="324"/>
      <c r="P202" s="387"/>
    </row>
    <row r="203" ht="15.75" customHeight="1">
      <c r="A203" s="322"/>
      <c r="B203" s="362" t="s">
        <v>972</v>
      </c>
      <c r="C203" s="363"/>
      <c r="D203" s="363"/>
      <c r="E203" s="363"/>
      <c r="F203" s="324"/>
      <c r="G203" s="324"/>
      <c r="J203" s="322"/>
      <c r="K203" s="362" t="s">
        <v>972</v>
      </c>
      <c r="L203" s="363"/>
      <c r="M203" s="363"/>
      <c r="N203" s="363"/>
      <c r="O203" s="324"/>
      <c r="P203" s="387"/>
    </row>
    <row r="204" ht="15.75" customHeight="1">
      <c r="A204" s="322"/>
      <c r="B204" s="365" t="s">
        <v>953</v>
      </c>
      <c r="C204" s="366" t="s">
        <v>3</v>
      </c>
      <c r="D204" s="366" t="s">
        <v>975</v>
      </c>
      <c r="E204" s="367" t="s">
        <v>35</v>
      </c>
      <c r="F204" s="324"/>
      <c r="G204" s="324"/>
      <c r="J204" s="322"/>
      <c r="K204" s="365" t="s">
        <v>953</v>
      </c>
      <c r="L204" s="366" t="s">
        <v>3</v>
      </c>
      <c r="M204" s="366" t="s">
        <v>975</v>
      </c>
      <c r="N204" s="367" t="s">
        <v>35</v>
      </c>
      <c r="O204" s="324"/>
      <c r="P204" s="387"/>
    </row>
    <row r="205" ht="15.75" customHeight="1">
      <c r="A205" s="322"/>
      <c r="B205" s="368"/>
      <c r="C205" s="366"/>
      <c r="D205" s="366"/>
      <c r="E205" s="368"/>
      <c r="F205" s="324"/>
      <c r="G205" s="324"/>
      <c r="J205" s="322"/>
      <c r="K205" s="368"/>
      <c r="L205" s="366"/>
      <c r="M205" s="366"/>
      <c r="N205" s="368"/>
      <c r="O205" s="324"/>
      <c r="P205" s="387"/>
    </row>
    <row r="206" ht="15.75" customHeight="1">
      <c r="A206" s="322"/>
      <c r="B206" s="60" t="s">
        <v>1033</v>
      </c>
      <c r="C206" s="344">
        <v>0.03</v>
      </c>
      <c r="D206" s="343">
        <f>'F&amp;B'!$F$278</f>
        <v>103500</v>
      </c>
      <c r="E206" s="67">
        <f t="shared" ref="E206:E215" si="19">D206*C206</f>
        <v>3105</v>
      </c>
      <c r="F206" s="324"/>
      <c r="G206" s="324"/>
      <c r="J206" s="322"/>
      <c r="K206" s="139" t="s">
        <v>1336</v>
      </c>
      <c r="L206" s="344">
        <v>0.005</v>
      </c>
      <c r="M206" s="343">
        <f>'F&amp;B'!F287</f>
        <v>8100</v>
      </c>
      <c r="N206" s="67">
        <f t="shared" ref="N206:N215" si="20">M206*L206</f>
        <v>40.5</v>
      </c>
      <c r="O206" s="324"/>
      <c r="P206" s="387"/>
    </row>
    <row r="207" ht="15.75" customHeight="1">
      <c r="A207" s="322"/>
      <c r="B207" s="75" t="s">
        <v>60</v>
      </c>
      <c r="C207" s="370">
        <v>0.03</v>
      </c>
      <c r="D207" s="371">
        <f>'F&amp;B'!F103</f>
        <v>148500</v>
      </c>
      <c r="E207" s="67">
        <f t="shared" si="19"/>
        <v>4455</v>
      </c>
      <c r="F207" s="324"/>
      <c r="G207" s="324"/>
      <c r="J207" s="322"/>
      <c r="K207" s="75" t="s">
        <v>60</v>
      </c>
      <c r="L207" s="370">
        <v>0.03</v>
      </c>
      <c r="M207" s="371">
        <f>SALADS!$D$19</f>
        <v>148500</v>
      </c>
      <c r="N207" s="67">
        <f t="shared" si="20"/>
        <v>4455</v>
      </c>
      <c r="O207" s="324"/>
      <c r="P207" s="387"/>
    </row>
    <row r="208" ht="15.75" customHeight="1">
      <c r="A208" s="322"/>
      <c r="B208" s="228" t="s">
        <v>1139</v>
      </c>
      <c r="C208" s="405">
        <v>0.01</v>
      </c>
      <c r="D208" s="371">
        <f>'F&amp;B'!F262*2</f>
        <v>504000</v>
      </c>
      <c r="E208" s="67">
        <f t="shared" si="19"/>
        <v>5040</v>
      </c>
      <c r="F208" s="324"/>
      <c r="G208" s="324"/>
      <c r="J208" s="322"/>
      <c r="K208" s="228" t="s">
        <v>806</v>
      </c>
      <c r="L208" s="405">
        <v>0.005</v>
      </c>
      <c r="M208" s="371">
        <f>'F&amp;B'!F304</f>
        <v>7200</v>
      </c>
      <c r="N208" s="67">
        <f t="shared" si="20"/>
        <v>36</v>
      </c>
      <c r="O208" s="324"/>
      <c r="P208" s="387"/>
    </row>
    <row r="209" ht="15.75" customHeight="1">
      <c r="A209" s="322"/>
      <c r="B209" s="75"/>
      <c r="C209" s="346"/>
      <c r="D209" s="371"/>
      <c r="E209" s="67">
        <f t="shared" si="19"/>
        <v>0</v>
      </c>
      <c r="F209" s="324"/>
      <c r="G209" s="324"/>
      <c r="J209" s="322"/>
      <c r="K209" s="228" t="s">
        <v>1257</v>
      </c>
      <c r="L209" s="398">
        <v>0.005</v>
      </c>
      <c r="M209" s="371">
        <f>'F&amp;B'!F36</f>
        <v>94050</v>
      </c>
      <c r="N209" s="67">
        <f t="shared" si="20"/>
        <v>470.25</v>
      </c>
      <c r="O209" s="324"/>
      <c r="P209" s="387"/>
    </row>
    <row r="210" ht="15.75" customHeight="1">
      <c r="A210" s="322"/>
      <c r="B210" s="75"/>
      <c r="C210" s="346"/>
      <c r="D210" s="371"/>
      <c r="E210" s="67">
        <f t="shared" si="19"/>
        <v>0</v>
      </c>
      <c r="F210" s="324"/>
      <c r="G210" s="324"/>
      <c r="J210" s="322"/>
      <c r="K210" s="75"/>
      <c r="L210" s="346"/>
      <c r="M210" s="371"/>
      <c r="N210" s="67">
        <f t="shared" si="20"/>
        <v>0</v>
      </c>
      <c r="O210" s="324"/>
      <c r="P210" s="387"/>
    </row>
    <row r="211" ht="15.75" customHeight="1">
      <c r="A211" s="322"/>
      <c r="B211" s="75"/>
      <c r="C211" s="346"/>
      <c r="D211" s="373"/>
      <c r="E211" s="67">
        <f t="shared" si="19"/>
        <v>0</v>
      </c>
      <c r="F211" s="324"/>
      <c r="G211" s="324"/>
      <c r="J211" s="322"/>
      <c r="K211" s="75"/>
      <c r="L211" s="346"/>
      <c r="M211" s="373"/>
      <c r="N211" s="67">
        <f t="shared" si="20"/>
        <v>0</v>
      </c>
      <c r="O211" s="324"/>
      <c r="P211" s="387"/>
    </row>
    <row r="212" ht="15.75" customHeight="1">
      <c r="A212" s="322"/>
      <c r="B212" s="348"/>
      <c r="C212" s="346"/>
      <c r="D212" s="373"/>
      <c r="E212" s="67">
        <f t="shared" si="19"/>
        <v>0</v>
      </c>
      <c r="F212" s="324"/>
      <c r="G212" s="324"/>
      <c r="J212" s="322"/>
      <c r="K212" s="348"/>
      <c r="L212" s="346"/>
      <c r="M212" s="373"/>
      <c r="N212" s="67">
        <f t="shared" si="20"/>
        <v>0</v>
      </c>
      <c r="O212" s="324"/>
      <c r="P212" s="387"/>
    </row>
    <row r="213" ht="15.75" customHeight="1">
      <c r="A213" s="322"/>
      <c r="B213" s="348"/>
      <c r="C213" s="346"/>
      <c r="D213" s="373"/>
      <c r="E213" s="67">
        <f t="shared" si="19"/>
        <v>0</v>
      </c>
      <c r="F213" s="324"/>
      <c r="G213" s="324"/>
      <c r="J213" s="322"/>
      <c r="K213" s="348"/>
      <c r="L213" s="346"/>
      <c r="M213" s="373"/>
      <c r="N213" s="67">
        <f t="shared" si="20"/>
        <v>0</v>
      </c>
      <c r="O213" s="324"/>
      <c r="P213" s="387"/>
    </row>
    <row r="214" ht="15.75" customHeight="1">
      <c r="A214" s="322"/>
      <c r="B214" s="348"/>
      <c r="C214" s="346"/>
      <c r="D214" s="373"/>
      <c r="E214" s="67">
        <f t="shared" si="19"/>
        <v>0</v>
      </c>
      <c r="F214" s="324"/>
      <c r="G214" s="324"/>
      <c r="J214" s="322"/>
      <c r="K214" s="348"/>
      <c r="L214" s="346"/>
      <c r="M214" s="373"/>
      <c r="N214" s="67">
        <f t="shared" si="20"/>
        <v>0</v>
      </c>
      <c r="O214" s="324"/>
      <c r="P214" s="387"/>
    </row>
    <row r="215" ht="15.75" customHeight="1">
      <c r="A215" s="322"/>
      <c r="B215" s="354"/>
      <c r="C215" s="355"/>
      <c r="D215" s="356"/>
      <c r="E215" s="67">
        <f t="shared" si="19"/>
        <v>0</v>
      </c>
      <c r="F215" s="324"/>
      <c r="G215" s="324"/>
      <c r="J215" s="322"/>
      <c r="K215" s="354"/>
      <c r="L215" s="355"/>
      <c r="M215" s="356"/>
      <c r="N215" s="67">
        <f t="shared" si="20"/>
        <v>0</v>
      </c>
      <c r="O215" s="324"/>
      <c r="P215" s="387"/>
    </row>
    <row r="216" ht="15.75" customHeight="1">
      <c r="A216" s="322"/>
      <c r="B216" s="362" t="s">
        <v>84</v>
      </c>
      <c r="C216" s="374"/>
      <c r="D216" s="374"/>
      <c r="E216" s="375">
        <f>IF(SUM(E206:E215)=0,"",SUM(E206:E215))</f>
        <v>12600</v>
      </c>
      <c r="F216" s="324"/>
      <c r="G216" s="324"/>
      <c r="J216" s="322"/>
      <c r="K216" s="362" t="s">
        <v>84</v>
      </c>
      <c r="L216" s="374"/>
      <c r="M216" s="374"/>
      <c r="N216" s="375">
        <f>IF(SUM(N206:N215)=0,"",SUM(N206:N215))</f>
        <v>5001.75</v>
      </c>
      <c r="O216" s="324"/>
      <c r="P216" s="387"/>
    </row>
    <row r="217" ht="15.75" customHeight="1">
      <c r="A217" s="322"/>
      <c r="B217" s="360"/>
      <c r="C217" s="360"/>
      <c r="D217" s="360"/>
      <c r="E217" s="361"/>
      <c r="F217" s="324"/>
      <c r="G217" s="324"/>
      <c r="J217" s="322"/>
      <c r="K217" s="360"/>
      <c r="L217" s="360"/>
      <c r="M217" s="360"/>
      <c r="N217" s="361"/>
      <c r="O217" s="324"/>
      <c r="P217" s="387"/>
    </row>
    <row r="218" ht="15.75" customHeight="1">
      <c r="A218" s="322"/>
      <c r="B218" s="34" t="s">
        <v>17</v>
      </c>
      <c r="C218" s="35"/>
      <c r="D218" s="35"/>
      <c r="E218" s="35"/>
      <c r="F218" s="324"/>
      <c r="G218" s="324"/>
      <c r="J218" s="322"/>
      <c r="K218" s="34" t="s">
        <v>17</v>
      </c>
      <c r="L218" s="35"/>
      <c r="M218" s="35"/>
      <c r="N218" s="35"/>
      <c r="O218" s="324"/>
      <c r="P218" s="387"/>
    </row>
    <row r="219" ht="15.75" customHeight="1">
      <c r="A219" s="322"/>
      <c r="B219" s="52" t="s">
        <v>42</v>
      </c>
      <c r="C219" s="54"/>
      <c r="D219" s="54"/>
      <c r="E219" s="56" t="s">
        <v>35</v>
      </c>
      <c r="F219" s="324"/>
      <c r="G219" s="324"/>
      <c r="J219" s="322"/>
      <c r="K219" s="52" t="s">
        <v>42</v>
      </c>
      <c r="L219" s="54"/>
      <c r="M219" s="54"/>
      <c r="N219" s="56" t="s">
        <v>35</v>
      </c>
      <c r="O219" s="324"/>
      <c r="P219" s="387"/>
    </row>
    <row r="220" ht="15.75" customHeight="1">
      <c r="A220" s="322"/>
      <c r="B220" s="60" t="s">
        <v>40</v>
      </c>
      <c r="C220" s="343">
        <f>'UTL COST'!$B$3</f>
        <v>369000</v>
      </c>
      <c r="D220" s="379">
        <f>'UTL COST'!$C$3</f>
        <v>0.0075</v>
      </c>
      <c r="E220" s="67">
        <v>0.0</v>
      </c>
      <c r="F220" s="324"/>
      <c r="G220" s="324"/>
      <c r="J220" s="322"/>
      <c r="K220" s="60" t="s">
        <v>40</v>
      </c>
      <c r="L220" s="343">
        <f>'UTL COST'!$B$3</f>
        <v>369000</v>
      </c>
      <c r="M220" s="379">
        <f>'UTL COST'!$C$3</f>
        <v>0.0075</v>
      </c>
      <c r="N220" s="67">
        <v>0.0</v>
      </c>
      <c r="O220" s="324"/>
      <c r="P220" s="387"/>
    </row>
    <row r="221" ht="15.75" customHeight="1">
      <c r="A221" s="322"/>
      <c r="B221" s="75" t="s">
        <v>51</v>
      </c>
      <c r="C221" s="371" t="str">
        <f>'UTL COST'!$B$4</f>
        <v>#REF!</v>
      </c>
      <c r="D221" s="382">
        <f>'UTL COST'!$C$4</f>
        <v>7000</v>
      </c>
      <c r="E221" s="76" t="str">
        <f>'UTL COST'!$D$4</f>
        <v>#REF!</v>
      </c>
      <c r="F221" s="324"/>
      <c r="G221" s="324"/>
      <c r="J221" s="322"/>
      <c r="K221" s="75" t="s">
        <v>51</v>
      </c>
      <c r="L221" s="371" t="str">
        <f>'UTL COST'!$B$4</f>
        <v>#REF!</v>
      </c>
      <c r="M221" s="382">
        <f>'UTL COST'!$C$4</f>
        <v>7000</v>
      </c>
      <c r="N221" s="76" t="str">
        <f>'UTL COST'!$D$4</f>
        <v>#REF!</v>
      </c>
      <c r="O221" s="324"/>
      <c r="P221" s="387"/>
    </row>
    <row r="222" ht="15.75" customHeight="1">
      <c r="A222" s="322"/>
      <c r="B222" s="75" t="s">
        <v>59</v>
      </c>
      <c r="C222" s="371" t="str">
        <f>'UTL COST'!$B$5</f>
        <v>#REF!</v>
      </c>
      <c r="D222" s="382">
        <f>'UTL COST'!$C$5</f>
        <v>45000</v>
      </c>
      <c r="E222" s="76" t="str">
        <f>'UTL COST'!$D$5</f>
        <v>#REF!</v>
      </c>
      <c r="F222" s="324"/>
      <c r="G222" s="324"/>
      <c r="J222" s="322"/>
      <c r="K222" s="75" t="s">
        <v>59</v>
      </c>
      <c r="L222" s="371" t="str">
        <f>'UTL COST'!$B$5</f>
        <v>#REF!</v>
      </c>
      <c r="M222" s="382">
        <f>'UTL COST'!$C$5</f>
        <v>45000</v>
      </c>
      <c r="N222" s="76" t="str">
        <f>'UTL COST'!$D$5</f>
        <v>#REF!</v>
      </c>
      <c r="O222" s="324"/>
      <c r="P222" s="387"/>
    </row>
    <row r="223" ht="15.75" customHeight="1">
      <c r="A223" s="322"/>
      <c r="B223" s="87" t="s">
        <v>78</v>
      </c>
      <c r="C223" s="371" t="str">
        <f>'UTL COST'!$B$6</f>
        <v>#REF!</v>
      </c>
      <c r="D223" s="383">
        <f>'UTL COST'!$C$6</f>
        <v>525</v>
      </c>
      <c r="E223" s="89">
        <v>0.1</v>
      </c>
      <c r="F223" s="324"/>
      <c r="G223" s="324"/>
      <c r="J223" s="322"/>
      <c r="K223" s="87" t="s">
        <v>78</v>
      </c>
      <c r="L223" s="371" t="str">
        <f>'UTL COST'!$B$6</f>
        <v>#REF!</v>
      </c>
      <c r="M223" s="383">
        <f>'UTL COST'!$C$6</f>
        <v>525</v>
      </c>
      <c r="N223" s="89">
        <v>0.1</v>
      </c>
      <c r="O223" s="324"/>
      <c r="P223" s="387"/>
    </row>
    <row r="224" ht="15.75" customHeight="1">
      <c r="A224" s="322"/>
      <c r="B224" s="34" t="s">
        <v>84</v>
      </c>
      <c r="C224" s="102"/>
      <c r="D224" s="102"/>
      <c r="E224" s="104" t="str">
        <f>IF(SUM(E220:E223)=0,"",SUM(E220:E223))</f>
        <v>#REF!</v>
      </c>
      <c r="F224" s="324"/>
      <c r="G224" s="324"/>
      <c r="J224" s="322"/>
      <c r="K224" s="34" t="s">
        <v>84</v>
      </c>
      <c r="L224" s="102"/>
      <c r="M224" s="102"/>
      <c r="N224" s="104" t="str">
        <f>IF(SUM(N220:N223)=0,"",SUM(N220:N223))</f>
        <v>#REF!</v>
      </c>
      <c r="O224" s="324"/>
      <c r="P224" s="387"/>
    </row>
    <row r="225" ht="15.75" customHeight="1">
      <c r="A225" s="322"/>
      <c r="B225" s="360"/>
      <c r="C225" s="360"/>
      <c r="D225" s="360"/>
      <c r="E225" s="361"/>
      <c r="F225" s="324"/>
      <c r="G225" s="324"/>
      <c r="J225" s="322"/>
      <c r="K225" s="360"/>
      <c r="L225" s="360"/>
      <c r="M225" s="360"/>
      <c r="N225" s="361"/>
      <c r="O225" s="324"/>
      <c r="P225" s="387"/>
    </row>
    <row r="226" ht="15.75" customHeight="1">
      <c r="P226" s="387"/>
    </row>
    <row r="227" ht="15.75" customHeight="1">
      <c r="P227" s="387"/>
    </row>
    <row r="228" ht="15.75" customHeight="1">
      <c r="P228" s="387"/>
    </row>
    <row r="229" ht="15.75" customHeight="1">
      <c r="P229" s="387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L52:M52"/>
    <mergeCell ref="L54:M54"/>
    <mergeCell ref="L56:M56"/>
    <mergeCell ref="L58:M58"/>
    <mergeCell ref="K69:K70"/>
    <mergeCell ref="N69:N70"/>
    <mergeCell ref="L95:M95"/>
    <mergeCell ref="L97:M97"/>
    <mergeCell ref="L99:M99"/>
    <mergeCell ref="L101:M101"/>
    <mergeCell ref="L103:M103"/>
    <mergeCell ref="K114:K115"/>
    <mergeCell ref="N114:N115"/>
    <mergeCell ref="L140:M140"/>
    <mergeCell ref="L187:M187"/>
    <mergeCell ref="L189:M189"/>
    <mergeCell ref="L142:M142"/>
    <mergeCell ref="L144:M144"/>
    <mergeCell ref="L146:M146"/>
    <mergeCell ref="L148:M148"/>
    <mergeCell ref="K159:K160"/>
    <mergeCell ref="N159:N160"/>
    <mergeCell ref="L185:M185"/>
    <mergeCell ref="L10:M10"/>
    <mergeCell ref="L12:M12"/>
    <mergeCell ref="A1:F1"/>
    <mergeCell ref="C6:D6"/>
    <mergeCell ref="L6:M6"/>
    <mergeCell ref="C8:D8"/>
    <mergeCell ref="L8:M8"/>
    <mergeCell ref="C10:D10"/>
    <mergeCell ref="C12:D12"/>
    <mergeCell ref="C14:D14"/>
    <mergeCell ref="L14:M14"/>
    <mergeCell ref="B25:B26"/>
    <mergeCell ref="E25:E26"/>
    <mergeCell ref="K25:K26"/>
    <mergeCell ref="N25:N26"/>
    <mergeCell ref="L50:M50"/>
    <mergeCell ref="C50:D50"/>
    <mergeCell ref="C52:D52"/>
    <mergeCell ref="C54:D54"/>
    <mergeCell ref="C56:D56"/>
    <mergeCell ref="C58:D58"/>
    <mergeCell ref="B69:B70"/>
    <mergeCell ref="E69:E70"/>
    <mergeCell ref="C95:D95"/>
    <mergeCell ref="C97:D97"/>
    <mergeCell ref="C99:D99"/>
    <mergeCell ref="C101:D101"/>
    <mergeCell ref="C103:D103"/>
    <mergeCell ref="B114:B115"/>
    <mergeCell ref="E114:E115"/>
    <mergeCell ref="C140:D140"/>
    <mergeCell ref="C142:D142"/>
    <mergeCell ref="C144:D144"/>
    <mergeCell ref="C146:D146"/>
    <mergeCell ref="C148:D148"/>
    <mergeCell ref="B159:B160"/>
    <mergeCell ref="E159:E160"/>
    <mergeCell ref="B204:B205"/>
    <mergeCell ref="E204:E205"/>
    <mergeCell ref="K204:K205"/>
    <mergeCell ref="N204:N205"/>
    <mergeCell ref="C185:D185"/>
    <mergeCell ref="C187:D187"/>
    <mergeCell ref="C189:D189"/>
    <mergeCell ref="C191:D191"/>
    <mergeCell ref="L191:M191"/>
    <mergeCell ref="C193:D193"/>
    <mergeCell ref="L193:M193"/>
  </mergeCells>
  <printOptions/>
  <pageMargins bottom="0.75" footer="0.0" header="0.0" left="0.7" right="0.7" top="0.75"/>
  <pageSetup orientation="portrait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8953"/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0"/>
    <col customWidth="1" min="4" max="4" width="11.13"/>
    <col customWidth="1" min="5" max="5" width="12.63"/>
    <col customWidth="1" min="6" max="7" width="3.0"/>
    <col customWidth="1" min="8" max="10" width="7.75"/>
    <col customWidth="1" min="11" max="11" width="24.38"/>
    <col customWidth="1" min="12" max="13" width="12.0"/>
    <col customWidth="1" min="14" max="14" width="11.38"/>
    <col customWidth="1" min="15" max="15" width="8.38"/>
    <col customWidth="1" min="16" max="26" width="14.38"/>
  </cols>
  <sheetData>
    <row r="1" ht="46.5" customHeight="1">
      <c r="A1" s="399" t="s">
        <v>1312</v>
      </c>
      <c r="B1" s="321"/>
      <c r="C1" s="321"/>
      <c r="D1" s="321"/>
      <c r="E1" s="321"/>
      <c r="F1" s="321"/>
      <c r="G1" s="402"/>
      <c r="H1" s="387"/>
      <c r="I1" s="387"/>
      <c r="J1" s="387"/>
      <c r="K1" s="387"/>
      <c r="L1" s="387"/>
      <c r="M1" s="387"/>
      <c r="N1" s="387"/>
      <c r="O1" s="387"/>
    </row>
    <row r="2" ht="18.0" customHeight="1">
      <c r="A2" s="388"/>
      <c r="B2" s="388"/>
      <c r="C2" s="388"/>
      <c r="D2" s="388"/>
      <c r="E2" s="389"/>
      <c r="F2" s="387"/>
      <c r="G2" s="387"/>
      <c r="H2" s="387"/>
      <c r="I2" s="387"/>
      <c r="J2" s="387"/>
      <c r="K2" s="387"/>
      <c r="L2" s="387"/>
      <c r="M2" s="387"/>
      <c r="N2" s="387"/>
      <c r="O2" s="387"/>
    </row>
    <row r="3" ht="6.75" customHeight="1">
      <c r="A3" s="388"/>
      <c r="B3" s="388"/>
      <c r="C3" s="388"/>
      <c r="D3" s="388"/>
      <c r="E3" s="389"/>
      <c r="F3" s="387"/>
      <c r="G3" s="387"/>
      <c r="H3" s="387"/>
      <c r="I3" s="387"/>
      <c r="J3" s="387"/>
      <c r="K3" s="387"/>
      <c r="L3" s="387"/>
      <c r="M3" s="387"/>
      <c r="N3" s="387"/>
      <c r="O3" s="387"/>
    </row>
    <row r="4" ht="15.0" customHeight="1">
      <c r="A4" s="322"/>
      <c r="B4" s="322"/>
      <c r="C4" s="322"/>
      <c r="D4" s="322"/>
      <c r="E4" s="323"/>
      <c r="F4" s="324"/>
      <c r="G4" s="324"/>
      <c r="H4" s="387"/>
      <c r="I4" s="388"/>
      <c r="J4" s="322"/>
      <c r="K4" s="322"/>
      <c r="L4" s="322"/>
      <c r="M4" s="322"/>
      <c r="N4" s="323"/>
      <c r="O4" s="324"/>
    </row>
    <row r="5" ht="4.5" customHeight="1">
      <c r="A5" s="322"/>
      <c r="B5" s="325"/>
      <c r="C5" s="322"/>
      <c r="D5" s="322"/>
      <c r="E5" s="323"/>
      <c r="F5" s="326"/>
      <c r="G5" s="326"/>
      <c r="H5" s="404"/>
      <c r="I5" s="388"/>
      <c r="J5" s="322"/>
      <c r="K5" s="325"/>
      <c r="L5" s="322"/>
      <c r="M5" s="322"/>
      <c r="N5" s="323"/>
      <c r="O5" s="326"/>
    </row>
    <row r="6" ht="18.0" customHeight="1">
      <c r="A6" s="322"/>
      <c r="B6" s="327" t="s">
        <v>931</v>
      </c>
      <c r="C6" s="328" t="s">
        <v>709</v>
      </c>
      <c r="D6" s="329"/>
      <c r="E6" s="323"/>
      <c r="F6" s="326"/>
      <c r="G6" s="326"/>
      <c r="H6" s="404"/>
      <c r="I6" s="388"/>
      <c r="J6" s="322"/>
      <c r="K6" s="327" t="s">
        <v>931</v>
      </c>
      <c r="L6" s="328" t="s">
        <v>722</v>
      </c>
      <c r="M6" s="329"/>
      <c r="N6" s="323"/>
      <c r="O6" s="326"/>
    </row>
    <row r="7" ht="4.5" customHeight="1">
      <c r="A7" s="322"/>
      <c r="B7" s="325"/>
      <c r="C7" s="322"/>
      <c r="D7" s="322"/>
      <c r="E7" s="323"/>
      <c r="F7" s="326"/>
      <c r="G7" s="326"/>
      <c r="H7" s="404"/>
      <c r="I7" s="388"/>
      <c r="J7" s="322"/>
      <c r="K7" s="325"/>
      <c r="L7" s="322"/>
      <c r="M7" s="322"/>
      <c r="N7" s="323"/>
      <c r="O7" s="326"/>
    </row>
    <row r="8" ht="18.0" customHeight="1">
      <c r="A8" s="322"/>
      <c r="B8" s="327" t="s">
        <v>935</v>
      </c>
      <c r="C8" s="331">
        <v>60000.0</v>
      </c>
      <c r="D8" s="329"/>
      <c r="E8" s="323"/>
      <c r="F8" s="326"/>
      <c r="G8" s="326"/>
      <c r="H8" s="404"/>
      <c r="I8" s="388"/>
      <c r="J8" s="322"/>
      <c r="K8" s="327" t="s">
        <v>935</v>
      </c>
      <c r="L8" s="331">
        <v>60000.0</v>
      </c>
      <c r="M8" s="329"/>
      <c r="N8" s="323"/>
      <c r="O8" s="326"/>
    </row>
    <row r="9" ht="4.5" customHeight="1">
      <c r="A9" s="322"/>
      <c r="B9" s="327"/>
      <c r="C9" s="332"/>
      <c r="D9" s="332"/>
      <c r="E9" s="323"/>
      <c r="F9" s="326"/>
      <c r="G9" s="326"/>
      <c r="H9" s="404"/>
      <c r="I9" s="388"/>
      <c r="J9" s="322"/>
      <c r="K9" s="327"/>
      <c r="L9" s="332"/>
      <c r="M9" s="332"/>
      <c r="N9" s="323"/>
      <c r="O9" s="326"/>
    </row>
    <row r="10" ht="18.0" customHeight="1">
      <c r="A10" s="322"/>
      <c r="B10" s="327" t="s">
        <v>939</v>
      </c>
      <c r="C10" s="333" t="str">
        <f>IF(SUM(E22,E37,E45)=0,"",SUM(E22,E37,E45))</f>
        <v>#REF!</v>
      </c>
      <c r="D10" s="321"/>
      <c r="E10" s="323"/>
      <c r="F10" s="326"/>
      <c r="G10" s="326"/>
      <c r="H10" s="404"/>
      <c r="I10" s="388"/>
      <c r="J10" s="322"/>
      <c r="K10" s="327" t="s">
        <v>939</v>
      </c>
      <c r="L10" s="333" t="str">
        <f>IF(SUM(N22,N37,N45)=0,"",SUM(N22,N37,N45))</f>
        <v>#REF!</v>
      </c>
      <c r="M10" s="321"/>
      <c r="N10" s="323"/>
      <c r="O10" s="326"/>
    </row>
    <row r="11" ht="4.5" customHeight="1">
      <c r="A11" s="322"/>
      <c r="B11" s="327"/>
      <c r="C11" s="334"/>
      <c r="D11" s="334"/>
      <c r="E11" s="323"/>
      <c r="F11" s="326"/>
      <c r="G11" s="326"/>
      <c r="H11" s="404"/>
      <c r="I11" s="388"/>
      <c r="J11" s="322"/>
      <c r="K11" s="327"/>
      <c r="L11" s="334"/>
      <c r="M11" s="334"/>
      <c r="N11" s="323"/>
      <c r="O11" s="326"/>
    </row>
    <row r="12" ht="18.0" customHeight="1">
      <c r="A12" s="322"/>
      <c r="B12" s="327" t="s">
        <v>946</v>
      </c>
      <c r="C12" s="335" t="str">
        <f>IF(C10="","",IF(ISBLANK(C8),"",C10/C8))</f>
        <v>#REF!</v>
      </c>
      <c r="D12" s="321"/>
      <c r="E12" s="323"/>
      <c r="F12" s="326"/>
      <c r="G12" s="326"/>
      <c r="H12" s="404"/>
      <c r="I12" s="388"/>
      <c r="J12" s="322"/>
      <c r="K12" s="327" t="s">
        <v>946</v>
      </c>
      <c r="L12" s="335" t="str">
        <f>IF(L10="","",IF(ISBLANK(L8),"",L10/L8))</f>
        <v>#REF!</v>
      </c>
      <c r="M12" s="321"/>
      <c r="N12" s="323"/>
      <c r="O12" s="326"/>
    </row>
    <row r="13" ht="4.5" customHeight="1">
      <c r="A13" s="322"/>
      <c r="B13" s="327"/>
      <c r="C13" s="334"/>
      <c r="D13" s="334"/>
      <c r="E13" s="323"/>
      <c r="F13" s="326"/>
      <c r="G13" s="326"/>
      <c r="H13" s="404"/>
      <c r="I13" s="388"/>
      <c r="J13" s="322"/>
      <c r="K13" s="327"/>
      <c r="L13" s="334"/>
      <c r="M13" s="334"/>
      <c r="N13" s="323"/>
      <c r="O13" s="326"/>
    </row>
    <row r="14" ht="18.0" customHeight="1">
      <c r="A14" s="322"/>
      <c r="B14" s="327" t="s">
        <v>950</v>
      </c>
      <c r="C14" s="333" t="str">
        <f>C8-C10</f>
        <v>#REF!</v>
      </c>
      <c r="D14" s="321"/>
      <c r="E14" s="323"/>
      <c r="F14" s="326"/>
      <c r="G14" s="326"/>
      <c r="H14" s="404"/>
      <c r="I14" s="388"/>
      <c r="J14" s="322"/>
      <c r="K14" s="327" t="s">
        <v>950</v>
      </c>
      <c r="L14" s="333" t="str">
        <f>L8-L10</f>
        <v>#REF!</v>
      </c>
      <c r="M14" s="321"/>
      <c r="N14" s="323"/>
      <c r="O14" s="326"/>
    </row>
    <row r="15" ht="15.0" customHeight="1">
      <c r="A15" s="322"/>
      <c r="B15" s="322"/>
      <c r="C15" s="322"/>
      <c r="D15" s="322"/>
      <c r="E15" s="323"/>
      <c r="F15" s="324"/>
      <c r="G15" s="324"/>
      <c r="H15" s="404"/>
      <c r="I15" s="388"/>
      <c r="J15" s="322"/>
      <c r="K15" s="322"/>
      <c r="L15" s="322"/>
      <c r="M15" s="322"/>
      <c r="N15" s="323"/>
      <c r="O15" s="324"/>
    </row>
    <row r="16" ht="12.75" customHeight="1">
      <c r="A16" s="322"/>
      <c r="B16" s="322"/>
      <c r="C16" s="322"/>
      <c r="D16" s="322"/>
      <c r="E16" s="337"/>
      <c r="F16" s="324"/>
      <c r="G16" s="324"/>
      <c r="H16" s="387"/>
      <c r="I16" s="388"/>
      <c r="J16" s="322"/>
      <c r="K16" s="322"/>
      <c r="L16" s="322"/>
      <c r="M16" s="322"/>
      <c r="N16" s="337"/>
      <c r="O16" s="324"/>
    </row>
    <row r="17" ht="12.75" customHeight="1">
      <c r="A17" s="322"/>
      <c r="B17" s="338" t="s">
        <v>951</v>
      </c>
      <c r="C17" s="339"/>
      <c r="D17" s="339"/>
      <c r="E17" s="339"/>
      <c r="F17" s="324"/>
      <c r="G17" s="324"/>
      <c r="H17" s="410"/>
      <c r="I17" s="388"/>
      <c r="J17" s="322"/>
      <c r="K17" s="338" t="s">
        <v>951</v>
      </c>
      <c r="L17" s="339"/>
      <c r="M17" s="339"/>
      <c r="N17" s="339"/>
      <c r="O17" s="324"/>
    </row>
    <row r="18" ht="12.75" customHeight="1">
      <c r="A18" s="322"/>
      <c r="B18" s="340" t="s">
        <v>953</v>
      </c>
      <c r="C18" s="341" t="s">
        <v>954</v>
      </c>
      <c r="D18" s="341" t="s">
        <v>955</v>
      </c>
      <c r="E18" s="341" t="s">
        <v>35</v>
      </c>
      <c r="F18" s="324"/>
      <c r="G18" s="324"/>
      <c r="H18" s="387"/>
      <c r="I18" s="388"/>
      <c r="J18" s="322"/>
      <c r="K18" s="340" t="s">
        <v>953</v>
      </c>
      <c r="L18" s="341" t="s">
        <v>954</v>
      </c>
      <c r="M18" s="341" t="s">
        <v>955</v>
      </c>
      <c r="N18" s="341" t="s">
        <v>35</v>
      </c>
      <c r="O18" s="324"/>
    </row>
    <row r="19" ht="12.75" customHeight="1">
      <c r="A19" s="322"/>
      <c r="B19" s="60" t="s">
        <v>508</v>
      </c>
      <c r="C19" s="342">
        <v>1.0</v>
      </c>
      <c r="D19" s="343">
        <f>'F&amp;B'!$F$282</f>
        <v>2970</v>
      </c>
      <c r="E19" s="67">
        <f t="shared" ref="E19:E20" si="1">IF(OR(ISBLANK(C19),ISBLANK(D19)),"",D19*C19)</f>
        <v>2970</v>
      </c>
      <c r="F19" s="324"/>
      <c r="G19" s="324"/>
      <c r="H19" s="387"/>
      <c r="I19" s="388"/>
      <c r="J19" s="322"/>
      <c r="K19" s="60" t="s">
        <v>1151</v>
      </c>
      <c r="L19" s="342">
        <v>0.12</v>
      </c>
      <c r="M19" s="343">
        <f>D20</f>
        <v>8100</v>
      </c>
      <c r="N19" s="67">
        <f t="shared" ref="N19:N20" si="2">IF(OR(ISBLANK(L19),ISBLANK(M19)),"",M19*L19)</f>
        <v>972</v>
      </c>
      <c r="O19" s="324"/>
    </row>
    <row r="20" ht="12.75" customHeight="1">
      <c r="A20" s="322"/>
      <c r="B20" s="75" t="s">
        <v>1151</v>
      </c>
      <c r="C20" s="370">
        <v>0.12</v>
      </c>
      <c r="D20" s="371">
        <f>'F&amp;B'!$F$285</f>
        <v>8100</v>
      </c>
      <c r="E20" s="67">
        <f t="shared" si="1"/>
        <v>972</v>
      </c>
      <c r="F20" s="324"/>
      <c r="G20" s="324"/>
      <c r="H20" s="387"/>
      <c r="I20" s="388"/>
      <c r="J20" s="322"/>
      <c r="K20" s="75"/>
      <c r="L20" s="346"/>
      <c r="M20" s="371"/>
      <c r="N20" s="67" t="str">
        <f t="shared" si="2"/>
        <v/>
      </c>
      <c r="O20" s="324"/>
    </row>
    <row r="21" ht="12.75" customHeight="1">
      <c r="A21" s="322"/>
      <c r="B21" s="87"/>
      <c r="C21" s="355"/>
      <c r="D21" s="356"/>
      <c r="E21" s="67"/>
      <c r="F21" s="324"/>
      <c r="G21" s="324"/>
      <c r="H21" s="387"/>
      <c r="I21" s="388"/>
      <c r="J21" s="322"/>
      <c r="K21" s="87"/>
      <c r="L21" s="355"/>
      <c r="M21" s="356"/>
      <c r="N21" s="67"/>
      <c r="O21" s="324"/>
    </row>
    <row r="22" ht="12.75" customHeight="1">
      <c r="A22" s="322"/>
      <c r="B22" s="338" t="s">
        <v>84</v>
      </c>
      <c r="C22" s="358"/>
      <c r="D22" s="358"/>
      <c r="E22" s="359">
        <f>IF(SUM(E19:E21)=0,"",SUM(E19:E21))</f>
        <v>3942</v>
      </c>
      <c r="F22" s="324"/>
      <c r="G22" s="324"/>
      <c r="H22" s="387"/>
      <c r="I22" s="388"/>
      <c r="J22" s="322"/>
      <c r="K22" s="338" t="s">
        <v>84</v>
      </c>
      <c r="L22" s="358"/>
      <c r="M22" s="358"/>
      <c r="N22" s="359">
        <f>IF(SUM(N19:N21)=0,"",SUM(N19:N21))</f>
        <v>972</v>
      </c>
      <c r="O22" s="324"/>
    </row>
    <row r="23" ht="12.75" customHeight="1">
      <c r="A23" s="322"/>
      <c r="B23" s="360"/>
      <c r="C23" s="360"/>
      <c r="D23" s="360"/>
      <c r="E23" s="361"/>
      <c r="F23" s="324"/>
      <c r="G23" s="324"/>
      <c r="H23" s="387"/>
      <c r="I23" s="388"/>
      <c r="J23" s="322"/>
      <c r="K23" s="360"/>
      <c r="L23" s="360"/>
      <c r="M23" s="360"/>
      <c r="N23" s="361"/>
      <c r="O23" s="324"/>
    </row>
    <row r="24" ht="12.75" customHeight="1">
      <c r="A24" s="322"/>
      <c r="B24" s="362" t="s">
        <v>972</v>
      </c>
      <c r="C24" s="363"/>
      <c r="D24" s="363"/>
      <c r="E24" s="363"/>
      <c r="F24" s="324"/>
      <c r="G24" s="324"/>
      <c r="H24" s="387"/>
      <c r="I24" s="388"/>
      <c r="J24" s="322"/>
      <c r="K24" s="362" t="s">
        <v>972</v>
      </c>
      <c r="L24" s="363"/>
      <c r="M24" s="363"/>
      <c r="N24" s="363"/>
      <c r="O24" s="324"/>
    </row>
    <row r="25" ht="12.75" customHeight="1">
      <c r="A25" s="322"/>
      <c r="B25" s="365" t="s">
        <v>953</v>
      </c>
      <c r="C25" s="366" t="s">
        <v>3</v>
      </c>
      <c r="D25" s="366" t="s">
        <v>975</v>
      </c>
      <c r="E25" s="367" t="s">
        <v>35</v>
      </c>
      <c r="F25" s="324"/>
      <c r="G25" s="324"/>
      <c r="H25" s="387"/>
      <c r="I25" s="388"/>
      <c r="J25" s="322"/>
      <c r="K25" s="365" t="s">
        <v>953</v>
      </c>
      <c r="L25" s="366" t="s">
        <v>3</v>
      </c>
      <c r="M25" s="366" t="s">
        <v>975</v>
      </c>
      <c r="N25" s="367" t="s">
        <v>35</v>
      </c>
      <c r="O25" s="324"/>
    </row>
    <row r="26" ht="12.75" customHeight="1">
      <c r="A26" s="322"/>
      <c r="B26" s="368"/>
      <c r="C26" s="366"/>
      <c r="D26" s="366"/>
      <c r="E26" s="368"/>
      <c r="F26" s="324"/>
      <c r="G26" s="324"/>
      <c r="H26" s="387"/>
      <c r="I26" s="388"/>
      <c r="J26" s="322"/>
      <c r="K26" s="368"/>
      <c r="L26" s="366"/>
      <c r="M26" s="366"/>
      <c r="N26" s="368"/>
      <c r="O26" s="324"/>
    </row>
    <row r="27" ht="12.75" customHeight="1">
      <c r="A27" s="322"/>
      <c r="B27" s="60" t="s">
        <v>173</v>
      </c>
      <c r="C27" s="342">
        <v>0.2</v>
      </c>
      <c r="D27" s="343">
        <f>'F&amp;B'!$F$279</f>
        <v>7200</v>
      </c>
      <c r="E27" s="67">
        <f t="shared" ref="E27:E36" si="3">D27*C27</f>
        <v>1440</v>
      </c>
      <c r="F27" s="324"/>
      <c r="G27" s="324"/>
      <c r="H27" s="387"/>
      <c r="I27" s="388"/>
      <c r="J27" s="322"/>
      <c r="K27" s="60" t="s">
        <v>173</v>
      </c>
      <c r="L27" s="342">
        <v>0.16</v>
      </c>
      <c r="M27" s="343">
        <f t="shared" ref="M27:M28" si="4">D27</f>
        <v>7200</v>
      </c>
      <c r="N27" s="67">
        <f t="shared" ref="N27:N36" si="5">M27*L27</f>
        <v>1152</v>
      </c>
      <c r="O27" s="324"/>
    </row>
    <row r="28" ht="12.75" customHeight="1">
      <c r="A28" s="322"/>
      <c r="B28" s="75" t="s">
        <v>176</v>
      </c>
      <c r="C28" s="370">
        <v>0.05</v>
      </c>
      <c r="D28" s="371">
        <f>'F&amp;B'!$F$43/13</f>
        <v>38076.92308</v>
      </c>
      <c r="E28" s="67">
        <f t="shared" si="3"/>
        <v>1903.846154</v>
      </c>
      <c r="F28" s="324"/>
      <c r="G28" s="324"/>
      <c r="H28" s="387"/>
      <c r="I28" s="388"/>
      <c r="J28" s="322"/>
      <c r="K28" s="75" t="s">
        <v>176</v>
      </c>
      <c r="L28" s="370">
        <v>0.05</v>
      </c>
      <c r="M28" s="371">
        <f t="shared" si="4"/>
        <v>38076.92308</v>
      </c>
      <c r="N28" s="67">
        <f t="shared" si="5"/>
        <v>1903.846154</v>
      </c>
      <c r="O28" s="324"/>
    </row>
    <row r="29" ht="12.75" customHeight="1">
      <c r="A29" s="322"/>
      <c r="B29" s="75" t="s">
        <v>1317</v>
      </c>
      <c r="C29" s="370">
        <v>0.005</v>
      </c>
      <c r="D29" s="371">
        <f>'F&amp;B'!$F$126</f>
        <v>11700</v>
      </c>
      <c r="E29" s="67">
        <f t="shared" si="3"/>
        <v>58.5</v>
      </c>
      <c r="F29" s="324"/>
      <c r="G29" s="324"/>
      <c r="H29" s="387"/>
      <c r="I29" s="388"/>
      <c r="J29" s="322"/>
      <c r="K29" s="75" t="s">
        <v>1065</v>
      </c>
      <c r="L29" s="370">
        <v>0.03</v>
      </c>
      <c r="M29" s="371">
        <f>D31</f>
        <v>2970</v>
      </c>
      <c r="N29" s="67">
        <f t="shared" si="5"/>
        <v>89.1</v>
      </c>
      <c r="O29" s="324"/>
    </row>
    <row r="30" ht="12.75" customHeight="1">
      <c r="A30" s="322"/>
      <c r="B30" s="75" t="s">
        <v>66</v>
      </c>
      <c r="C30" s="346">
        <v>0.01</v>
      </c>
      <c r="D30" s="371">
        <f>SAUCES!K7</f>
        <v>12150</v>
      </c>
      <c r="E30" s="67">
        <f t="shared" si="3"/>
        <v>121.5</v>
      </c>
      <c r="F30" s="324"/>
      <c r="G30" s="324"/>
      <c r="H30" s="387"/>
      <c r="I30" s="388"/>
      <c r="J30" s="322"/>
      <c r="K30" s="75" t="s">
        <v>708</v>
      </c>
      <c r="L30" s="370">
        <v>0.04</v>
      </c>
      <c r="M30" s="371">
        <f>'F&amp;B'!$F$296</f>
        <v>9000</v>
      </c>
      <c r="N30" s="67">
        <f t="shared" si="5"/>
        <v>360</v>
      </c>
      <c r="O30" s="324"/>
    </row>
    <row r="31" ht="12.75" customHeight="1">
      <c r="A31" s="322"/>
      <c r="B31" s="75" t="s">
        <v>1320</v>
      </c>
      <c r="C31" s="346">
        <v>0.01</v>
      </c>
      <c r="D31" s="371">
        <f>'F&amp;B'!F286</f>
        <v>2970</v>
      </c>
      <c r="E31" s="67">
        <f t="shared" si="3"/>
        <v>29.7</v>
      </c>
      <c r="F31" s="324"/>
      <c r="G31" s="324"/>
      <c r="H31" s="387"/>
      <c r="I31" s="388"/>
      <c r="J31" s="322"/>
      <c r="K31" s="75" t="s">
        <v>1061</v>
      </c>
      <c r="L31" s="370">
        <v>0.04</v>
      </c>
      <c r="M31" s="371">
        <f>'F&amp;B'!$F$284</f>
        <v>7200</v>
      </c>
      <c r="N31" s="67">
        <f t="shared" si="5"/>
        <v>288</v>
      </c>
      <c r="O31" s="324"/>
    </row>
    <row r="32" ht="12.75" customHeight="1">
      <c r="A32" s="322"/>
      <c r="B32" s="75" t="s">
        <v>214</v>
      </c>
      <c r="C32" s="346">
        <v>0.02</v>
      </c>
      <c r="D32" s="347">
        <f>'F&amp;B'!$F$290</f>
        <v>6300</v>
      </c>
      <c r="E32" s="67">
        <f t="shared" si="3"/>
        <v>126</v>
      </c>
      <c r="F32" s="324"/>
      <c r="G32" s="324"/>
      <c r="H32" s="387"/>
      <c r="I32" s="388"/>
      <c r="J32" s="322"/>
      <c r="K32" s="75" t="s">
        <v>66</v>
      </c>
      <c r="L32" s="370">
        <v>0.02</v>
      </c>
      <c r="M32" s="371">
        <f>D30</f>
        <v>12150</v>
      </c>
      <c r="N32" s="67">
        <f t="shared" si="5"/>
        <v>243</v>
      </c>
      <c r="O32" s="324"/>
    </row>
    <row r="33" ht="12.75" customHeight="1">
      <c r="A33" s="322"/>
      <c r="B33" s="348"/>
      <c r="C33" s="346"/>
      <c r="D33" s="373"/>
      <c r="E33" s="67">
        <f t="shared" si="3"/>
        <v>0</v>
      </c>
      <c r="F33" s="324"/>
      <c r="G33" s="324"/>
      <c r="H33" s="387"/>
      <c r="I33" s="388"/>
      <c r="J33" s="322"/>
      <c r="K33" s="75" t="s">
        <v>1322</v>
      </c>
      <c r="L33" s="370">
        <v>0.02</v>
      </c>
      <c r="M33" s="371">
        <f>'F&amp;B'!$F$245</f>
        <v>32175</v>
      </c>
      <c r="N33" s="67">
        <f t="shared" si="5"/>
        <v>643.5</v>
      </c>
      <c r="O33" s="324"/>
    </row>
    <row r="34" ht="12.75" customHeight="1">
      <c r="A34" s="322"/>
      <c r="B34" s="348"/>
      <c r="C34" s="346"/>
      <c r="D34" s="373"/>
      <c r="E34" s="67">
        <f t="shared" si="3"/>
        <v>0</v>
      </c>
      <c r="F34" s="324"/>
      <c r="G34" s="324"/>
      <c r="H34" s="387"/>
      <c r="I34" s="388"/>
      <c r="J34" s="322"/>
      <c r="K34" s="75" t="s">
        <v>1323</v>
      </c>
      <c r="L34" s="370">
        <v>0.015</v>
      </c>
      <c r="M34" s="371">
        <f>D31</f>
        <v>2970</v>
      </c>
      <c r="N34" s="67">
        <f t="shared" si="5"/>
        <v>44.55</v>
      </c>
      <c r="O34" s="324"/>
    </row>
    <row r="35" ht="12.75" customHeight="1">
      <c r="A35" s="322"/>
      <c r="B35" s="348"/>
      <c r="C35" s="346"/>
      <c r="D35" s="373"/>
      <c r="E35" s="67">
        <f t="shared" si="3"/>
        <v>0</v>
      </c>
      <c r="F35" s="324"/>
      <c r="G35" s="324"/>
      <c r="H35" s="387"/>
      <c r="I35" s="388"/>
      <c r="J35" s="322"/>
      <c r="K35" s="75" t="s">
        <v>859</v>
      </c>
      <c r="L35" s="370">
        <v>0.015</v>
      </c>
      <c r="M35" s="371">
        <f>M34</f>
        <v>2970</v>
      </c>
      <c r="N35" s="67">
        <f t="shared" si="5"/>
        <v>44.55</v>
      </c>
      <c r="O35" s="324"/>
    </row>
    <row r="36" ht="12.75" customHeight="1">
      <c r="A36" s="322"/>
      <c r="B36" s="354"/>
      <c r="C36" s="355"/>
      <c r="D36" s="356"/>
      <c r="E36" s="67">
        <f t="shared" si="3"/>
        <v>0</v>
      </c>
      <c r="F36" s="324"/>
      <c r="G36" s="324"/>
      <c r="H36" s="387"/>
      <c r="I36" s="388"/>
      <c r="J36" s="322"/>
      <c r="K36" s="87" t="s">
        <v>1324</v>
      </c>
      <c r="L36" s="412">
        <v>0.009</v>
      </c>
      <c r="M36" s="408">
        <f>'F&amp;B'!$F$169</f>
        <v>81000</v>
      </c>
      <c r="N36" s="67">
        <f t="shared" si="5"/>
        <v>729</v>
      </c>
      <c r="O36" s="324"/>
    </row>
    <row r="37" ht="12.75" customHeight="1">
      <c r="A37" s="322"/>
      <c r="B37" s="362" t="s">
        <v>84</v>
      </c>
      <c r="C37" s="374"/>
      <c r="D37" s="374"/>
      <c r="E37" s="375">
        <f>IF(SUM(E27:E36)=0,"",SUM(E27:E36))</f>
        <v>3679.546154</v>
      </c>
      <c r="F37" s="324"/>
      <c r="G37" s="324"/>
      <c r="H37" s="387"/>
      <c r="I37" s="388"/>
      <c r="J37" s="322"/>
      <c r="K37" s="362" t="s">
        <v>84</v>
      </c>
      <c r="L37" s="374"/>
      <c r="M37" s="374"/>
      <c r="N37" s="375">
        <f>IF(SUM(N27:N36)=0,"",SUM(N27:N36))</f>
        <v>5497.546154</v>
      </c>
      <c r="O37" s="324"/>
    </row>
    <row r="38" ht="12.75" customHeight="1">
      <c r="A38" s="322"/>
      <c r="B38" s="360"/>
      <c r="C38" s="360"/>
      <c r="D38" s="360"/>
      <c r="E38" s="361"/>
      <c r="F38" s="324"/>
      <c r="G38" s="324"/>
      <c r="H38" s="387"/>
      <c r="I38" s="388"/>
      <c r="J38" s="322"/>
      <c r="K38" s="360"/>
      <c r="L38" s="360"/>
      <c r="M38" s="360"/>
      <c r="N38" s="361"/>
      <c r="O38" s="324"/>
    </row>
    <row r="39" ht="12.75" customHeight="1">
      <c r="A39" s="322"/>
      <c r="B39" s="34" t="s">
        <v>17</v>
      </c>
      <c r="C39" s="35"/>
      <c r="D39" s="35"/>
      <c r="E39" s="35"/>
      <c r="F39" s="324"/>
      <c r="G39" s="324"/>
      <c r="H39" s="387"/>
      <c r="I39" s="388"/>
      <c r="J39" s="322"/>
      <c r="K39" s="34" t="s">
        <v>17</v>
      </c>
      <c r="L39" s="35"/>
      <c r="M39" s="35"/>
      <c r="N39" s="35"/>
      <c r="O39" s="324"/>
    </row>
    <row r="40" ht="12.75" customHeight="1">
      <c r="A40" s="322"/>
      <c r="B40" s="52" t="s">
        <v>42</v>
      </c>
      <c r="C40" s="54"/>
      <c r="D40" s="54"/>
      <c r="E40" s="56" t="s">
        <v>35</v>
      </c>
      <c r="F40" s="324"/>
      <c r="G40" s="324"/>
      <c r="H40" s="387"/>
      <c r="I40" s="388"/>
      <c r="J40" s="322"/>
      <c r="K40" s="52" t="s">
        <v>42</v>
      </c>
      <c r="L40" s="54"/>
      <c r="M40" s="54"/>
      <c r="N40" s="56" t="s">
        <v>35</v>
      </c>
      <c r="O40" s="324"/>
    </row>
    <row r="41" ht="12.75" customHeight="1">
      <c r="A41" s="322"/>
      <c r="B41" s="60" t="s">
        <v>40</v>
      </c>
      <c r="C41" s="343">
        <f>'UTL COST'!$B$3</f>
        <v>369000</v>
      </c>
      <c r="D41" s="379">
        <f>'UTL COST'!$C$3</f>
        <v>0.0075</v>
      </c>
      <c r="E41" s="67">
        <v>0.0</v>
      </c>
      <c r="F41" s="324"/>
      <c r="G41" s="324"/>
      <c r="H41" s="387"/>
      <c r="I41" s="388"/>
      <c r="J41" s="322"/>
      <c r="K41" s="60" t="s">
        <v>40</v>
      </c>
      <c r="L41" s="343">
        <f>'UTL COST'!$B$3</f>
        <v>369000</v>
      </c>
      <c r="M41" s="379">
        <f>'UTL COST'!$C$3</f>
        <v>0.0075</v>
      </c>
      <c r="N41" s="67">
        <v>0.0</v>
      </c>
      <c r="O41" s="324"/>
    </row>
    <row r="42" ht="12.75" customHeight="1">
      <c r="A42" s="322"/>
      <c r="B42" s="75" t="s">
        <v>51</v>
      </c>
      <c r="C42" s="371" t="str">
        <f>'UTL COST'!$B$4</f>
        <v>#REF!</v>
      </c>
      <c r="D42" s="382">
        <f>'UTL COST'!$C$4</f>
        <v>7000</v>
      </c>
      <c r="E42" s="76">
        <v>0.0</v>
      </c>
      <c r="F42" s="324"/>
      <c r="G42" s="324"/>
      <c r="H42" s="387"/>
      <c r="I42" s="388"/>
      <c r="J42" s="322"/>
      <c r="K42" s="75" t="s">
        <v>51</v>
      </c>
      <c r="L42" s="371" t="str">
        <f>'UTL COST'!$B$4</f>
        <v>#REF!</v>
      </c>
      <c r="M42" s="382">
        <f>'UTL COST'!$C$4</f>
        <v>7000</v>
      </c>
      <c r="N42" s="76">
        <v>0.0</v>
      </c>
      <c r="O42" s="324"/>
    </row>
    <row r="43" ht="12.75" customHeight="1">
      <c r="A43" s="322"/>
      <c r="B43" s="75" t="s">
        <v>59</v>
      </c>
      <c r="C43" s="371" t="str">
        <f>'UTL COST'!$B$5</f>
        <v>#REF!</v>
      </c>
      <c r="D43" s="382">
        <f>'UTL COST'!$C$5</f>
        <v>45000</v>
      </c>
      <c r="E43" s="76" t="str">
        <f>'UTL COST'!$D$5</f>
        <v>#REF!</v>
      </c>
      <c r="F43" s="324"/>
      <c r="G43" s="324"/>
      <c r="H43" s="387"/>
      <c r="I43" s="388"/>
      <c r="J43" s="322"/>
      <c r="K43" s="75" t="s">
        <v>59</v>
      </c>
      <c r="L43" s="371" t="str">
        <f>'UTL COST'!$B$5</f>
        <v>#REF!</v>
      </c>
      <c r="M43" s="382">
        <f>'UTL COST'!$C$5</f>
        <v>45000</v>
      </c>
      <c r="N43" s="76" t="str">
        <f>'UTL COST'!$D$5</f>
        <v>#REF!</v>
      </c>
      <c r="O43" s="324"/>
    </row>
    <row r="44" ht="12.75" customHeight="1">
      <c r="A44" s="322"/>
      <c r="B44" s="87" t="s">
        <v>78</v>
      </c>
      <c r="C44" s="371" t="str">
        <f>'UTL COST'!$B$6</f>
        <v>#REF!</v>
      </c>
      <c r="D44" s="383">
        <f>'UTL COST'!$C$6</f>
        <v>525</v>
      </c>
      <c r="E44" s="89">
        <v>0.1</v>
      </c>
      <c r="F44" s="324"/>
      <c r="G44" s="324"/>
      <c r="H44" s="387"/>
      <c r="I44" s="388"/>
      <c r="J44" s="322"/>
      <c r="K44" s="87" t="s">
        <v>78</v>
      </c>
      <c r="L44" s="371" t="str">
        <f>'UTL COST'!$B$6</f>
        <v>#REF!</v>
      </c>
      <c r="M44" s="383">
        <f>'UTL COST'!$C$6</f>
        <v>525</v>
      </c>
      <c r="N44" s="89">
        <v>0.1</v>
      </c>
      <c r="O44" s="324"/>
    </row>
    <row r="45" ht="12.75" customHeight="1">
      <c r="A45" s="322"/>
      <c r="B45" s="34" t="s">
        <v>84</v>
      </c>
      <c r="C45" s="102"/>
      <c r="D45" s="102"/>
      <c r="E45" s="104" t="str">
        <f>IF(SUM(E41:E44)=0,"",SUM(E41:E44))</f>
        <v>#REF!</v>
      </c>
      <c r="F45" s="324"/>
      <c r="G45" s="324"/>
      <c r="H45" s="387"/>
      <c r="I45" s="388"/>
      <c r="J45" s="322"/>
      <c r="K45" s="34" t="s">
        <v>84</v>
      </c>
      <c r="L45" s="102"/>
      <c r="M45" s="102"/>
      <c r="N45" s="104" t="str">
        <f>IF(SUM(N41:N44)=0,"",SUM(N41:N44))</f>
        <v>#REF!</v>
      </c>
      <c r="O45" s="324"/>
    </row>
    <row r="46" ht="12.75" customHeight="1">
      <c r="A46" s="322"/>
      <c r="B46" s="360"/>
      <c r="C46" s="360"/>
      <c r="D46" s="360"/>
      <c r="E46" s="361"/>
      <c r="F46" s="324"/>
      <c r="G46" s="324"/>
      <c r="H46" s="387"/>
      <c r="I46" s="388"/>
      <c r="J46" s="322"/>
      <c r="K46" s="360"/>
      <c r="L46" s="360"/>
      <c r="M46" s="360"/>
      <c r="N46" s="361"/>
      <c r="O46" s="324"/>
    </row>
    <row r="47" ht="12.75" customHeight="1">
      <c r="A47" s="387"/>
      <c r="B47" s="387"/>
      <c r="C47" s="387"/>
      <c r="D47" s="387"/>
      <c r="E47" s="418"/>
      <c r="F47" s="387"/>
      <c r="G47" s="387"/>
      <c r="H47" s="387"/>
      <c r="I47" s="387"/>
      <c r="J47" s="387"/>
      <c r="K47" s="387"/>
      <c r="L47" s="387"/>
      <c r="M47" s="387"/>
      <c r="N47" s="387"/>
      <c r="O47" s="387"/>
    </row>
    <row r="48" ht="12.75" customHeight="1">
      <c r="A48" s="322"/>
      <c r="B48" s="322"/>
      <c r="C48" s="322"/>
      <c r="D48" s="322"/>
      <c r="E48" s="323"/>
      <c r="F48" s="324"/>
      <c r="G48" s="324"/>
      <c r="H48" s="387"/>
      <c r="I48" s="388"/>
      <c r="J48" s="322"/>
      <c r="K48" s="322"/>
      <c r="L48" s="322"/>
      <c r="M48" s="322"/>
      <c r="N48" s="323"/>
      <c r="O48" s="324"/>
    </row>
    <row r="49" ht="12.75" customHeight="1">
      <c r="A49" s="322"/>
      <c r="B49" s="325"/>
      <c r="C49" s="322"/>
      <c r="D49" s="322"/>
      <c r="E49" s="323"/>
      <c r="F49" s="326"/>
      <c r="G49" s="326"/>
      <c r="H49" s="404"/>
      <c r="I49" s="388"/>
      <c r="J49" s="322"/>
      <c r="K49" s="325"/>
      <c r="L49" s="322"/>
      <c r="M49" s="322"/>
      <c r="N49" s="323"/>
      <c r="O49" s="326"/>
    </row>
    <row r="50" ht="12.75" customHeight="1">
      <c r="A50" s="322"/>
      <c r="B50" s="327" t="s">
        <v>931</v>
      </c>
      <c r="C50" s="328" t="s">
        <v>1328</v>
      </c>
      <c r="D50" s="329"/>
      <c r="E50" s="323"/>
      <c r="F50" s="326"/>
      <c r="G50" s="326"/>
      <c r="H50" s="404"/>
      <c r="I50" s="388"/>
      <c r="J50" s="322"/>
      <c r="K50" s="327" t="s">
        <v>931</v>
      </c>
      <c r="L50" s="328" t="s">
        <v>747</v>
      </c>
      <c r="M50" s="329"/>
      <c r="N50" s="323"/>
      <c r="O50" s="326"/>
    </row>
    <row r="51" ht="12.75" customHeight="1">
      <c r="A51" s="322"/>
      <c r="B51" s="325"/>
      <c r="C51" s="322"/>
      <c r="D51" s="322"/>
      <c r="E51" s="323"/>
      <c r="F51" s="326"/>
      <c r="G51" s="326"/>
      <c r="H51" s="404"/>
      <c r="I51" s="388"/>
      <c r="J51" s="322"/>
      <c r="K51" s="325"/>
      <c r="L51" s="322"/>
      <c r="M51" s="322"/>
      <c r="N51" s="323"/>
      <c r="O51" s="326"/>
    </row>
    <row r="52" ht="12.75" customHeight="1">
      <c r="A52" s="322"/>
      <c r="B52" s="327" t="s">
        <v>935</v>
      </c>
      <c r="C52" s="331">
        <v>145000.0</v>
      </c>
      <c r="D52" s="329"/>
      <c r="E52" s="323"/>
      <c r="F52" s="326"/>
      <c r="G52" s="326"/>
      <c r="H52" s="404"/>
      <c r="I52" s="388"/>
      <c r="J52" s="322"/>
      <c r="K52" s="327" t="s">
        <v>935</v>
      </c>
      <c r="L52" s="331">
        <v>145000.0</v>
      </c>
      <c r="M52" s="329"/>
      <c r="N52" s="323"/>
      <c r="O52" s="326"/>
    </row>
    <row r="53" ht="12.75" customHeight="1">
      <c r="A53" s="322"/>
      <c r="B53" s="327"/>
      <c r="C53" s="332"/>
      <c r="D53" s="332"/>
      <c r="E53" s="323"/>
      <c r="F53" s="326"/>
      <c r="G53" s="326"/>
      <c r="H53" s="404"/>
      <c r="I53" s="388"/>
      <c r="J53" s="322"/>
      <c r="K53" s="327"/>
      <c r="L53" s="332"/>
      <c r="M53" s="332"/>
      <c r="N53" s="323"/>
      <c r="O53" s="326"/>
    </row>
    <row r="54" ht="12.75" customHeight="1">
      <c r="A54" s="322"/>
      <c r="B54" s="327" t="s">
        <v>939</v>
      </c>
      <c r="C54" s="333" t="str">
        <f>IF(SUM(E66,E81,E89)=0,"",SUM(E66,E81,E89))</f>
        <v>#REF!</v>
      </c>
      <c r="D54" s="321"/>
      <c r="E54" s="323"/>
      <c r="F54" s="326"/>
      <c r="G54" s="326"/>
      <c r="H54" s="404"/>
      <c r="I54" s="388"/>
      <c r="J54" s="322"/>
      <c r="K54" s="327" t="s">
        <v>939</v>
      </c>
      <c r="L54" s="333" t="str">
        <f>IF(SUM(N66,N81,N89)=0,"",SUM(N66,N81,N89))</f>
        <v>#REF!</v>
      </c>
      <c r="M54" s="321"/>
      <c r="N54" s="323"/>
      <c r="O54" s="326"/>
    </row>
    <row r="55" ht="12.75" customHeight="1">
      <c r="A55" s="322"/>
      <c r="B55" s="327"/>
      <c r="C55" s="334"/>
      <c r="D55" s="334"/>
      <c r="E55" s="323"/>
      <c r="F55" s="326"/>
      <c r="G55" s="326"/>
      <c r="H55" s="404"/>
      <c r="I55" s="388"/>
      <c r="J55" s="322"/>
      <c r="K55" s="327"/>
      <c r="L55" s="334"/>
      <c r="M55" s="334"/>
      <c r="N55" s="323"/>
      <c r="O55" s="326"/>
    </row>
    <row r="56" ht="12.75" customHeight="1">
      <c r="A56" s="322"/>
      <c r="B56" s="327" t="s">
        <v>946</v>
      </c>
      <c r="C56" s="335" t="str">
        <f>IF(C54="","",IF(ISBLANK(C52),"",C54/C52))</f>
        <v>#REF!</v>
      </c>
      <c r="D56" s="321"/>
      <c r="E56" s="323"/>
      <c r="F56" s="326"/>
      <c r="G56" s="326"/>
      <c r="H56" s="404"/>
      <c r="I56" s="388"/>
      <c r="J56" s="322"/>
      <c r="K56" s="327" t="s">
        <v>946</v>
      </c>
      <c r="L56" s="335" t="str">
        <f>IF(L54="","",IF(ISBLANK(L52),"",L54/L52))</f>
        <v>#REF!</v>
      </c>
      <c r="M56" s="321"/>
      <c r="N56" s="323"/>
      <c r="O56" s="326"/>
    </row>
    <row r="57" ht="12.75" customHeight="1">
      <c r="A57" s="322"/>
      <c r="B57" s="327"/>
      <c r="C57" s="334"/>
      <c r="D57" s="334"/>
      <c r="E57" s="323"/>
      <c r="F57" s="326"/>
      <c r="G57" s="326"/>
      <c r="H57" s="404"/>
      <c r="I57" s="388"/>
      <c r="J57" s="322"/>
      <c r="K57" s="327"/>
      <c r="L57" s="334"/>
      <c r="M57" s="334"/>
      <c r="N57" s="323"/>
      <c r="O57" s="326"/>
    </row>
    <row r="58" ht="12.75" customHeight="1">
      <c r="A58" s="322"/>
      <c r="B58" s="327" t="s">
        <v>950</v>
      </c>
      <c r="C58" s="333" t="str">
        <f>C52-C54</f>
        <v>#REF!</v>
      </c>
      <c r="D58" s="321"/>
      <c r="E58" s="323"/>
      <c r="F58" s="326"/>
      <c r="G58" s="326"/>
      <c r="H58" s="404"/>
      <c r="I58" s="388"/>
      <c r="J58" s="322"/>
      <c r="K58" s="327" t="s">
        <v>950</v>
      </c>
      <c r="L58" s="333" t="str">
        <f>L52-L54</f>
        <v>#REF!</v>
      </c>
      <c r="M58" s="321"/>
      <c r="N58" s="323"/>
      <c r="O58" s="326"/>
    </row>
    <row r="59" ht="12.75" customHeight="1">
      <c r="A59" s="322"/>
      <c r="B59" s="322"/>
      <c r="C59" s="322"/>
      <c r="D59" s="322"/>
      <c r="E59" s="323"/>
      <c r="F59" s="324"/>
      <c r="G59" s="324"/>
      <c r="H59" s="404"/>
      <c r="I59" s="388"/>
      <c r="J59" s="322"/>
      <c r="K59" s="322"/>
      <c r="L59" s="322"/>
      <c r="M59" s="322"/>
      <c r="N59" s="323"/>
      <c r="O59" s="324"/>
    </row>
    <row r="60" ht="12.75" customHeight="1">
      <c r="A60" s="322"/>
      <c r="B60" s="322"/>
      <c r="C60" s="322"/>
      <c r="D60" s="322"/>
      <c r="E60" s="337"/>
      <c r="F60" s="324"/>
      <c r="G60" s="324"/>
      <c r="H60" s="387"/>
      <c r="I60" s="388"/>
      <c r="J60" s="322"/>
      <c r="K60" s="322"/>
      <c r="L60" s="322"/>
      <c r="M60" s="322"/>
      <c r="N60" s="337"/>
      <c r="O60" s="324"/>
    </row>
    <row r="61" ht="12.75" customHeight="1">
      <c r="A61" s="322"/>
      <c r="B61" s="338" t="s">
        <v>951</v>
      </c>
      <c r="C61" s="339"/>
      <c r="D61" s="339"/>
      <c r="E61" s="339"/>
      <c r="F61" s="324"/>
      <c r="G61" s="324"/>
      <c r="H61" s="410"/>
      <c r="I61" s="388"/>
      <c r="J61" s="322"/>
      <c r="K61" s="338" t="s">
        <v>951</v>
      </c>
      <c r="L61" s="339"/>
      <c r="M61" s="339"/>
      <c r="N61" s="339"/>
      <c r="O61" s="324"/>
    </row>
    <row r="62" ht="12.75" customHeight="1">
      <c r="A62" s="322"/>
      <c r="B62" s="340" t="s">
        <v>953</v>
      </c>
      <c r="C62" s="341" t="s">
        <v>954</v>
      </c>
      <c r="D62" s="341" t="s">
        <v>955</v>
      </c>
      <c r="E62" s="341" t="s">
        <v>35</v>
      </c>
      <c r="F62" s="324"/>
      <c r="G62" s="324"/>
      <c r="H62" s="387"/>
      <c r="I62" s="388"/>
      <c r="J62" s="322"/>
      <c r="K62" s="340" t="s">
        <v>953</v>
      </c>
      <c r="L62" s="341" t="s">
        <v>954</v>
      </c>
      <c r="M62" s="341" t="s">
        <v>955</v>
      </c>
      <c r="N62" s="341" t="s">
        <v>35</v>
      </c>
      <c r="O62" s="324"/>
    </row>
    <row r="63" ht="12.75" customHeight="1">
      <c r="A63" s="322"/>
      <c r="B63" s="60" t="s">
        <v>752</v>
      </c>
      <c r="C63" s="342">
        <v>0.15</v>
      </c>
      <c r="D63" s="343">
        <f>'F&amp;B'!F217</f>
        <v>108000</v>
      </c>
      <c r="E63" s="67">
        <f t="shared" ref="E63:E65" si="6">IF(OR(ISBLANK(C63),ISBLANK(D63)),"",D63*C63)</f>
        <v>16200</v>
      </c>
      <c r="F63" s="324"/>
      <c r="G63" s="324"/>
      <c r="H63" s="387"/>
      <c r="I63" s="388"/>
      <c r="J63" s="322"/>
      <c r="K63" s="60" t="s">
        <v>747</v>
      </c>
      <c r="L63" s="342">
        <v>0.15</v>
      </c>
      <c r="M63" s="343">
        <f>'F&amp;B'!F221</f>
        <v>99000</v>
      </c>
      <c r="N63" s="67">
        <f t="shared" ref="N63:N64" si="7">IF(OR(ISBLANK(L63),ISBLANK(M63)),"",M63*L63)</f>
        <v>14850</v>
      </c>
      <c r="O63" s="324"/>
    </row>
    <row r="64" ht="12.75" customHeight="1">
      <c r="A64" s="322"/>
      <c r="B64" s="75" t="s">
        <v>1322</v>
      </c>
      <c r="C64" s="346">
        <v>0.05</v>
      </c>
      <c r="D64" s="371">
        <f>'F&amp;B'!$F$245</f>
        <v>32175</v>
      </c>
      <c r="E64" s="67">
        <f t="shared" si="6"/>
        <v>1608.75</v>
      </c>
      <c r="F64" s="324"/>
      <c r="G64" s="324"/>
      <c r="H64" s="387"/>
      <c r="I64" s="388"/>
      <c r="J64" s="322"/>
      <c r="K64" s="75"/>
      <c r="L64" s="346"/>
      <c r="M64" s="371"/>
      <c r="N64" s="67" t="str">
        <f t="shared" si="7"/>
        <v/>
      </c>
      <c r="O64" s="324"/>
    </row>
    <row r="65" ht="12.75" customHeight="1">
      <c r="A65" s="322"/>
      <c r="B65" s="87"/>
      <c r="C65" s="355"/>
      <c r="D65" s="352"/>
      <c r="E65" s="67" t="str">
        <f t="shared" si="6"/>
        <v/>
      </c>
      <c r="F65" s="324"/>
      <c r="G65" s="324"/>
      <c r="H65" s="387"/>
      <c r="I65" s="388"/>
      <c r="J65" s="322"/>
      <c r="K65" s="87"/>
      <c r="L65" s="355"/>
      <c r="M65" s="356"/>
      <c r="N65" s="67"/>
      <c r="O65" s="324"/>
    </row>
    <row r="66" ht="12.75" customHeight="1">
      <c r="A66" s="322"/>
      <c r="B66" s="338" t="s">
        <v>84</v>
      </c>
      <c r="C66" s="358"/>
      <c r="D66" s="358"/>
      <c r="E66" s="359">
        <f>IF(SUM(E63:E65)=0,"",SUM(E63:E65))</f>
        <v>17808.75</v>
      </c>
      <c r="F66" s="324"/>
      <c r="G66" s="324"/>
      <c r="H66" s="387"/>
      <c r="I66" s="388"/>
      <c r="J66" s="322"/>
      <c r="K66" s="338" t="s">
        <v>84</v>
      </c>
      <c r="L66" s="358"/>
      <c r="M66" s="358"/>
      <c r="N66" s="359">
        <f>IF(SUM(N63:N65)=0,"",SUM(N63:N65))</f>
        <v>14850</v>
      </c>
      <c r="O66" s="324"/>
    </row>
    <row r="67" ht="12.75" customHeight="1">
      <c r="A67" s="322"/>
      <c r="B67" s="360"/>
      <c r="C67" s="360"/>
      <c r="D67" s="360"/>
      <c r="E67" s="361"/>
      <c r="F67" s="324"/>
      <c r="G67" s="324"/>
      <c r="H67" s="387"/>
      <c r="I67" s="388"/>
      <c r="J67" s="322"/>
      <c r="K67" s="360"/>
      <c r="L67" s="360"/>
      <c r="M67" s="360"/>
      <c r="N67" s="361"/>
      <c r="O67" s="324"/>
    </row>
    <row r="68" ht="12.75" customHeight="1">
      <c r="A68" s="322"/>
      <c r="B68" s="362" t="s">
        <v>972</v>
      </c>
      <c r="C68" s="363"/>
      <c r="D68" s="363"/>
      <c r="E68" s="363"/>
      <c r="F68" s="324"/>
      <c r="G68" s="324"/>
      <c r="H68" s="387"/>
      <c r="I68" s="388"/>
      <c r="J68" s="322"/>
      <c r="K68" s="362" t="s">
        <v>972</v>
      </c>
      <c r="L68" s="363"/>
      <c r="M68" s="363"/>
      <c r="N68" s="363"/>
      <c r="O68" s="324"/>
    </row>
    <row r="69" ht="12.75" customHeight="1">
      <c r="A69" s="322"/>
      <c r="B69" s="365" t="s">
        <v>953</v>
      </c>
      <c r="C69" s="366" t="s">
        <v>3</v>
      </c>
      <c r="D69" s="366" t="s">
        <v>975</v>
      </c>
      <c r="E69" s="367" t="s">
        <v>35</v>
      </c>
      <c r="F69" s="324"/>
      <c r="G69" s="324"/>
      <c r="H69" s="387"/>
      <c r="I69" s="388"/>
      <c r="J69" s="322"/>
      <c r="K69" s="365" t="s">
        <v>953</v>
      </c>
      <c r="L69" s="366" t="s">
        <v>3</v>
      </c>
      <c r="M69" s="366" t="s">
        <v>975</v>
      </c>
      <c r="N69" s="367" t="s">
        <v>35</v>
      </c>
      <c r="O69" s="324"/>
    </row>
    <row r="70" ht="12.75" customHeight="1">
      <c r="A70" s="322"/>
      <c r="B70" s="368"/>
      <c r="C70" s="366"/>
      <c r="D70" s="366"/>
      <c r="E70" s="368"/>
      <c r="F70" s="324"/>
      <c r="G70" s="324"/>
      <c r="H70" s="387"/>
      <c r="I70" s="388"/>
      <c r="J70" s="322"/>
      <c r="K70" s="368"/>
      <c r="L70" s="366"/>
      <c r="M70" s="366"/>
      <c r="N70" s="368"/>
      <c r="O70" s="324"/>
    </row>
    <row r="71" ht="12.75" customHeight="1">
      <c r="A71" s="322"/>
      <c r="B71" s="60" t="s">
        <v>54</v>
      </c>
      <c r="C71" s="342">
        <v>0.11</v>
      </c>
      <c r="D71" s="343">
        <f>'F&amp;B'!$F$57/15</f>
        <v>9900</v>
      </c>
      <c r="E71" s="67">
        <f t="shared" ref="E71:E80" si="8">D71*C71</f>
        <v>1089</v>
      </c>
      <c r="F71" s="324"/>
      <c r="G71" s="324"/>
      <c r="H71" s="387"/>
      <c r="I71" s="388"/>
      <c r="J71" s="322"/>
      <c r="K71" s="60" t="s">
        <v>54</v>
      </c>
      <c r="L71" s="342">
        <v>0.11</v>
      </c>
      <c r="M71" s="343">
        <f t="shared" ref="M71:M72" si="9">D71</f>
        <v>9900</v>
      </c>
      <c r="N71" s="67">
        <f t="shared" ref="N71:N80" si="10">M71*L71</f>
        <v>1089</v>
      </c>
      <c r="O71" s="324"/>
    </row>
    <row r="72" ht="12.75" customHeight="1">
      <c r="A72" s="322"/>
      <c r="B72" s="75" t="s">
        <v>66</v>
      </c>
      <c r="C72" s="370">
        <v>0.02</v>
      </c>
      <c r="D72" s="371">
        <f>'F&amp;B'!$F$287</f>
        <v>8100</v>
      </c>
      <c r="E72" s="67">
        <f t="shared" si="8"/>
        <v>162</v>
      </c>
      <c r="F72" s="324"/>
      <c r="G72" s="324"/>
      <c r="H72" s="387"/>
      <c r="I72" s="388"/>
      <c r="J72" s="322"/>
      <c r="K72" s="75" t="s">
        <v>66</v>
      </c>
      <c r="L72" s="370">
        <v>0.2</v>
      </c>
      <c r="M72" s="371">
        <f t="shared" si="9"/>
        <v>8100</v>
      </c>
      <c r="N72" s="67">
        <f t="shared" si="10"/>
        <v>1620</v>
      </c>
      <c r="O72" s="324"/>
    </row>
    <row r="73" ht="12.75" customHeight="1">
      <c r="A73" s="322"/>
      <c r="B73" s="75"/>
      <c r="C73" s="370"/>
      <c r="D73" s="371"/>
      <c r="E73" s="67">
        <f t="shared" si="8"/>
        <v>0</v>
      </c>
      <c r="F73" s="324"/>
      <c r="G73" s="324"/>
      <c r="H73" s="387"/>
      <c r="I73" s="388"/>
      <c r="J73" s="322"/>
      <c r="K73" s="75"/>
      <c r="L73" s="370"/>
      <c r="M73" s="371"/>
      <c r="N73" s="67">
        <f t="shared" si="10"/>
        <v>0</v>
      </c>
      <c r="O73" s="324"/>
    </row>
    <row r="74" ht="12.75" customHeight="1">
      <c r="A74" s="322"/>
      <c r="B74" s="75"/>
      <c r="C74" s="346"/>
      <c r="D74" s="371"/>
      <c r="E74" s="67">
        <f t="shared" si="8"/>
        <v>0</v>
      </c>
      <c r="F74" s="324"/>
      <c r="G74" s="324"/>
      <c r="H74" s="387"/>
      <c r="I74" s="388"/>
      <c r="J74" s="322"/>
      <c r="K74" s="75"/>
      <c r="L74" s="346"/>
      <c r="M74" s="371"/>
      <c r="N74" s="67">
        <f t="shared" si="10"/>
        <v>0</v>
      </c>
      <c r="O74" s="324"/>
    </row>
    <row r="75" ht="12.75" customHeight="1">
      <c r="A75" s="322"/>
      <c r="B75" s="75"/>
      <c r="C75" s="346"/>
      <c r="D75" s="371"/>
      <c r="E75" s="67">
        <f t="shared" si="8"/>
        <v>0</v>
      </c>
      <c r="F75" s="324"/>
      <c r="G75" s="324"/>
      <c r="H75" s="387"/>
      <c r="I75" s="388"/>
      <c r="J75" s="322"/>
      <c r="K75" s="75"/>
      <c r="L75" s="346"/>
      <c r="M75" s="371"/>
      <c r="N75" s="67">
        <f t="shared" si="10"/>
        <v>0</v>
      </c>
      <c r="O75" s="324"/>
    </row>
    <row r="76" ht="12.75" customHeight="1">
      <c r="A76" s="322"/>
      <c r="B76" s="75"/>
      <c r="C76" s="346"/>
      <c r="D76" s="373"/>
      <c r="E76" s="67">
        <f t="shared" si="8"/>
        <v>0</v>
      </c>
      <c r="F76" s="324"/>
      <c r="G76" s="324"/>
      <c r="H76" s="387"/>
      <c r="I76" s="388"/>
      <c r="J76" s="322"/>
      <c r="K76" s="75"/>
      <c r="L76" s="346"/>
      <c r="M76" s="373"/>
      <c r="N76" s="67">
        <f t="shared" si="10"/>
        <v>0</v>
      </c>
      <c r="O76" s="324"/>
    </row>
    <row r="77" ht="12.75" customHeight="1">
      <c r="A77" s="322"/>
      <c r="B77" s="348"/>
      <c r="C77" s="346"/>
      <c r="D77" s="373"/>
      <c r="E77" s="67">
        <f t="shared" si="8"/>
        <v>0</v>
      </c>
      <c r="F77" s="324"/>
      <c r="G77" s="324"/>
      <c r="H77" s="387"/>
      <c r="I77" s="388"/>
      <c r="J77" s="322"/>
      <c r="K77" s="348"/>
      <c r="L77" s="346"/>
      <c r="M77" s="373"/>
      <c r="N77" s="67">
        <f t="shared" si="10"/>
        <v>0</v>
      </c>
      <c r="O77" s="324"/>
    </row>
    <row r="78" ht="12.75" customHeight="1">
      <c r="A78" s="322"/>
      <c r="B78" s="348"/>
      <c r="C78" s="346"/>
      <c r="D78" s="373"/>
      <c r="E78" s="67">
        <f t="shared" si="8"/>
        <v>0</v>
      </c>
      <c r="F78" s="324"/>
      <c r="G78" s="324"/>
      <c r="H78" s="387"/>
      <c r="I78" s="388"/>
      <c r="J78" s="322"/>
      <c r="K78" s="348"/>
      <c r="L78" s="346"/>
      <c r="M78" s="373"/>
      <c r="N78" s="67">
        <f t="shared" si="10"/>
        <v>0</v>
      </c>
      <c r="O78" s="324"/>
    </row>
    <row r="79" ht="12.75" customHeight="1">
      <c r="A79" s="322"/>
      <c r="B79" s="348"/>
      <c r="C79" s="346"/>
      <c r="D79" s="373"/>
      <c r="E79" s="67">
        <f t="shared" si="8"/>
        <v>0</v>
      </c>
      <c r="F79" s="324"/>
      <c r="G79" s="324"/>
      <c r="H79" s="387"/>
      <c r="I79" s="388"/>
      <c r="J79" s="322"/>
      <c r="K79" s="348"/>
      <c r="L79" s="346"/>
      <c r="M79" s="373"/>
      <c r="N79" s="67">
        <f t="shared" si="10"/>
        <v>0</v>
      </c>
      <c r="O79" s="324"/>
    </row>
    <row r="80" ht="12.75" customHeight="1">
      <c r="A80" s="322"/>
      <c r="B80" s="354"/>
      <c r="C80" s="355"/>
      <c r="D80" s="356"/>
      <c r="E80" s="67">
        <f t="shared" si="8"/>
        <v>0</v>
      </c>
      <c r="F80" s="324"/>
      <c r="G80" s="324"/>
      <c r="H80" s="387"/>
      <c r="I80" s="388"/>
      <c r="J80" s="322"/>
      <c r="K80" s="354"/>
      <c r="L80" s="355"/>
      <c r="M80" s="356"/>
      <c r="N80" s="67">
        <f t="shared" si="10"/>
        <v>0</v>
      </c>
      <c r="O80" s="324"/>
    </row>
    <row r="81" ht="12.75" customHeight="1">
      <c r="A81" s="322"/>
      <c r="B81" s="362" t="s">
        <v>84</v>
      </c>
      <c r="C81" s="374"/>
      <c r="D81" s="374"/>
      <c r="E81" s="375">
        <f>IF(SUM(E71:E80)=0,"",SUM(E71:E80))</f>
        <v>1251</v>
      </c>
      <c r="F81" s="324"/>
      <c r="G81" s="324"/>
      <c r="H81" s="387"/>
      <c r="I81" s="388"/>
      <c r="J81" s="322"/>
      <c r="K81" s="362" t="s">
        <v>84</v>
      </c>
      <c r="L81" s="374"/>
      <c r="M81" s="374"/>
      <c r="N81" s="375">
        <f>IF(SUM(N71:N80)=0,"",SUM(N71:N80))</f>
        <v>2709</v>
      </c>
      <c r="O81" s="324"/>
    </row>
    <row r="82" ht="12.75" customHeight="1">
      <c r="A82" s="322"/>
      <c r="B82" s="360"/>
      <c r="C82" s="360"/>
      <c r="D82" s="360"/>
      <c r="E82" s="361"/>
      <c r="F82" s="324"/>
      <c r="G82" s="324"/>
      <c r="H82" s="387"/>
      <c r="I82" s="388"/>
      <c r="J82" s="322"/>
      <c r="K82" s="360"/>
      <c r="L82" s="360"/>
      <c r="M82" s="360"/>
      <c r="N82" s="361"/>
      <c r="O82" s="324"/>
    </row>
    <row r="83" ht="12.75" customHeight="1">
      <c r="A83" s="322"/>
      <c r="B83" s="34" t="s">
        <v>17</v>
      </c>
      <c r="C83" s="35"/>
      <c r="D83" s="35"/>
      <c r="E83" s="35"/>
      <c r="F83" s="324"/>
      <c r="G83" s="324"/>
      <c r="H83" s="387"/>
      <c r="I83" s="388"/>
      <c r="J83" s="322"/>
      <c r="K83" s="34" t="s">
        <v>17</v>
      </c>
      <c r="L83" s="35"/>
      <c r="M83" s="35"/>
      <c r="N83" s="35"/>
      <c r="O83" s="324"/>
    </row>
    <row r="84" ht="12.75" customHeight="1">
      <c r="A84" s="322"/>
      <c r="B84" s="52" t="s">
        <v>42</v>
      </c>
      <c r="C84" s="54"/>
      <c r="D84" s="54"/>
      <c r="E84" s="56" t="s">
        <v>35</v>
      </c>
      <c r="F84" s="324"/>
      <c r="G84" s="324"/>
      <c r="H84" s="387"/>
      <c r="I84" s="388"/>
      <c r="J84" s="322"/>
      <c r="K84" s="52" t="s">
        <v>42</v>
      </c>
      <c r="L84" s="54"/>
      <c r="M84" s="54"/>
      <c r="N84" s="56" t="s">
        <v>35</v>
      </c>
      <c r="O84" s="324"/>
    </row>
    <row r="85" ht="12.75" customHeight="1">
      <c r="A85" s="322"/>
      <c r="B85" s="60" t="s">
        <v>40</v>
      </c>
      <c r="C85" s="343">
        <f>'UTL COST'!$B$3</f>
        <v>369000</v>
      </c>
      <c r="D85" s="379">
        <f>'UTL COST'!$C$3</f>
        <v>0.0075</v>
      </c>
      <c r="E85" s="67">
        <v>0.0</v>
      </c>
      <c r="F85" s="324"/>
      <c r="G85" s="324"/>
      <c r="H85" s="387"/>
      <c r="I85" s="388"/>
      <c r="J85" s="322"/>
      <c r="K85" s="60" t="s">
        <v>40</v>
      </c>
      <c r="L85" s="343">
        <f>'UTL COST'!$B$3</f>
        <v>369000</v>
      </c>
      <c r="M85" s="379">
        <f>'UTL COST'!$C$3</f>
        <v>0.0075</v>
      </c>
      <c r="N85" s="67">
        <v>0.0</v>
      </c>
      <c r="O85" s="324"/>
    </row>
    <row r="86" ht="12.75" customHeight="1">
      <c r="A86" s="322"/>
      <c r="B86" s="75" t="s">
        <v>51</v>
      </c>
      <c r="C86" s="371" t="str">
        <f>'UTL COST'!$B$4</f>
        <v>#REF!</v>
      </c>
      <c r="D86" s="382">
        <f>'UTL COST'!$C$4</f>
        <v>7000</v>
      </c>
      <c r="E86" s="76" t="str">
        <f>'UTL COST'!$D$4</f>
        <v>#REF!</v>
      </c>
      <c r="F86" s="324"/>
      <c r="G86" s="324"/>
      <c r="H86" s="387"/>
      <c r="I86" s="388"/>
      <c r="J86" s="322"/>
      <c r="K86" s="75" t="s">
        <v>51</v>
      </c>
      <c r="L86" s="371" t="str">
        <f>'UTL COST'!$B$4</f>
        <v>#REF!</v>
      </c>
      <c r="M86" s="382">
        <f>'UTL COST'!$C$4</f>
        <v>7000</v>
      </c>
      <c r="N86" s="76" t="str">
        <f>'UTL COST'!$D$4</f>
        <v>#REF!</v>
      </c>
      <c r="O86" s="324"/>
    </row>
    <row r="87" ht="12.75" customHeight="1">
      <c r="A87" s="322"/>
      <c r="B87" s="75" t="s">
        <v>59</v>
      </c>
      <c r="C87" s="371" t="str">
        <f>'UTL COST'!$B$5</f>
        <v>#REF!</v>
      </c>
      <c r="D87" s="382">
        <f>'UTL COST'!$C$5</f>
        <v>45000</v>
      </c>
      <c r="E87" s="76" t="str">
        <f>'UTL COST'!$D$5</f>
        <v>#REF!</v>
      </c>
      <c r="F87" s="324"/>
      <c r="G87" s="324"/>
      <c r="H87" s="387"/>
      <c r="I87" s="388"/>
      <c r="J87" s="322"/>
      <c r="K87" s="75" t="s">
        <v>59</v>
      </c>
      <c r="L87" s="371" t="str">
        <f>'UTL COST'!$B$5</f>
        <v>#REF!</v>
      </c>
      <c r="M87" s="382">
        <f>'UTL COST'!$C$5</f>
        <v>45000</v>
      </c>
      <c r="N87" s="76" t="str">
        <f>'UTL COST'!$D$5</f>
        <v>#REF!</v>
      </c>
      <c r="O87" s="324"/>
    </row>
    <row r="88" ht="12.75" customHeight="1">
      <c r="A88" s="322"/>
      <c r="B88" s="87" t="s">
        <v>78</v>
      </c>
      <c r="C88" s="371" t="str">
        <f>'UTL COST'!$B$6</f>
        <v>#REF!</v>
      </c>
      <c r="D88" s="383">
        <f>'UTL COST'!$C$6</f>
        <v>525</v>
      </c>
      <c r="E88" s="89">
        <v>0.1</v>
      </c>
      <c r="F88" s="324"/>
      <c r="G88" s="324"/>
      <c r="H88" s="387"/>
      <c r="I88" s="388"/>
      <c r="J88" s="322"/>
      <c r="K88" s="87" t="s">
        <v>78</v>
      </c>
      <c r="L88" s="371" t="str">
        <f>'UTL COST'!$B$6</f>
        <v>#REF!</v>
      </c>
      <c r="M88" s="383">
        <f>'UTL COST'!$C$6</f>
        <v>525</v>
      </c>
      <c r="N88" s="89">
        <v>0.1</v>
      </c>
      <c r="O88" s="324"/>
    </row>
    <row r="89" ht="12.75" customHeight="1">
      <c r="A89" s="322"/>
      <c r="B89" s="34" t="s">
        <v>84</v>
      </c>
      <c r="C89" s="102"/>
      <c r="D89" s="102"/>
      <c r="E89" s="104" t="str">
        <f>IF(SUM(E85:E88)=0,"",SUM(E85:E88))</f>
        <v>#REF!</v>
      </c>
      <c r="F89" s="324"/>
      <c r="G89" s="324"/>
      <c r="H89" s="387"/>
      <c r="I89" s="388"/>
      <c r="J89" s="322"/>
      <c r="K89" s="34" t="s">
        <v>84</v>
      </c>
      <c r="L89" s="102"/>
      <c r="M89" s="102"/>
      <c r="N89" s="104" t="str">
        <f>IF(SUM(N85:N88)=0,"",SUM(N85:N88))</f>
        <v>#REF!</v>
      </c>
      <c r="O89" s="324"/>
    </row>
    <row r="90" ht="12.75" customHeight="1">
      <c r="A90" s="322"/>
      <c r="B90" s="360"/>
      <c r="C90" s="360"/>
      <c r="D90" s="360"/>
      <c r="E90" s="361"/>
      <c r="F90" s="324"/>
      <c r="G90" s="324"/>
      <c r="H90" s="387"/>
      <c r="I90" s="388"/>
      <c r="J90" s="322"/>
      <c r="K90" s="360"/>
      <c r="L90" s="360"/>
      <c r="M90" s="360"/>
      <c r="N90" s="361"/>
      <c r="O90" s="324"/>
    </row>
    <row r="91" ht="12.75" customHeight="1">
      <c r="A91" s="388"/>
      <c r="B91" s="432"/>
      <c r="C91" s="432"/>
      <c r="D91" s="432"/>
      <c r="E91" s="433"/>
      <c r="F91" s="387"/>
      <c r="G91" s="387"/>
      <c r="H91" s="387"/>
      <c r="I91" s="388"/>
      <c r="J91" s="387"/>
      <c r="K91" s="387"/>
      <c r="L91" s="387"/>
      <c r="M91" s="387"/>
      <c r="N91" s="387"/>
      <c r="O91" s="387"/>
    </row>
    <row r="92" ht="12.75" customHeight="1">
      <c r="A92" s="387"/>
      <c r="B92" s="387"/>
      <c r="C92" s="387"/>
      <c r="D92" s="387"/>
      <c r="E92" s="418"/>
      <c r="F92" s="387"/>
      <c r="G92" s="387"/>
      <c r="H92" s="387"/>
      <c r="I92" s="387"/>
      <c r="J92" s="387"/>
      <c r="K92" s="387"/>
      <c r="L92" s="387"/>
      <c r="M92" s="387"/>
      <c r="N92" s="387"/>
      <c r="O92" s="387"/>
    </row>
    <row r="93" ht="12.75" customHeight="1">
      <c r="A93" s="322"/>
      <c r="B93" s="322"/>
      <c r="C93" s="322"/>
      <c r="D93" s="322"/>
      <c r="E93" s="323"/>
      <c r="F93" s="324"/>
      <c r="G93" s="324"/>
      <c r="H93" s="387"/>
      <c r="I93" s="388"/>
      <c r="J93" s="322"/>
      <c r="K93" s="322"/>
      <c r="L93" s="322"/>
      <c r="M93" s="322"/>
      <c r="N93" s="323"/>
      <c r="O93" s="324"/>
    </row>
    <row r="94" ht="12.75" customHeight="1">
      <c r="A94" s="322"/>
      <c r="B94" s="325"/>
      <c r="C94" s="322"/>
      <c r="D94" s="322"/>
      <c r="E94" s="323"/>
      <c r="F94" s="326"/>
      <c r="G94" s="326"/>
      <c r="H94" s="404"/>
      <c r="I94" s="388"/>
      <c r="J94" s="322"/>
      <c r="K94" s="325"/>
      <c r="L94" s="322"/>
      <c r="M94" s="322"/>
      <c r="N94" s="323"/>
      <c r="O94" s="326"/>
    </row>
    <row r="95" ht="12.75" customHeight="1">
      <c r="A95" s="322"/>
      <c r="B95" s="327" t="s">
        <v>931</v>
      </c>
      <c r="C95" s="328" t="s">
        <v>1343</v>
      </c>
      <c r="D95" s="329"/>
      <c r="E95" s="323"/>
      <c r="F95" s="326"/>
      <c r="G95" s="326"/>
      <c r="H95" s="404"/>
      <c r="I95" s="388"/>
      <c r="J95" s="322"/>
      <c r="K95" s="327" t="s">
        <v>931</v>
      </c>
      <c r="L95" s="328" t="s">
        <v>1344</v>
      </c>
      <c r="M95" s="329"/>
      <c r="N95" s="323"/>
      <c r="O95" s="326"/>
    </row>
    <row r="96" ht="12.75" customHeight="1">
      <c r="A96" s="322"/>
      <c r="B96" s="325"/>
      <c r="C96" s="322"/>
      <c r="D96" s="322"/>
      <c r="E96" s="323"/>
      <c r="F96" s="326"/>
      <c r="G96" s="326"/>
      <c r="H96" s="404"/>
      <c r="I96" s="388"/>
      <c r="J96" s="322"/>
      <c r="K96" s="325"/>
      <c r="L96" s="322"/>
      <c r="M96" s="322"/>
      <c r="N96" s="323"/>
      <c r="O96" s="326"/>
    </row>
    <row r="97" ht="12.75" customHeight="1">
      <c r="A97" s="322"/>
      <c r="B97" s="327" t="s">
        <v>935</v>
      </c>
      <c r="C97" s="331">
        <v>60000.0</v>
      </c>
      <c r="D97" s="329"/>
      <c r="E97" s="323"/>
      <c r="F97" s="326"/>
      <c r="G97" s="326"/>
      <c r="H97" s="404"/>
      <c r="I97" s="388"/>
      <c r="J97" s="322"/>
      <c r="K97" s="327" t="s">
        <v>935</v>
      </c>
      <c r="L97" s="331">
        <f>11*100000</f>
        <v>1100000</v>
      </c>
      <c r="M97" s="329"/>
      <c r="N97" s="323"/>
      <c r="O97" s="326"/>
    </row>
    <row r="98" ht="12.75" customHeight="1">
      <c r="A98" s="322"/>
      <c r="B98" s="327"/>
      <c r="C98" s="332"/>
      <c r="D98" s="332"/>
      <c r="E98" s="323"/>
      <c r="F98" s="326"/>
      <c r="G98" s="326"/>
      <c r="H98" s="404"/>
      <c r="I98" s="388"/>
      <c r="J98" s="322"/>
      <c r="K98" s="327"/>
      <c r="L98" s="332"/>
      <c r="M98" s="332"/>
      <c r="N98" s="323"/>
      <c r="O98" s="326"/>
    </row>
    <row r="99" ht="12.75" customHeight="1">
      <c r="A99" s="322"/>
      <c r="B99" s="327" t="s">
        <v>939</v>
      </c>
      <c r="C99" s="333" t="str">
        <f>IF(SUM(E111,E126,E134)=0,"",SUM(E111,E126,E134))</f>
        <v>#REF!</v>
      </c>
      <c r="D99" s="321"/>
      <c r="E99" s="323"/>
      <c r="F99" s="326"/>
      <c r="G99" s="326"/>
      <c r="H99" s="404" t="str">
        <f>C99/90000</f>
        <v>#REF!</v>
      </c>
      <c r="I99" s="388"/>
      <c r="J99" s="322"/>
      <c r="K99" s="327" t="s">
        <v>939</v>
      </c>
      <c r="L99" s="333" t="str">
        <f>IF(SUM(N111,N126,N134)=0,"",SUM(N111,N126,N134))</f>
        <v>#REF!</v>
      </c>
      <c r="M99" s="321"/>
      <c r="N99" s="323" t="str">
        <f>L99/90000</f>
        <v>#REF!</v>
      </c>
      <c r="O99" s="326"/>
    </row>
    <row r="100" ht="12.75" customHeight="1">
      <c r="A100" s="322"/>
      <c r="B100" s="327"/>
      <c r="C100" s="334"/>
      <c r="D100" s="334"/>
      <c r="E100" s="323"/>
      <c r="F100" s="326"/>
      <c r="G100" s="326"/>
      <c r="H100" s="404"/>
      <c r="I100" s="388"/>
      <c r="J100" s="322"/>
      <c r="K100" s="327"/>
      <c r="L100" s="334"/>
      <c r="M100" s="334"/>
      <c r="N100" s="323"/>
      <c r="O100" s="326"/>
    </row>
    <row r="101" ht="12.75" customHeight="1">
      <c r="A101" s="322"/>
      <c r="B101" s="327" t="s">
        <v>946</v>
      </c>
      <c r="C101" s="335" t="str">
        <f>IF(C99="","",IF(ISBLANK(C97),"",C99/C97))</f>
        <v>#REF!</v>
      </c>
      <c r="D101" s="321"/>
      <c r="E101" s="323"/>
      <c r="F101" s="326"/>
      <c r="G101" s="326"/>
      <c r="H101" s="404"/>
      <c r="I101" s="388"/>
      <c r="J101" s="322"/>
      <c r="K101" s="327" t="s">
        <v>946</v>
      </c>
      <c r="L101" s="335" t="str">
        <f>IF(L99="","",IF(ISBLANK(L97),"",L99/L97))</f>
        <v>#REF!</v>
      </c>
      <c r="M101" s="321"/>
      <c r="N101" s="323"/>
      <c r="O101" s="326"/>
    </row>
    <row r="102" ht="12.75" customHeight="1">
      <c r="A102" s="322"/>
      <c r="B102" s="327"/>
      <c r="C102" s="334"/>
      <c r="D102" s="334"/>
      <c r="E102" s="323"/>
      <c r="F102" s="326"/>
      <c r="G102" s="326"/>
      <c r="H102" s="404"/>
      <c r="I102" s="388"/>
      <c r="J102" s="322"/>
      <c r="K102" s="327"/>
      <c r="L102" s="334"/>
      <c r="M102" s="334"/>
      <c r="N102" s="323"/>
      <c r="O102" s="326"/>
    </row>
    <row r="103" ht="12.75" customHeight="1">
      <c r="A103" s="322"/>
      <c r="B103" s="327" t="s">
        <v>950</v>
      </c>
      <c r="C103" s="333" t="str">
        <f>C97-C99</f>
        <v>#REF!</v>
      </c>
      <c r="D103" s="321"/>
      <c r="E103" s="323"/>
      <c r="F103" s="326"/>
      <c r="G103" s="326"/>
      <c r="H103" s="404"/>
      <c r="I103" s="388"/>
      <c r="J103" s="322"/>
      <c r="K103" s="327" t="s">
        <v>950</v>
      </c>
      <c r="L103" s="333" t="str">
        <f>L97-L99</f>
        <v>#REF!</v>
      </c>
      <c r="M103" s="321"/>
      <c r="N103" s="323"/>
      <c r="O103" s="326"/>
    </row>
    <row r="104" ht="12.75" customHeight="1">
      <c r="A104" s="322"/>
      <c r="B104" s="322"/>
      <c r="C104" s="322"/>
      <c r="D104" s="322"/>
      <c r="E104" s="323"/>
      <c r="F104" s="324"/>
      <c r="G104" s="324"/>
      <c r="H104" s="404"/>
      <c r="I104" s="388"/>
      <c r="J104" s="322"/>
      <c r="K104" s="322"/>
      <c r="L104" s="322"/>
      <c r="M104" s="322"/>
      <c r="N104" s="323"/>
      <c r="O104" s="324"/>
    </row>
    <row r="105" ht="12.75" customHeight="1">
      <c r="A105" s="322"/>
      <c r="B105" s="322"/>
      <c r="C105" s="322"/>
      <c r="D105" s="322"/>
      <c r="E105" s="337"/>
      <c r="F105" s="324"/>
      <c r="G105" s="324"/>
      <c r="H105" s="387"/>
      <c r="I105" s="388"/>
      <c r="J105" s="322"/>
      <c r="K105" s="322"/>
      <c r="L105" s="322"/>
      <c r="M105" s="322"/>
      <c r="N105" s="337"/>
      <c r="O105" s="324"/>
    </row>
    <row r="106" ht="12.75" customHeight="1">
      <c r="A106" s="322"/>
      <c r="B106" s="338" t="s">
        <v>951</v>
      </c>
      <c r="C106" s="339"/>
      <c r="D106" s="339"/>
      <c r="E106" s="339"/>
      <c r="F106" s="324"/>
      <c r="G106" s="324"/>
      <c r="H106" s="410"/>
      <c r="I106" s="388"/>
      <c r="J106" s="322"/>
      <c r="K106" s="338" t="s">
        <v>951</v>
      </c>
      <c r="L106" s="339"/>
      <c r="M106" s="339"/>
      <c r="N106" s="339"/>
      <c r="O106" s="324"/>
    </row>
    <row r="107" ht="12.75" customHeight="1">
      <c r="A107" s="322"/>
      <c r="B107" s="340" t="s">
        <v>953</v>
      </c>
      <c r="C107" s="341" t="s">
        <v>954</v>
      </c>
      <c r="D107" s="341" t="s">
        <v>955</v>
      </c>
      <c r="E107" s="341" t="s">
        <v>35</v>
      </c>
      <c r="F107" s="324"/>
      <c r="G107" s="324"/>
      <c r="H107" s="387"/>
      <c r="I107" s="388"/>
      <c r="J107" s="322"/>
      <c r="K107" s="340" t="s">
        <v>953</v>
      </c>
      <c r="L107" s="341" t="s">
        <v>954</v>
      </c>
      <c r="M107" s="341" t="s">
        <v>955</v>
      </c>
      <c r="N107" s="341" t="s">
        <v>35</v>
      </c>
      <c r="O107" s="324"/>
    </row>
    <row r="108" ht="12.75" customHeight="1">
      <c r="A108" s="322"/>
      <c r="B108" s="60" t="s">
        <v>1347</v>
      </c>
      <c r="C108" s="342">
        <v>0.2</v>
      </c>
      <c r="D108" s="343">
        <f>'F&amp;B'!F95/5</f>
        <v>27000</v>
      </c>
      <c r="E108" s="67">
        <f t="shared" ref="E108:E110" si="11">IF(OR(ISBLANK(C108),ISBLANK(D108)),"",D108*C108)</f>
        <v>5400</v>
      </c>
      <c r="F108" s="324"/>
      <c r="G108" s="324"/>
      <c r="H108" s="387"/>
      <c r="I108" s="388"/>
      <c r="J108" s="322"/>
      <c r="K108" s="60" t="s">
        <v>1344</v>
      </c>
      <c r="L108" s="342">
        <v>0.6</v>
      </c>
      <c r="M108" s="343">
        <f>'F&amp;B'!$F$233</f>
        <v>53370</v>
      </c>
      <c r="N108" s="67">
        <f t="shared" ref="N108:N109" si="12">IF(OR(ISBLANK(L108),ISBLANK(M108)),"",M108*L108)</f>
        <v>32022</v>
      </c>
      <c r="O108" s="324"/>
    </row>
    <row r="109" ht="12.75" customHeight="1">
      <c r="A109" s="322"/>
      <c r="B109" s="75" t="s">
        <v>1062</v>
      </c>
      <c r="C109" s="346">
        <v>1.0</v>
      </c>
      <c r="D109" s="371">
        <f>'F&amp;B'!$F$4/7</f>
        <v>1247.142857</v>
      </c>
      <c r="E109" s="67">
        <f t="shared" si="11"/>
        <v>1247.142857</v>
      </c>
      <c r="F109" s="324"/>
      <c r="G109" s="324"/>
      <c r="H109" s="387"/>
      <c r="I109" s="388"/>
      <c r="J109" s="322"/>
      <c r="K109" s="75" t="s">
        <v>1062</v>
      </c>
      <c r="L109" s="346">
        <v>1.0</v>
      </c>
      <c r="M109" s="371">
        <f>D109</f>
        <v>1247.142857</v>
      </c>
      <c r="N109" s="67">
        <f t="shared" si="12"/>
        <v>1247.142857</v>
      </c>
      <c r="O109" s="324"/>
    </row>
    <row r="110" ht="12.75" customHeight="1">
      <c r="A110" s="322"/>
      <c r="B110" s="87"/>
      <c r="C110" s="355"/>
      <c r="D110" s="352"/>
      <c r="E110" s="67" t="str">
        <f t="shared" si="11"/>
        <v/>
      </c>
      <c r="F110" s="324"/>
      <c r="G110" s="324"/>
      <c r="H110" s="387"/>
      <c r="I110" s="388"/>
      <c r="J110" s="322"/>
      <c r="K110" s="87"/>
      <c r="L110" s="355"/>
      <c r="M110" s="356"/>
      <c r="N110" s="67"/>
      <c r="O110" s="324"/>
    </row>
    <row r="111" ht="12.75" customHeight="1">
      <c r="A111" s="322"/>
      <c r="B111" s="338" t="s">
        <v>84</v>
      </c>
      <c r="C111" s="358"/>
      <c r="D111" s="358"/>
      <c r="E111" s="359">
        <f>IF(SUM(E108:E110)=0,"",SUM(E108:E110))</f>
        <v>6647.142857</v>
      </c>
      <c r="F111" s="324"/>
      <c r="G111" s="324"/>
      <c r="H111" s="387"/>
      <c r="I111" s="388"/>
      <c r="J111" s="322"/>
      <c r="K111" s="338" t="s">
        <v>84</v>
      </c>
      <c r="L111" s="358"/>
      <c r="M111" s="358"/>
      <c r="N111" s="359">
        <f>IF(SUM(N108:N110)=0,"",SUM(N108:N110))</f>
        <v>33269.14286</v>
      </c>
      <c r="O111" s="324"/>
    </row>
    <row r="112" ht="12.75" customHeight="1">
      <c r="A112" s="322"/>
      <c r="B112" s="360"/>
      <c r="C112" s="360"/>
      <c r="D112" s="360"/>
      <c r="E112" s="361"/>
      <c r="F112" s="324"/>
      <c r="G112" s="324"/>
      <c r="H112" s="387"/>
      <c r="I112" s="388"/>
      <c r="J112" s="322"/>
      <c r="K112" s="360"/>
      <c r="L112" s="360"/>
      <c r="M112" s="360"/>
      <c r="N112" s="361"/>
      <c r="O112" s="324"/>
    </row>
    <row r="113" ht="12.75" customHeight="1">
      <c r="A113" s="322"/>
      <c r="B113" s="362" t="s">
        <v>972</v>
      </c>
      <c r="C113" s="363"/>
      <c r="D113" s="363"/>
      <c r="E113" s="363"/>
      <c r="F113" s="324"/>
      <c r="G113" s="324"/>
      <c r="H113" s="387"/>
      <c r="I113" s="388"/>
      <c r="J113" s="322"/>
      <c r="K113" s="362" t="s">
        <v>972</v>
      </c>
      <c r="L113" s="363"/>
      <c r="M113" s="363"/>
      <c r="N113" s="363"/>
      <c r="O113" s="324"/>
    </row>
    <row r="114" ht="12.75" customHeight="1">
      <c r="A114" s="322"/>
      <c r="B114" s="365" t="s">
        <v>953</v>
      </c>
      <c r="C114" s="366" t="s">
        <v>3</v>
      </c>
      <c r="D114" s="366" t="s">
        <v>975</v>
      </c>
      <c r="E114" s="367" t="s">
        <v>35</v>
      </c>
      <c r="F114" s="324"/>
      <c r="G114" s="324"/>
      <c r="H114" s="387"/>
      <c r="I114" s="388"/>
      <c r="J114" s="322"/>
      <c r="K114" s="365" t="s">
        <v>953</v>
      </c>
      <c r="L114" s="366" t="s">
        <v>3</v>
      </c>
      <c r="M114" s="366" t="s">
        <v>975</v>
      </c>
      <c r="N114" s="367" t="s">
        <v>35</v>
      </c>
      <c r="O114" s="324"/>
    </row>
    <row r="115" ht="12.75" customHeight="1">
      <c r="A115" s="322"/>
      <c r="B115" s="368"/>
      <c r="C115" s="366"/>
      <c r="D115" s="366"/>
      <c r="E115" s="368"/>
      <c r="F115" s="324"/>
      <c r="G115" s="324"/>
      <c r="H115" s="387"/>
      <c r="I115" s="388"/>
      <c r="J115" s="322"/>
      <c r="K115" s="368"/>
      <c r="L115" s="366"/>
      <c r="M115" s="366"/>
      <c r="N115" s="368"/>
      <c r="O115" s="324"/>
    </row>
    <row r="116" ht="12.75" customHeight="1">
      <c r="A116" s="322"/>
      <c r="B116" s="60" t="s">
        <v>1061</v>
      </c>
      <c r="C116" s="342">
        <f>75/1000</f>
        <v>0.075</v>
      </c>
      <c r="D116" s="343">
        <f>'F&amp;B'!$F$284</f>
        <v>7200</v>
      </c>
      <c r="E116" s="67">
        <f t="shared" ref="E116:E125" si="13">D116*C116</f>
        <v>540</v>
      </c>
      <c r="F116" s="324"/>
      <c r="G116" s="324"/>
      <c r="H116" s="387"/>
      <c r="I116" s="388"/>
      <c r="J116" s="322"/>
      <c r="K116" s="60" t="s">
        <v>1060</v>
      </c>
      <c r="L116" s="342">
        <v>0.07</v>
      </c>
      <c r="M116" s="343">
        <f>SAUCES!$L$20</f>
        <v>10676.625</v>
      </c>
      <c r="N116" s="67">
        <f t="shared" ref="N116:N125" si="14">M116*L116</f>
        <v>747.36375</v>
      </c>
      <c r="O116" s="324"/>
    </row>
    <row r="117" ht="12.75" customHeight="1">
      <c r="A117" s="322"/>
      <c r="B117" s="75" t="s">
        <v>1354</v>
      </c>
      <c r="C117" s="370">
        <v>0.06</v>
      </c>
      <c r="D117" s="371">
        <f>'F&amp;B'!$F$45</f>
        <v>36000</v>
      </c>
      <c r="E117" s="67">
        <f t="shared" si="13"/>
        <v>2160</v>
      </c>
      <c r="F117" s="324"/>
      <c r="G117" s="324"/>
      <c r="H117" s="387"/>
      <c r="I117" s="388"/>
      <c r="J117" s="322"/>
      <c r="K117" s="75" t="s">
        <v>1356</v>
      </c>
      <c r="L117" s="370">
        <v>0.04</v>
      </c>
      <c r="M117" s="371" t="str">
        <f>L144*5</f>
        <v>#REF!</v>
      </c>
      <c r="N117" s="67" t="str">
        <f t="shared" si="14"/>
        <v>#REF!</v>
      </c>
      <c r="O117" s="324"/>
    </row>
    <row r="118" ht="12.75" customHeight="1">
      <c r="A118" s="322"/>
      <c r="B118" s="75" t="s">
        <v>173</v>
      </c>
      <c r="C118" s="370">
        <v>0.125</v>
      </c>
      <c r="D118" s="371">
        <f>'F&amp;B'!$F$279</f>
        <v>7200</v>
      </c>
      <c r="E118" s="67">
        <f t="shared" si="13"/>
        <v>900</v>
      </c>
      <c r="F118" s="324"/>
      <c r="G118" s="324"/>
      <c r="H118" s="387"/>
      <c r="I118" s="388"/>
      <c r="J118" s="322"/>
      <c r="K118" s="75" t="s">
        <v>33</v>
      </c>
      <c r="L118" s="370">
        <v>0.2</v>
      </c>
      <c r="M118" s="371">
        <f>'F&amp;B'!$F$68/10</f>
        <v>19665</v>
      </c>
      <c r="N118" s="67">
        <f t="shared" si="14"/>
        <v>3933</v>
      </c>
      <c r="O118" s="324"/>
    </row>
    <row r="119" ht="12.75" customHeight="1">
      <c r="A119" s="322"/>
      <c r="B119" s="75"/>
      <c r="C119" s="346"/>
      <c r="D119" s="371"/>
      <c r="E119" s="67">
        <f t="shared" si="13"/>
        <v>0</v>
      </c>
      <c r="F119" s="324"/>
      <c r="G119" s="324"/>
      <c r="H119" s="387"/>
      <c r="I119" s="388"/>
      <c r="J119" s="322"/>
      <c r="K119" s="75" t="s">
        <v>161</v>
      </c>
      <c r="L119" s="398">
        <v>0.07</v>
      </c>
      <c r="M119" s="371">
        <f>'F&amp;B'!F49/10</f>
        <v>13500</v>
      </c>
      <c r="N119" s="67">
        <f t="shared" si="14"/>
        <v>945</v>
      </c>
      <c r="O119" s="324"/>
    </row>
    <row r="120" ht="12.75" customHeight="1">
      <c r="A120" s="322"/>
      <c r="B120" s="75"/>
      <c r="C120" s="346"/>
      <c r="D120" s="371"/>
      <c r="E120" s="67">
        <f t="shared" si="13"/>
        <v>0</v>
      </c>
      <c r="F120" s="324"/>
      <c r="G120" s="324"/>
      <c r="H120" s="387"/>
      <c r="I120" s="388"/>
      <c r="J120" s="322"/>
      <c r="K120" s="75" t="s">
        <v>205</v>
      </c>
      <c r="L120" s="398">
        <v>1.0</v>
      </c>
      <c r="M120" s="371">
        <f>SAUCES!$L$58</f>
        <v>923.2488</v>
      </c>
      <c r="N120" s="67">
        <f t="shared" si="14"/>
        <v>923.2488</v>
      </c>
      <c r="O120" s="324"/>
    </row>
    <row r="121" ht="12.75" customHeight="1">
      <c r="A121" s="322"/>
      <c r="B121" s="75"/>
      <c r="C121" s="346"/>
      <c r="D121" s="373"/>
      <c r="E121" s="67">
        <f t="shared" si="13"/>
        <v>0</v>
      </c>
      <c r="F121" s="324"/>
      <c r="G121" s="324"/>
      <c r="H121" s="387"/>
      <c r="I121" s="388"/>
      <c r="J121" s="322"/>
      <c r="K121" s="75" t="s">
        <v>1063</v>
      </c>
      <c r="L121" s="398">
        <v>0.03</v>
      </c>
      <c r="M121" s="371">
        <f>MAINS!D75</f>
        <v>27000</v>
      </c>
      <c r="N121" s="67">
        <f t="shared" si="14"/>
        <v>810</v>
      </c>
      <c r="O121" s="324"/>
    </row>
    <row r="122" ht="12.75" customHeight="1">
      <c r="A122" s="322"/>
      <c r="B122" s="348"/>
      <c r="C122" s="346"/>
      <c r="D122" s="373"/>
      <c r="E122" s="67">
        <f t="shared" si="13"/>
        <v>0</v>
      </c>
      <c r="F122" s="324"/>
      <c r="G122" s="324"/>
      <c r="H122" s="387"/>
      <c r="I122" s="388"/>
      <c r="J122" s="322"/>
      <c r="K122" s="348"/>
      <c r="L122" s="346"/>
      <c r="M122" s="373"/>
      <c r="N122" s="67">
        <f t="shared" si="14"/>
        <v>0</v>
      </c>
      <c r="O122" s="324"/>
    </row>
    <row r="123" ht="12.75" customHeight="1">
      <c r="A123" s="322"/>
      <c r="B123" s="348"/>
      <c r="C123" s="346"/>
      <c r="D123" s="373"/>
      <c r="E123" s="67">
        <f t="shared" si="13"/>
        <v>0</v>
      </c>
      <c r="F123" s="324"/>
      <c r="G123" s="324"/>
      <c r="H123" s="387"/>
      <c r="I123" s="388"/>
      <c r="J123" s="322"/>
      <c r="K123" s="348"/>
      <c r="L123" s="346"/>
      <c r="M123" s="373"/>
      <c r="N123" s="67">
        <f t="shared" si="14"/>
        <v>0</v>
      </c>
      <c r="O123" s="324"/>
    </row>
    <row r="124" ht="12.75" customHeight="1">
      <c r="A124" s="322"/>
      <c r="B124" s="348"/>
      <c r="C124" s="346"/>
      <c r="D124" s="373"/>
      <c r="E124" s="67">
        <f t="shared" si="13"/>
        <v>0</v>
      </c>
      <c r="F124" s="324"/>
      <c r="G124" s="324"/>
      <c r="H124" s="387"/>
      <c r="I124" s="388"/>
      <c r="J124" s="322"/>
      <c r="K124" s="348"/>
      <c r="L124" s="346"/>
      <c r="M124" s="373"/>
      <c r="N124" s="67">
        <f t="shared" si="14"/>
        <v>0</v>
      </c>
      <c r="O124" s="324"/>
    </row>
    <row r="125" ht="12.75" customHeight="1">
      <c r="A125" s="322"/>
      <c r="B125" s="354"/>
      <c r="C125" s="355"/>
      <c r="D125" s="356"/>
      <c r="E125" s="67">
        <f t="shared" si="13"/>
        <v>0</v>
      </c>
      <c r="F125" s="324"/>
      <c r="G125" s="324"/>
      <c r="H125" s="387"/>
      <c r="I125" s="388"/>
      <c r="J125" s="322"/>
      <c r="K125" s="354"/>
      <c r="L125" s="355"/>
      <c r="M125" s="356"/>
      <c r="N125" s="67">
        <f t="shared" si="14"/>
        <v>0</v>
      </c>
      <c r="O125" s="324"/>
    </row>
    <row r="126" ht="12.75" customHeight="1">
      <c r="A126" s="322"/>
      <c r="B126" s="362" t="s">
        <v>84</v>
      </c>
      <c r="C126" s="374"/>
      <c r="D126" s="374"/>
      <c r="E126" s="375">
        <f>IF(SUM(E116:E125)=0,"",SUM(E116:E125))</f>
        <v>3600</v>
      </c>
      <c r="F126" s="324"/>
      <c r="G126" s="324"/>
      <c r="H126" s="387"/>
      <c r="I126" s="388"/>
      <c r="J126" s="322"/>
      <c r="K126" s="362" t="s">
        <v>84</v>
      </c>
      <c r="L126" s="374"/>
      <c r="M126" s="374"/>
      <c r="N126" s="375" t="str">
        <f>IF(SUM(N116:N125)=0,"",SUM(N116:N125))</f>
        <v>#REF!</v>
      </c>
      <c r="O126" s="324"/>
    </row>
    <row r="127" ht="12.75" customHeight="1">
      <c r="A127" s="322"/>
      <c r="B127" s="360"/>
      <c r="C127" s="360"/>
      <c r="D127" s="360"/>
      <c r="E127" s="361"/>
      <c r="F127" s="324"/>
      <c r="G127" s="324"/>
      <c r="H127" s="387"/>
      <c r="I127" s="388"/>
      <c r="J127" s="322"/>
      <c r="K127" s="360"/>
      <c r="L127" s="360"/>
      <c r="M127" s="360"/>
      <c r="N127" s="361"/>
      <c r="O127" s="324"/>
    </row>
    <row r="128" ht="12.75" customHeight="1">
      <c r="A128" s="322"/>
      <c r="B128" s="34" t="s">
        <v>17</v>
      </c>
      <c r="C128" s="35"/>
      <c r="D128" s="35"/>
      <c r="E128" s="35"/>
      <c r="F128" s="324"/>
      <c r="G128" s="324"/>
      <c r="H128" s="387"/>
      <c r="I128" s="388"/>
      <c r="J128" s="322"/>
      <c r="K128" s="34" t="s">
        <v>17</v>
      </c>
      <c r="L128" s="35"/>
      <c r="M128" s="35"/>
      <c r="N128" s="35"/>
      <c r="O128" s="324"/>
    </row>
    <row r="129" ht="12.75" customHeight="1">
      <c r="A129" s="322"/>
      <c r="B129" s="52" t="s">
        <v>42</v>
      </c>
      <c r="C129" s="54"/>
      <c r="D129" s="54"/>
      <c r="E129" s="56" t="s">
        <v>35</v>
      </c>
      <c r="F129" s="324"/>
      <c r="G129" s="324"/>
      <c r="H129" s="387"/>
      <c r="I129" s="388"/>
      <c r="J129" s="322"/>
      <c r="K129" s="52" t="s">
        <v>42</v>
      </c>
      <c r="L129" s="54"/>
      <c r="M129" s="54"/>
      <c r="N129" s="56" t="s">
        <v>35</v>
      </c>
      <c r="O129" s="324"/>
    </row>
    <row r="130" ht="12.75" customHeight="1">
      <c r="A130" s="322"/>
      <c r="B130" s="60" t="s">
        <v>40</v>
      </c>
      <c r="C130" s="343">
        <f>'UTL COST'!$B$3</f>
        <v>369000</v>
      </c>
      <c r="D130" s="379">
        <f>'UTL COST'!$C$3</f>
        <v>0.0075</v>
      </c>
      <c r="E130" s="67">
        <v>0.0</v>
      </c>
      <c r="F130" s="324"/>
      <c r="G130" s="324"/>
      <c r="H130" s="387"/>
      <c r="I130" s="388"/>
      <c r="J130" s="322"/>
      <c r="K130" s="60" t="s">
        <v>40</v>
      </c>
      <c r="L130" s="343">
        <f>'UTL COST'!$B$3</f>
        <v>369000</v>
      </c>
      <c r="M130" s="379">
        <f>'UTL COST'!$C$3</f>
        <v>0.0075</v>
      </c>
      <c r="N130" s="67">
        <f>'UTL COST'!$D$3</f>
        <v>2767.5</v>
      </c>
      <c r="O130" s="324"/>
    </row>
    <row r="131" ht="12.75" customHeight="1">
      <c r="A131" s="322"/>
      <c r="B131" s="75" t="s">
        <v>51</v>
      </c>
      <c r="C131" s="371" t="str">
        <f>'UTL COST'!$B$4</f>
        <v>#REF!</v>
      </c>
      <c r="D131" s="382">
        <f>'UTL COST'!$C$4</f>
        <v>7000</v>
      </c>
      <c r="E131" s="76">
        <v>0.0</v>
      </c>
      <c r="F131" s="324"/>
      <c r="G131" s="324"/>
      <c r="H131" s="387"/>
      <c r="I131" s="388"/>
      <c r="J131" s="322"/>
      <c r="K131" s="75" t="s">
        <v>51</v>
      </c>
      <c r="L131" s="371" t="str">
        <f>'UTL COST'!$B$4</f>
        <v>#REF!</v>
      </c>
      <c r="M131" s="382">
        <f>'UTL COST'!$C$4</f>
        <v>7000</v>
      </c>
      <c r="N131" s="76" t="str">
        <f>'UTL COST'!$D$4</f>
        <v>#REF!</v>
      </c>
      <c r="O131" s="324"/>
    </row>
    <row r="132" ht="12.75" customHeight="1">
      <c r="A132" s="322"/>
      <c r="B132" s="75" t="s">
        <v>59</v>
      </c>
      <c r="C132" s="371" t="str">
        <f>'UTL COST'!$B$5</f>
        <v>#REF!</v>
      </c>
      <c r="D132" s="382">
        <f>'UTL COST'!$C$5</f>
        <v>45000</v>
      </c>
      <c r="E132" s="76" t="str">
        <f>'UTL COST'!$D$5</f>
        <v>#REF!</v>
      </c>
      <c r="F132" s="324"/>
      <c r="G132" s="324"/>
      <c r="H132" s="387"/>
      <c r="I132" s="388"/>
      <c r="J132" s="322"/>
      <c r="K132" s="75" t="s">
        <v>59</v>
      </c>
      <c r="L132" s="371" t="str">
        <f>'UTL COST'!$B$5</f>
        <v>#REF!</v>
      </c>
      <c r="M132" s="382">
        <f>'UTL COST'!$C$5</f>
        <v>45000</v>
      </c>
      <c r="N132" s="76" t="str">
        <f>'UTL COST'!$D$5</f>
        <v>#REF!</v>
      </c>
      <c r="O132" s="324"/>
    </row>
    <row r="133" ht="12.75" customHeight="1">
      <c r="A133" s="322"/>
      <c r="B133" s="87" t="s">
        <v>78</v>
      </c>
      <c r="C133" s="371" t="str">
        <f>'UTL COST'!$B$6</f>
        <v>#REF!</v>
      </c>
      <c r="D133" s="383">
        <f>'UTL COST'!$C$6</f>
        <v>525</v>
      </c>
      <c r="E133" s="89">
        <v>0.1</v>
      </c>
      <c r="F133" s="324"/>
      <c r="G133" s="324"/>
      <c r="H133" s="387"/>
      <c r="I133" s="388"/>
      <c r="J133" s="322"/>
      <c r="K133" s="87" t="s">
        <v>78</v>
      </c>
      <c r="L133" s="371" t="str">
        <f>'UTL COST'!$B$6</f>
        <v>#REF!</v>
      </c>
      <c r="M133" s="383">
        <f>'UTL COST'!$C$6</f>
        <v>525</v>
      </c>
      <c r="N133" s="89">
        <v>0.1</v>
      </c>
      <c r="O133" s="324"/>
    </row>
    <row r="134" ht="12.75" customHeight="1">
      <c r="A134" s="322"/>
      <c r="B134" s="34" t="s">
        <v>84</v>
      </c>
      <c r="C134" s="102"/>
      <c r="D134" s="102"/>
      <c r="E134" s="104" t="str">
        <f>IF(SUM(E130:E133)=0,"",SUM(E130:E133))</f>
        <v>#REF!</v>
      </c>
      <c r="F134" s="324"/>
      <c r="G134" s="324"/>
      <c r="H134" s="387"/>
      <c r="I134" s="388"/>
      <c r="J134" s="322"/>
      <c r="K134" s="34" t="s">
        <v>84</v>
      </c>
      <c r="L134" s="102"/>
      <c r="M134" s="102"/>
      <c r="N134" s="104" t="str">
        <f>IF(SUM(N130:N133)=0,"",SUM(N130:N133))</f>
        <v>#REF!</v>
      </c>
      <c r="O134" s="324"/>
    </row>
    <row r="135" ht="12.75" customHeight="1">
      <c r="A135" s="322"/>
      <c r="B135" s="360"/>
      <c r="C135" s="360"/>
      <c r="D135" s="360"/>
      <c r="E135" s="361"/>
      <c r="F135" s="324"/>
      <c r="G135" s="324"/>
      <c r="H135" s="387"/>
      <c r="I135" s="388"/>
      <c r="J135" s="322"/>
      <c r="K135" s="360"/>
      <c r="L135" s="360"/>
      <c r="M135" s="360"/>
      <c r="N135" s="361"/>
      <c r="O135" s="324"/>
    </row>
    <row r="136" ht="12.75" customHeight="1">
      <c r="A136" s="387"/>
      <c r="B136" s="387"/>
      <c r="C136" s="387"/>
      <c r="D136" s="387"/>
      <c r="E136" s="418"/>
      <c r="F136" s="387"/>
      <c r="G136" s="387"/>
      <c r="H136" s="387"/>
      <c r="I136" s="387"/>
      <c r="J136" s="387"/>
      <c r="K136" s="387"/>
      <c r="L136" s="387"/>
      <c r="M136" s="387"/>
      <c r="N136" s="387"/>
      <c r="O136" s="387"/>
    </row>
    <row r="137" ht="12.75" customHeight="1">
      <c r="A137" s="387"/>
      <c r="B137" s="387"/>
      <c r="C137" s="387"/>
      <c r="D137" s="387"/>
      <c r="E137" s="418"/>
      <c r="F137" s="387"/>
      <c r="G137" s="387"/>
      <c r="H137" s="387"/>
      <c r="I137" s="387"/>
      <c r="J137" s="387"/>
      <c r="K137" s="387"/>
      <c r="L137" s="387"/>
      <c r="M137" s="387"/>
      <c r="N137" s="387"/>
      <c r="O137" s="387"/>
    </row>
    <row r="138" ht="12.75" customHeight="1">
      <c r="A138" s="322"/>
      <c r="B138" s="322"/>
      <c r="C138" s="322"/>
      <c r="D138" s="322"/>
      <c r="E138" s="323"/>
      <c r="F138" s="324"/>
      <c r="G138" s="324"/>
      <c r="H138" s="387"/>
      <c r="I138" s="387"/>
      <c r="J138" s="322"/>
      <c r="K138" s="322"/>
      <c r="L138" s="322"/>
      <c r="M138" s="322"/>
      <c r="N138" s="323"/>
      <c r="O138" s="324"/>
    </row>
    <row r="139" ht="12.75" customHeight="1">
      <c r="A139" s="322"/>
      <c r="B139" s="325"/>
      <c r="C139" s="322"/>
      <c r="D139" s="322"/>
      <c r="E139" s="323"/>
      <c r="F139" s="326"/>
      <c r="G139" s="326"/>
      <c r="H139" s="387"/>
      <c r="I139" s="387"/>
      <c r="J139" s="322"/>
      <c r="K139" s="325"/>
      <c r="L139" s="322"/>
      <c r="M139" s="322"/>
      <c r="N139" s="323"/>
      <c r="O139" s="326"/>
    </row>
    <row r="140" ht="12.75" customHeight="1">
      <c r="A140" s="322"/>
      <c r="B140" s="327" t="s">
        <v>931</v>
      </c>
      <c r="C140" s="328" t="s">
        <v>1364</v>
      </c>
      <c r="D140" s="329"/>
      <c r="E140" s="323"/>
      <c r="F140" s="326"/>
      <c r="G140" s="326"/>
      <c r="H140" s="387"/>
      <c r="I140" s="387"/>
      <c r="J140" s="322"/>
      <c r="K140" s="327" t="s">
        <v>931</v>
      </c>
      <c r="L140" s="328" t="s">
        <v>672</v>
      </c>
      <c r="M140" s="329"/>
      <c r="N140" s="323"/>
      <c r="O140" s="326"/>
    </row>
    <row r="141" ht="12.75" customHeight="1">
      <c r="A141" s="322"/>
      <c r="B141" s="325"/>
      <c r="C141" s="322"/>
      <c r="D141" s="322"/>
      <c r="E141" s="323"/>
      <c r="F141" s="326"/>
      <c r="G141" s="326"/>
      <c r="H141" s="387"/>
      <c r="I141" s="387"/>
      <c r="J141" s="322"/>
      <c r="K141" s="325"/>
      <c r="L141" s="322"/>
      <c r="M141" s="322"/>
      <c r="N141" s="323"/>
      <c r="O141" s="326"/>
    </row>
    <row r="142" ht="12.75" customHeight="1">
      <c r="A142" s="322"/>
      <c r="B142" s="327" t="s">
        <v>935</v>
      </c>
      <c r="C142" s="331">
        <v>70000.0</v>
      </c>
      <c r="D142" s="329"/>
      <c r="E142" s="323"/>
      <c r="F142" s="326"/>
      <c r="G142" s="326"/>
      <c r="H142" s="387"/>
      <c r="I142" s="387"/>
      <c r="J142" s="322"/>
      <c r="K142" s="327" t="s">
        <v>935</v>
      </c>
      <c r="L142" s="331">
        <v>70000.0</v>
      </c>
      <c r="M142" s="329"/>
      <c r="N142" s="323"/>
      <c r="O142" s="326"/>
    </row>
    <row r="143" ht="12.75" customHeight="1">
      <c r="A143" s="322"/>
      <c r="B143" s="327"/>
      <c r="C143" s="332"/>
      <c r="D143" s="332"/>
      <c r="E143" s="323"/>
      <c r="F143" s="326"/>
      <c r="G143" s="326"/>
      <c r="H143" s="387"/>
      <c r="I143" s="387"/>
      <c r="J143" s="322"/>
      <c r="K143" s="327"/>
      <c r="L143" s="332"/>
      <c r="M143" s="332"/>
      <c r="N143" s="323"/>
      <c r="O143" s="326"/>
    </row>
    <row r="144" ht="12.75" customHeight="1">
      <c r="A144" s="322"/>
      <c r="B144" s="327" t="s">
        <v>939</v>
      </c>
      <c r="C144" s="333" t="str">
        <f>IF(SUM(E156,E171,E179)=0,"",SUM(E156,E171,E179))</f>
        <v>#REF!</v>
      </c>
      <c r="D144" s="321"/>
      <c r="E144" s="323"/>
      <c r="F144" s="326"/>
      <c r="G144" s="326"/>
      <c r="H144" s="387"/>
      <c r="I144" s="387"/>
      <c r="J144" s="322"/>
      <c r="K144" s="327" t="s">
        <v>939</v>
      </c>
      <c r="L144" s="333" t="str">
        <f>IF(SUM(N156,N171,N179)=0,"",SUM(N156,N171,N179))</f>
        <v>#REF!</v>
      </c>
      <c r="M144" s="321"/>
      <c r="N144" s="323"/>
      <c r="O144" s="326"/>
    </row>
    <row r="145" ht="12.75" customHeight="1">
      <c r="A145" s="322"/>
      <c r="B145" s="327"/>
      <c r="C145" s="334"/>
      <c r="D145" s="334"/>
      <c r="E145" s="323"/>
      <c r="F145" s="326"/>
      <c r="G145" s="326"/>
      <c r="H145" s="387"/>
      <c r="I145" s="387"/>
      <c r="J145" s="322"/>
      <c r="K145" s="327"/>
      <c r="L145" s="334"/>
      <c r="M145" s="334"/>
      <c r="N145" s="323"/>
      <c r="O145" s="326"/>
    </row>
    <row r="146" ht="12.75" customHeight="1">
      <c r="A146" s="322"/>
      <c r="B146" s="327" t="s">
        <v>946</v>
      </c>
      <c r="C146" s="335" t="str">
        <f>IF(C144="","",IF(ISBLANK(C142),"",C144/C142))</f>
        <v>#REF!</v>
      </c>
      <c r="D146" s="321"/>
      <c r="E146" s="323"/>
      <c r="F146" s="326"/>
      <c r="G146" s="326"/>
      <c r="H146" s="387"/>
      <c r="I146" s="387"/>
      <c r="J146" s="322"/>
      <c r="K146" s="327" t="s">
        <v>946</v>
      </c>
      <c r="L146" s="335" t="str">
        <f>IF(L144="","",IF(ISBLANK(L142),"",L144/L142))</f>
        <v>#REF!</v>
      </c>
      <c r="M146" s="321"/>
      <c r="N146" s="323"/>
      <c r="O146" s="326"/>
    </row>
    <row r="147" ht="12.75" customHeight="1">
      <c r="A147" s="322"/>
      <c r="B147" s="327"/>
      <c r="C147" s="334"/>
      <c r="D147" s="334"/>
      <c r="E147" s="323"/>
      <c r="F147" s="326"/>
      <c r="G147" s="326"/>
      <c r="H147" s="387"/>
      <c r="I147" s="387"/>
      <c r="J147" s="322"/>
      <c r="K147" s="327"/>
      <c r="L147" s="334"/>
      <c r="M147" s="334"/>
      <c r="N147" s="323"/>
      <c r="O147" s="326"/>
    </row>
    <row r="148" ht="12.75" customHeight="1">
      <c r="A148" s="322"/>
      <c r="B148" s="327" t="s">
        <v>950</v>
      </c>
      <c r="C148" s="333" t="str">
        <f>C142-C144</f>
        <v>#REF!</v>
      </c>
      <c r="D148" s="321"/>
      <c r="E148" s="323"/>
      <c r="F148" s="326"/>
      <c r="G148" s="326"/>
      <c r="H148" s="387"/>
      <c r="I148" s="387"/>
      <c r="J148" s="322"/>
      <c r="K148" s="327" t="s">
        <v>950</v>
      </c>
      <c r="L148" s="333" t="str">
        <f>L142-L144</f>
        <v>#REF!</v>
      </c>
      <c r="M148" s="321"/>
      <c r="N148" s="323"/>
      <c r="O148" s="326"/>
    </row>
    <row r="149" ht="12.75" customHeight="1">
      <c r="A149" s="322"/>
      <c r="B149" s="322"/>
      <c r="C149" s="322"/>
      <c r="D149" s="322"/>
      <c r="E149" s="323"/>
      <c r="F149" s="324"/>
      <c r="G149" s="324"/>
      <c r="H149" s="387"/>
      <c r="I149" s="387"/>
      <c r="J149" s="322"/>
      <c r="K149" s="322"/>
      <c r="L149" s="322"/>
      <c r="M149" s="322"/>
      <c r="N149" s="323"/>
      <c r="O149" s="324"/>
    </row>
    <row r="150" ht="12.75" customHeight="1">
      <c r="A150" s="322"/>
      <c r="B150" s="322"/>
      <c r="C150" s="322"/>
      <c r="D150" s="322"/>
      <c r="E150" s="337"/>
      <c r="F150" s="324"/>
      <c r="G150" s="324"/>
      <c r="H150" s="387"/>
      <c r="I150" s="387"/>
      <c r="J150" s="322"/>
      <c r="K150" s="322"/>
      <c r="L150" s="322"/>
      <c r="M150" s="322"/>
      <c r="N150" s="337"/>
      <c r="O150" s="324"/>
    </row>
    <row r="151" ht="12.75" customHeight="1">
      <c r="A151" s="322"/>
      <c r="B151" s="338" t="s">
        <v>951</v>
      </c>
      <c r="C151" s="339"/>
      <c r="D151" s="339"/>
      <c r="E151" s="339"/>
      <c r="F151" s="324"/>
      <c r="G151" s="324"/>
      <c r="H151" s="387"/>
      <c r="I151" s="387"/>
      <c r="J151" s="322"/>
      <c r="K151" s="338" t="s">
        <v>951</v>
      </c>
      <c r="L151" s="339"/>
      <c r="M151" s="339"/>
      <c r="N151" s="339"/>
      <c r="O151" s="324"/>
    </row>
    <row r="152" ht="12.75" customHeight="1">
      <c r="A152" s="322"/>
      <c r="B152" s="340" t="s">
        <v>953</v>
      </c>
      <c r="C152" s="341" t="s">
        <v>954</v>
      </c>
      <c r="D152" s="341" t="s">
        <v>955</v>
      </c>
      <c r="E152" s="341" t="s">
        <v>35</v>
      </c>
      <c r="F152" s="324"/>
      <c r="G152" s="324"/>
      <c r="H152" s="387"/>
      <c r="I152" s="387"/>
      <c r="J152" s="322"/>
      <c r="K152" s="340" t="s">
        <v>953</v>
      </c>
      <c r="L152" s="341" t="s">
        <v>954</v>
      </c>
      <c r="M152" s="341" t="s">
        <v>955</v>
      </c>
      <c r="N152" s="341" t="s">
        <v>35</v>
      </c>
      <c r="O152" s="324"/>
    </row>
    <row r="153" ht="12.75" customHeight="1">
      <c r="A153" s="322"/>
      <c r="B153" s="60" t="s">
        <v>842</v>
      </c>
      <c r="C153" s="342">
        <v>0.2</v>
      </c>
      <c r="D153" s="343">
        <f>'F&amp;B'!$F$281</f>
        <v>5400</v>
      </c>
      <c r="E153" s="67">
        <f t="shared" ref="E153:E155" si="15">IF(OR(ISBLANK(C153),ISBLANK(D153)),"",D153*C153)</f>
        <v>1080</v>
      </c>
      <c r="F153" s="324"/>
      <c r="G153" s="324"/>
      <c r="H153" s="387"/>
      <c r="I153" s="387"/>
      <c r="J153" s="322"/>
      <c r="K153" s="60" t="s">
        <v>672</v>
      </c>
      <c r="L153" s="342">
        <v>4.4</v>
      </c>
      <c r="M153" s="343" t="str">
        <f>SAUCES!$D$170</f>
        <v>#REF!</v>
      </c>
      <c r="N153" s="67" t="str">
        <f t="shared" ref="N153:N155" si="16">IF(OR(ISBLANK(L153),ISBLANK(M153)),"",M153*L153)</f>
        <v>#REF!</v>
      </c>
      <c r="O153" s="324"/>
    </row>
    <row r="154" ht="12.75" customHeight="1">
      <c r="A154" s="322"/>
      <c r="B154" s="75"/>
      <c r="C154" s="346"/>
      <c r="D154" s="371"/>
      <c r="E154" s="67" t="str">
        <f t="shared" si="15"/>
        <v/>
      </c>
      <c r="F154" s="324"/>
      <c r="G154" s="324"/>
      <c r="H154" s="387"/>
      <c r="I154" s="387"/>
      <c r="J154" s="322"/>
      <c r="K154" s="75" t="s">
        <v>1062</v>
      </c>
      <c r="L154" s="346">
        <v>1.0</v>
      </c>
      <c r="M154" s="371">
        <f>$D$109</f>
        <v>1247.142857</v>
      </c>
      <c r="N154" s="67">
        <f t="shared" si="16"/>
        <v>1247.142857</v>
      </c>
      <c r="O154" s="324"/>
    </row>
    <row r="155" ht="12.75" customHeight="1">
      <c r="A155" s="322"/>
      <c r="B155" s="87"/>
      <c r="C155" s="355"/>
      <c r="D155" s="352"/>
      <c r="E155" s="67" t="str">
        <f t="shared" si="15"/>
        <v/>
      </c>
      <c r="F155" s="324"/>
      <c r="G155" s="324"/>
      <c r="H155" s="387"/>
      <c r="I155" s="387"/>
      <c r="J155" s="322"/>
      <c r="K155" s="87"/>
      <c r="L155" s="355"/>
      <c r="M155" s="352"/>
      <c r="N155" s="67" t="str">
        <f t="shared" si="16"/>
        <v/>
      </c>
      <c r="O155" s="324"/>
    </row>
    <row r="156" ht="12.75" customHeight="1">
      <c r="A156" s="322"/>
      <c r="B156" s="338" t="s">
        <v>84</v>
      </c>
      <c r="C156" s="358"/>
      <c r="D156" s="358"/>
      <c r="E156" s="359">
        <f>IF(SUM(E153:E155)=0,"",SUM(E153:E155))</f>
        <v>1080</v>
      </c>
      <c r="F156" s="324"/>
      <c r="G156" s="324"/>
      <c r="H156" s="387"/>
      <c r="I156" s="387"/>
      <c r="J156" s="322"/>
      <c r="K156" s="338" t="s">
        <v>84</v>
      </c>
      <c r="L156" s="358"/>
      <c r="M156" s="358"/>
      <c r="N156" s="359" t="str">
        <f>IF(SUM(N153:N155)=0,"",SUM(N153:N155))</f>
        <v>#REF!</v>
      </c>
      <c r="O156" s="324"/>
    </row>
    <row r="157" ht="12.75" customHeight="1">
      <c r="A157" s="322"/>
      <c r="B157" s="360"/>
      <c r="C157" s="360"/>
      <c r="D157" s="360"/>
      <c r="E157" s="361"/>
      <c r="F157" s="324"/>
      <c r="G157" s="324"/>
      <c r="H157" s="387"/>
      <c r="I157" s="387"/>
      <c r="J157" s="322"/>
      <c r="K157" s="360"/>
      <c r="L157" s="360"/>
      <c r="M157" s="360"/>
      <c r="N157" s="361"/>
      <c r="O157" s="324"/>
    </row>
    <row r="158" ht="12.75" customHeight="1">
      <c r="A158" s="322"/>
      <c r="B158" s="362" t="s">
        <v>972</v>
      </c>
      <c r="C158" s="363"/>
      <c r="D158" s="363"/>
      <c r="E158" s="363"/>
      <c r="F158" s="324"/>
      <c r="G158" s="324"/>
      <c r="H158" s="387"/>
      <c r="I158" s="387"/>
      <c r="J158" s="322"/>
      <c r="K158" s="362" t="s">
        <v>972</v>
      </c>
      <c r="L158" s="363"/>
      <c r="M158" s="363"/>
      <c r="N158" s="363"/>
      <c r="O158" s="324"/>
    </row>
    <row r="159" ht="12.75" customHeight="1">
      <c r="A159" s="322"/>
      <c r="B159" s="365" t="s">
        <v>953</v>
      </c>
      <c r="C159" s="366" t="s">
        <v>3</v>
      </c>
      <c r="D159" s="366" t="s">
        <v>975</v>
      </c>
      <c r="E159" s="367" t="s">
        <v>35</v>
      </c>
      <c r="F159" s="324"/>
      <c r="G159" s="324"/>
      <c r="H159" s="387"/>
      <c r="I159" s="387"/>
      <c r="J159" s="322"/>
      <c r="K159" s="365" t="s">
        <v>953</v>
      </c>
      <c r="L159" s="366" t="s">
        <v>3</v>
      </c>
      <c r="M159" s="366" t="s">
        <v>975</v>
      </c>
      <c r="N159" s="367" t="s">
        <v>35</v>
      </c>
      <c r="O159" s="324"/>
    </row>
    <row r="160" ht="12.75" customHeight="1">
      <c r="A160" s="322"/>
      <c r="B160" s="368"/>
      <c r="C160" s="366"/>
      <c r="D160" s="366"/>
      <c r="E160" s="368"/>
      <c r="F160" s="324"/>
      <c r="G160" s="324"/>
      <c r="H160" s="387"/>
      <c r="I160" s="387"/>
      <c r="J160" s="322"/>
      <c r="K160" s="368"/>
      <c r="L160" s="366"/>
      <c r="M160" s="366"/>
      <c r="N160" s="368"/>
      <c r="O160" s="324"/>
    </row>
    <row r="161" ht="12.75" customHeight="1">
      <c r="A161" s="322"/>
      <c r="B161" s="60" t="s">
        <v>54</v>
      </c>
      <c r="C161" s="342">
        <v>0.11</v>
      </c>
      <c r="D161" s="467">
        <f>D71</f>
        <v>9900</v>
      </c>
      <c r="E161" s="67">
        <f t="shared" ref="E161:E170" si="17">D161*C161</f>
        <v>1089</v>
      </c>
      <c r="F161" s="324"/>
      <c r="G161" s="324"/>
      <c r="H161" s="387"/>
      <c r="I161" s="387"/>
      <c r="J161" s="322"/>
      <c r="K161" s="75" t="s">
        <v>176</v>
      </c>
      <c r="L161" s="370">
        <v>0.05</v>
      </c>
      <c r="M161" s="468">
        <f>$D$28</f>
        <v>38076.92308</v>
      </c>
      <c r="N161" s="67">
        <f t="shared" ref="N161:N170" si="18">M161*L161</f>
        <v>1903.846154</v>
      </c>
      <c r="O161" s="324"/>
    </row>
    <row r="162" ht="12.75" customHeight="1">
      <c r="A162" s="322"/>
      <c r="B162" s="75" t="s">
        <v>457</v>
      </c>
      <c r="C162" s="370">
        <v>0.25</v>
      </c>
      <c r="D162" s="468">
        <f>D19</f>
        <v>2970</v>
      </c>
      <c r="E162" s="67">
        <f t="shared" si="17"/>
        <v>742.5</v>
      </c>
      <c r="F162" s="324"/>
      <c r="G162" s="324"/>
      <c r="H162" s="387"/>
      <c r="I162" s="387"/>
      <c r="J162" s="322"/>
      <c r="K162" s="75"/>
      <c r="L162" s="370"/>
      <c r="M162" s="468"/>
      <c r="N162" s="67">
        <f t="shared" si="18"/>
        <v>0</v>
      </c>
      <c r="O162" s="324"/>
    </row>
    <row r="163" ht="12.75" customHeight="1">
      <c r="A163" s="322"/>
      <c r="B163" s="75" t="s">
        <v>66</v>
      </c>
      <c r="C163" s="370">
        <v>0.02</v>
      </c>
      <c r="D163" s="468">
        <f>D72</f>
        <v>8100</v>
      </c>
      <c r="E163" s="67">
        <f t="shared" si="17"/>
        <v>162</v>
      </c>
      <c r="F163" s="324"/>
      <c r="G163" s="324"/>
      <c r="H163" s="387"/>
      <c r="I163" s="387"/>
      <c r="J163" s="322"/>
      <c r="K163" s="75"/>
      <c r="L163" s="370"/>
      <c r="M163" s="468"/>
      <c r="N163" s="67">
        <f t="shared" si="18"/>
        <v>0</v>
      </c>
      <c r="O163" s="324"/>
    </row>
    <row r="164" ht="12.75" customHeight="1">
      <c r="A164" s="322"/>
      <c r="B164" s="75"/>
      <c r="C164" s="346"/>
      <c r="D164" s="75"/>
      <c r="E164" s="67">
        <f t="shared" si="17"/>
        <v>0</v>
      </c>
      <c r="F164" s="324"/>
      <c r="G164" s="324"/>
      <c r="H164" s="387"/>
      <c r="I164" s="387"/>
      <c r="J164" s="322"/>
      <c r="K164" s="75"/>
      <c r="L164" s="346"/>
      <c r="M164" s="75"/>
      <c r="N164" s="67">
        <f t="shared" si="18"/>
        <v>0</v>
      </c>
      <c r="O164" s="324"/>
    </row>
    <row r="165" ht="12.75" customHeight="1">
      <c r="A165" s="322"/>
      <c r="B165" s="75"/>
      <c r="C165" s="346"/>
      <c r="D165" s="371"/>
      <c r="E165" s="67">
        <f t="shared" si="17"/>
        <v>0</v>
      </c>
      <c r="F165" s="324"/>
      <c r="G165" s="324"/>
      <c r="H165" s="387"/>
      <c r="I165" s="387"/>
      <c r="J165" s="322"/>
      <c r="K165" s="75"/>
      <c r="L165" s="346"/>
      <c r="M165" s="371"/>
      <c r="N165" s="67">
        <f t="shared" si="18"/>
        <v>0</v>
      </c>
      <c r="O165" s="324"/>
    </row>
    <row r="166" ht="12.75" customHeight="1">
      <c r="A166" s="322"/>
      <c r="B166" s="75"/>
      <c r="C166" s="346"/>
      <c r="D166" s="373"/>
      <c r="E166" s="67">
        <f t="shared" si="17"/>
        <v>0</v>
      </c>
      <c r="F166" s="324"/>
      <c r="G166" s="324"/>
      <c r="H166" s="387"/>
      <c r="I166" s="387"/>
      <c r="J166" s="322"/>
      <c r="K166" s="75"/>
      <c r="L166" s="346"/>
      <c r="M166" s="373"/>
      <c r="N166" s="67">
        <f t="shared" si="18"/>
        <v>0</v>
      </c>
      <c r="O166" s="324"/>
    </row>
    <row r="167" ht="12.75" customHeight="1">
      <c r="A167" s="322"/>
      <c r="B167" s="348"/>
      <c r="C167" s="346"/>
      <c r="D167" s="373"/>
      <c r="E167" s="67">
        <f t="shared" si="17"/>
        <v>0</v>
      </c>
      <c r="F167" s="324"/>
      <c r="G167" s="324"/>
      <c r="H167" s="387"/>
      <c r="I167" s="387"/>
      <c r="J167" s="322"/>
      <c r="K167" s="348"/>
      <c r="L167" s="346"/>
      <c r="M167" s="373"/>
      <c r="N167" s="67">
        <f t="shared" si="18"/>
        <v>0</v>
      </c>
      <c r="O167" s="324"/>
    </row>
    <row r="168" ht="12.75" customHeight="1">
      <c r="A168" s="322"/>
      <c r="B168" s="348"/>
      <c r="C168" s="346"/>
      <c r="D168" s="373"/>
      <c r="E168" s="67">
        <f t="shared" si="17"/>
        <v>0</v>
      </c>
      <c r="F168" s="324"/>
      <c r="G168" s="324"/>
      <c r="H168" s="387"/>
      <c r="I168" s="387"/>
      <c r="J168" s="322"/>
      <c r="K168" s="348"/>
      <c r="L168" s="346"/>
      <c r="M168" s="373"/>
      <c r="N168" s="67">
        <f t="shared" si="18"/>
        <v>0</v>
      </c>
      <c r="O168" s="324"/>
    </row>
    <row r="169" ht="12.75" customHeight="1">
      <c r="A169" s="322"/>
      <c r="B169" s="348"/>
      <c r="C169" s="346"/>
      <c r="D169" s="373"/>
      <c r="E169" s="67">
        <f t="shared" si="17"/>
        <v>0</v>
      </c>
      <c r="F169" s="324"/>
      <c r="G169" s="324"/>
      <c r="H169" s="387"/>
      <c r="I169" s="387"/>
      <c r="J169" s="322"/>
      <c r="K169" s="348"/>
      <c r="L169" s="346"/>
      <c r="M169" s="373"/>
      <c r="N169" s="67">
        <f t="shared" si="18"/>
        <v>0</v>
      </c>
      <c r="O169" s="324"/>
    </row>
    <row r="170" ht="12.75" customHeight="1">
      <c r="A170" s="322"/>
      <c r="B170" s="354"/>
      <c r="C170" s="355"/>
      <c r="D170" s="356"/>
      <c r="E170" s="67">
        <f t="shared" si="17"/>
        <v>0</v>
      </c>
      <c r="F170" s="324"/>
      <c r="G170" s="324"/>
      <c r="H170" s="387"/>
      <c r="I170" s="387"/>
      <c r="J170" s="322"/>
      <c r="K170" s="354"/>
      <c r="L170" s="355"/>
      <c r="M170" s="356"/>
      <c r="N170" s="67">
        <f t="shared" si="18"/>
        <v>0</v>
      </c>
      <c r="O170" s="324"/>
    </row>
    <row r="171" ht="12.75" customHeight="1">
      <c r="A171" s="322"/>
      <c r="B171" s="362" t="s">
        <v>84</v>
      </c>
      <c r="C171" s="374"/>
      <c r="D171" s="374"/>
      <c r="E171" s="375">
        <f>IF(SUM(E161:E170)=0,"",SUM(E161:E170))</f>
        <v>1993.5</v>
      </c>
      <c r="F171" s="324"/>
      <c r="G171" s="324"/>
      <c r="H171" s="387"/>
      <c r="I171" s="387"/>
      <c r="J171" s="322"/>
      <c r="K171" s="362" t="s">
        <v>84</v>
      </c>
      <c r="L171" s="374"/>
      <c r="M171" s="374"/>
      <c r="N171" s="375">
        <f>IF(SUM(N161:N170)=0,"",SUM(N161:N170))</f>
        <v>1903.846154</v>
      </c>
      <c r="O171" s="324"/>
    </row>
    <row r="172" ht="12.75" customHeight="1">
      <c r="A172" s="322"/>
      <c r="B172" s="360"/>
      <c r="C172" s="360"/>
      <c r="D172" s="360"/>
      <c r="E172" s="361"/>
      <c r="F172" s="324"/>
      <c r="G172" s="324"/>
      <c r="H172" s="387"/>
      <c r="I172" s="387"/>
      <c r="J172" s="322"/>
      <c r="K172" s="360"/>
      <c r="L172" s="360"/>
      <c r="M172" s="360"/>
      <c r="N172" s="361"/>
      <c r="O172" s="324"/>
    </row>
    <row r="173" ht="12.75" customHeight="1">
      <c r="A173" s="322"/>
      <c r="B173" s="34" t="s">
        <v>17</v>
      </c>
      <c r="C173" s="35"/>
      <c r="D173" s="35"/>
      <c r="E173" s="35"/>
      <c r="F173" s="324"/>
      <c r="G173" s="324"/>
      <c r="H173" s="387"/>
      <c r="I173" s="387"/>
      <c r="J173" s="322"/>
      <c r="K173" s="34" t="s">
        <v>17</v>
      </c>
      <c r="L173" s="35"/>
      <c r="M173" s="35"/>
      <c r="N173" s="35"/>
      <c r="O173" s="324"/>
    </row>
    <row r="174" ht="12.75" customHeight="1">
      <c r="A174" s="322"/>
      <c r="B174" s="52" t="s">
        <v>42</v>
      </c>
      <c r="C174" s="54"/>
      <c r="D174" s="54"/>
      <c r="E174" s="56" t="s">
        <v>35</v>
      </c>
      <c r="F174" s="324"/>
      <c r="G174" s="324"/>
      <c r="H174" s="387"/>
      <c r="I174" s="387"/>
      <c r="J174" s="322"/>
      <c r="K174" s="52" t="s">
        <v>42</v>
      </c>
      <c r="L174" s="54"/>
      <c r="M174" s="54"/>
      <c r="N174" s="56" t="s">
        <v>35</v>
      </c>
      <c r="O174" s="324"/>
    </row>
    <row r="175" ht="12.75" customHeight="1">
      <c r="A175" s="322"/>
      <c r="B175" s="60" t="s">
        <v>40</v>
      </c>
      <c r="C175" s="343">
        <f>'UTL COST'!$B$3</f>
        <v>369000</v>
      </c>
      <c r="D175" s="379">
        <f>'UTL COST'!$C$3</f>
        <v>0.0075</v>
      </c>
      <c r="E175" s="67">
        <v>0.0</v>
      </c>
      <c r="F175" s="324"/>
      <c r="G175" s="324"/>
      <c r="H175" s="387"/>
      <c r="I175" s="387"/>
      <c r="J175" s="322"/>
      <c r="K175" s="60" t="s">
        <v>40</v>
      </c>
      <c r="L175" s="343">
        <f>'UTL COST'!$B$3</f>
        <v>369000</v>
      </c>
      <c r="M175" s="379">
        <f>'UTL COST'!$C$3</f>
        <v>0.0075</v>
      </c>
      <c r="N175" s="67">
        <v>0.0</v>
      </c>
      <c r="O175" s="324"/>
    </row>
    <row r="176" ht="12.75" customHeight="1">
      <c r="A176" s="322"/>
      <c r="B176" s="75" t="s">
        <v>51</v>
      </c>
      <c r="C176" s="371" t="str">
        <f>'UTL COST'!$B$4</f>
        <v>#REF!</v>
      </c>
      <c r="D176" s="382">
        <f>'UTL COST'!$C$4</f>
        <v>7000</v>
      </c>
      <c r="E176" s="76" t="str">
        <f>'UTL COST'!$D$4</f>
        <v>#REF!</v>
      </c>
      <c r="F176" s="324"/>
      <c r="G176" s="324"/>
      <c r="H176" s="387"/>
      <c r="I176" s="387"/>
      <c r="J176" s="322"/>
      <c r="K176" s="75" t="s">
        <v>51</v>
      </c>
      <c r="L176" s="371" t="str">
        <f>'UTL COST'!$B$4</f>
        <v>#REF!</v>
      </c>
      <c r="M176" s="382">
        <f>'UTL COST'!$C$4</f>
        <v>7000</v>
      </c>
      <c r="N176" s="76" t="str">
        <f>'UTL COST'!$D$4</f>
        <v>#REF!</v>
      </c>
      <c r="O176" s="324"/>
    </row>
    <row r="177" ht="12.75" customHeight="1">
      <c r="A177" s="322"/>
      <c r="B177" s="75" t="s">
        <v>59</v>
      </c>
      <c r="C177" s="371" t="str">
        <f>'UTL COST'!$B$5</f>
        <v>#REF!</v>
      </c>
      <c r="D177" s="382">
        <f>'UTL COST'!$C$5</f>
        <v>45000</v>
      </c>
      <c r="E177" s="76" t="str">
        <f>'UTL COST'!$D$5</f>
        <v>#REF!</v>
      </c>
      <c r="F177" s="324"/>
      <c r="G177" s="324"/>
      <c r="H177" s="387"/>
      <c r="I177" s="387"/>
      <c r="J177" s="322"/>
      <c r="K177" s="75" t="s">
        <v>59</v>
      </c>
      <c r="L177" s="371" t="str">
        <f>'UTL COST'!$B$5</f>
        <v>#REF!</v>
      </c>
      <c r="M177" s="382">
        <f>'UTL COST'!$C$5</f>
        <v>45000</v>
      </c>
      <c r="N177" s="76" t="str">
        <f>'UTL COST'!$D$5</f>
        <v>#REF!</v>
      </c>
      <c r="O177" s="324"/>
    </row>
    <row r="178" ht="12.75" customHeight="1">
      <c r="A178" s="322"/>
      <c r="B178" s="87" t="s">
        <v>78</v>
      </c>
      <c r="C178" s="371" t="str">
        <f>'UTL COST'!$B$6</f>
        <v>#REF!</v>
      </c>
      <c r="D178" s="383">
        <f>'UTL COST'!$C$6</f>
        <v>525</v>
      </c>
      <c r="E178" s="89">
        <v>0.1</v>
      </c>
      <c r="F178" s="324"/>
      <c r="G178" s="324"/>
      <c r="H178" s="387"/>
      <c r="I178" s="387"/>
      <c r="J178" s="322"/>
      <c r="K178" s="87" t="s">
        <v>78</v>
      </c>
      <c r="L178" s="371" t="str">
        <f>'UTL COST'!$B$6</f>
        <v>#REF!</v>
      </c>
      <c r="M178" s="383">
        <f>'UTL COST'!$C$6</f>
        <v>525</v>
      </c>
      <c r="N178" s="89">
        <v>0.1</v>
      </c>
      <c r="O178" s="324"/>
    </row>
    <row r="179" ht="12.75" customHeight="1">
      <c r="A179" s="322"/>
      <c r="B179" s="34" t="s">
        <v>84</v>
      </c>
      <c r="C179" s="102"/>
      <c r="D179" s="102"/>
      <c r="E179" s="104" t="str">
        <f>IF(SUM(E175:E178)=0,"",SUM(E175:E178))</f>
        <v>#REF!</v>
      </c>
      <c r="F179" s="324"/>
      <c r="G179" s="324"/>
      <c r="H179" s="387"/>
      <c r="I179" s="387"/>
      <c r="J179" s="322"/>
      <c r="K179" s="34" t="s">
        <v>84</v>
      </c>
      <c r="L179" s="102"/>
      <c r="M179" s="102"/>
      <c r="N179" s="104" t="str">
        <f>IF(SUM(N175:N178)=0,"",SUM(N175:N178))</f>
        <v>#REF!</v>
      </c>
      <c r="O179" s="324"/>
    </row>
    <row r="180" ht="12.75" customHeight="1">
      <c r="A180" s="322"/>
      <c r="B180" s="360"/>
      <c r="C180" s="360"/>
      <c r="D180" s="360"/>
      <c r="E180" s="361"/>
      <c r="F180" s="324"/>
      <c r="G180" s="324"/>
      <c r="H180" s="387"/>
      <c r="I180" s="387"/>
      <c r="J180" s="322"/>
      <c r="K180" s="360"/>
      <c r="L180" s="360"/>
      <c r="M180" s="360"/>
      <c r="N180" s="361"/>
      <c r="O180" s="324"/>
    </row>
    <row r="181" ht="12.75" customHeight="1">
      <c r="A181" s="387"/>
      <c r="B181" s="387"/>
      <c r="C181" s="387"/>
      <c r="D181" s="387"/>
      <c r="E181" s="418"/>
      <c r="F181" s="387"/>
      <c r="G181" s="387"/>
      <c r="H181" s="387"/>
      <c r="I181" s="387"/>
      <c r="J181" s="387"/>
      <c r="K181" s="387"/>
      <c r="L181" s="387"/>
      <c r="M181" s="387"/>
      <c r="N181" s="387"/>
      <c r="O181" s="387"/>
    </row>
    <row r="182" ht="12.75" customHeight="1">
      <c r="A182" s="387"/>
      <c r="B182" s="387"/>
      <c r="C182" s="387"/>
      <c r="D182" s="387"/>
      <c r="E182" s="418"/>
      <c r="F182" s="387"/>
      <c r="G182" s="387"/>
      <c r="H182" s="387"/>
      <c r="I182" s="387"/>
      <c r="J182" s="387"/>
      <c r="K182" s="387"/>
      <c r="L182" s="387"/>
      <c r="M182" s="387"/>
      <c r="N182" s="387"/>
      <c r="O182" s="387"/>
    </row>
    <row r="183" ht="12.75" customHeight="1">
      <c r="A183" s="322"/>
      <c r="B183" s="322"/>
      <c r="C183" s="322"/>
      <c r="D183" s="322"/>
      <c r="E183" s="323"/>
      <c r="F183" s="324"/>
      <c r="G183" s="324"/>
      <c r="H183" s="387"/>
      <c r="I183" s="387"/>
      <c r="J183" s="322"/>
      <c r="K183" s="322"/>
      <c r="L183" s="322"/>
      <c r="M183" s="322"/>
      <c r="N183" s="323"/>
      <c r="O183" s="324"/>
    </row>
    <row r="184" ht="12.75" customHeight="1">
      <c r="A184" s="322"/>
      <c r="B184" s="325"/>
      <c r="C184" s="322"/>
      <c r="D184" s="322"/>
      <c r="E184" s="323"/>
      <c r="F184" s="326"/>
      <c r="G184" s="326"/>
      <c r="H184" s="387"/>
      <c r="I184" s="387"/>
      <c r="J184" s="322"/>
      <c r="K184" s="325"/>
      <c r="L184" s="322"/>
      <c r="M184" s="322"/>
      <c r="N184" s="323"/>
      <c r="O184" s="326"/>
    </row>
    <row r="185" ht="12.75" customHeight="1">
      <c r="A185" s="322"/>
      <c r="B185" s="327" t="s">
        <v>931</v>
      </c>
      <c r="C185" s="328" t="s">
        <v>12</v>
      </c>
      <c r="D185" s="329"/>
      <c r="E185" s="323"/>
      <c r="F185" s="326"/>
      <c r="G185" s="326"/>
      <c r="H185" s="387"/>
      <c r="I185" s="387"/>
      <c r="J185" s="322"/>
      <c r="K185" s="327" t="s">
        <v>931</v>
      </c>
      <c r="L185" s="328" t="s">
        <v>731</v>
      </c>
      <c r="M185" s="329"/>
      <c r="N185" s="323"/>
      <c r="O185" s="326"/>
    </row>
    <row r="186" ht="12.75" customHeight="1">
      <c r="A186" s="322"/>
      <c r="B186" s="325"/>
      <c r="C186" s="322"/>
      <c r="D186" s="322"/>
      <c r="E186" s="323"/>
      <c r="F186" s="326"/>
      <c r="G186" s="326"/>
      <c r="H186" s="387"/>
      <c r="I186" s="387"/>
      <c r="J186" s="322"/>
      <c r="K186" s="325"/>
      <c r="L186" s="322"/>
      <c r="M186" s="322"/>
      <c r="N186" s="323"/>
      <c r="O186" s="326"/>
    </row>
    <row r="187" ht="12.75" customHeight="1">
      <c r="A187" s="322"/>
      <c r="B187" s="327" t="s">
        <v>935</v>
      </c>
      <c r="C187" s="331">
        <v>70000.0</v>
      </c>
      <c r="D187" s="329"/>
      <c r="E187" s="323"/>
      <c r="F187" s="326"/>
      <c r="G187" s="326"/>
      <c r="H187" s="387"/>
      <c r="I187" s="387"/>
      <c r="J187" s="322"/>
      <c r="K187" s="327" t="s">
        <v>935</v>
      </c>
      <c r="L187" s="331">
        <v>70000.0</v>
      </c>
      <c r="M187" s="329"/>
      <c r="N187" s="323"/>
      <c r="O187" s="326"/>
    </row>
    <row r="188" ht="12.75" customHeight="1">
      <c r="A188" s="322"/>
      <c r="B188" s="327"/>
      <c r="C188" s="332"/>
      <c r="D188" s="332"/>
      <c r="E188" s="323"/>
      <c r="F188" s="326"/>
      <c r="G188" s="326"/>
      <c r="H188" s="387"/>
      <c r="I188" s="387"/>
      <c r="J188" s="322"/>
      <c r="K188" s="327"/>
      <c r="L188" s="332"/>
      <c r="M188" s="332"/>
      <c r="N188" s="323"/>
      <c r="O188" s="326"/>
    </row>
    <row r="189" ht="12.75" customHeight="1">
      <c r="A189" s="322"/>
      <c r="B189" s="327" t="s">
        <v>939</v>
      </c>
      <c r="C189" s="333" t="str">
        <f>IF(SUM(E201,E216,E224)=0,"",SUM(E201,E216,E224))</f>
        <v>#REF!</v>
      </c>
      <c r="D189" s="321"/>
      <c r="E189" s="323"/>
      <c r="F189" s="326"/>
      <c r="G189" s="326"/>
      <c r="H189" s="387"/>
      <c r="I189" s="387"/>
      <c r="J189" s="322"/>
      <c r="K189" s="327" t="s">
        <v>939</v>
      </c>
      <c r="L189" s="333" t="str">
        <f>IF(SUM(N201,N216,N224)=0,"",SUM(N201,N216,N224))</f>
        <v>#REF!</v>
      </c>
      <c r="M189" s="321"/>
      <c r="N189" s="323"/>
      <c r="O189" s="326"/>
    </row>
    <row r="190" ht="12.75" customHeight="1">
      <c r="A190" s="322"/>
      <c r="B190" s="327"/>
      <c r="C190" s="334"/>
      <c r="D190" s="334"/>
      <c r="E190" s="323"/>
      <c r="F190" s="326"/>
      <c r="G190" s="326"/>
      <c r="H190" s="387"/>
      <c r="I190" s="387"/>
      <c r="J190" s="322"/>
      <c r="K190" s="327"/>
      <c r="L190" s="334"/>
      <c r="M190" s="334"/>
      <c r="N190" s="323"/>
      <c r="O190" s="326"/>
    </row>
    <row r="191" ht="12.75" customHeight="1">
      <c r="A191" s="322"/>
      <c r="B191" s="327" t="s">
        <v>946</v>
      </c>
      <c r="C191" s="335" t="str">
        <f>IF(C189="","",IF(ISBLANK(C187),"",C189/C187))</f>
        <v>#REF!</v>
      </c>
      <c r="D191" s="321"/>
      <c r="E191" s="323"/>
      <c r="F191" s="326"/>
      <c r="G191" s="326"/>
      <c r="H191" s="387"/>
      <c r="I191" s="387"/>
      <c r="J191" s="322"/>
      <c r="K191" s="327" t="s">
        <v>946</v>
      </c>
      <c r="L191" s="335" t="str">
        <f>IF(L189="","",IF(ISBLANK(L187),"",L189/L187))</f>
        <v>#REF!</v>
      </c>
      <c r="M191" s="321"/>
      <c r="N191" s="323"/>
      <c r="O191" s="326"/>
    </row>
    <row r="192" ht="12.75" customHeight="1">
      <c r="A192" s="322"/>
      <c r="B192" s="327"/>
      <c r="C192" s="334"/>
      <c r="D192" s="334"/>
      <c r="E192" s="323"/>
      <c r="F192" s="326"/>
      <c r="G192" s="326"/>
      <c r="H192" s="387"/>
      <c r="I192" s="387"/>
      <c r="J192" s="322"/>
      <c r="K192" s="327"/>
      <c r="L192" s="334"/>
      <c r="M192" s="334"/>
      <c r="N192" s="323"/>
      <c r="O192" s="326"/>
    </row>
    <row r="193" ht="12.75" customHeight="1">
      <c r="A193" s="322"/>
      <c r="B193" s="327" t="s">
        <v>950</v>
      </c>
      <c r="C193" s="333" t="str">
        <f>C187-C189</f>
        <v>#REF!</v>
      </c>
      <c r="D193" s="321"/>
      <c r="E193" s="323"/>
      <c r="F193" s="326"/>
      <c r="G193" s="326"/>
      <c r="H193" s="387"/>
      <c r="I193" s="387"/>
      <c r="J193" s="322"/>
      <c r="K193" s="327" t="s">
        <v>950</v>
      </c>
      <c r="L193" s="333" t="str">
        <f>L187-L189</f>
        <v>#REF!</v>
      </c>
      <c r="M193" s="321"/>
      <c r="N193" s="323"/>
      <c r="O193" s="326"/>
    </row>
    <row r="194" ht="12.75" customHeight="1">
      <c r="A194" s="322"/>
      <c r="B194" s="322"/>
      <c r="C194" s="322"/>
      <c r="D194" s="322"/>
      <c r="E194" s="323"/>
      <c r="F194" s="324"/>
      <c r="G194" s="324"/>
      <c r="H194" s="387"/>
      <c r="I194" s="387"/>
      <c r="J194" s="322"/>
      <c r="K194" s="322"/>
      <c r="L194" s="322"/>
      <c r="M194" s="322"/>
      <c r="N194" s="323"/>
      <c r="O194" s="324"/>
    </row>
    <row r="195" ht="12.75" customHeight="1">
      <c r="A195" s="322"/>
      <c r="B195" s="322"/>
      <c r="C195" s="322"/>
      <c r="D195" s="322"/>
      <c r="E195" s="337"/>
      <c r="F195" s="324"/>
      <c r="G195" s="324"/>
      <c r="H195" s="387"/>
      <c r="I195" s="387"/>
      <c r="J195" s="322"/>
      <c r="K195" s="322"/>
      <c r="L195" s="322"/>
      <c r="M195" s="322"/>
      <c r="N195" s="337"/>
      <c r="O195" s="324"/>
    </row>
    <row r="196" ht="12.75" customHeight="1">
      <c r="A196" s="322"/>
      <c r="B196" s="338" t="s">
        <v>951</v>
      </c>
      <c r="C196" s="339"/>
      <c r="D196" s="339"/>
      <c r="E196" s="339"/>
      <c r="F196" s="324"/>
      <c r="G196" s="324"/>
      <c r="H196" s="387"/>
      <c r="I196" s="387"/>
      <c r="J196" s="322"/>
      <c r="K196" s="338" t="s">
        <v>951</v>
      </c>
      <c r="L196" s="339"/>
      <c r="M196" s="339"/>
      <c r="N196" s="339"/>
      <c r="O196" s="324"/>
    </row>
    <row r="197" ht="12.75" customHeight="1">
      <c r="A197" s="322"/>
      <c r="B197" s="340" t="s">
        <v>953</v>
      </c>
      <c r="C197" s="341" t="s">
        <v>954</v>
      </c>
      <c r="D197" s="341" t="s">
        <v>955</v>
      </c>
      <c r="E197" s="341" t="s">
        <v>35</v>
      </c>
      <c r="F197" s="324"/>
      <c r="G197" s="324"/>
      <c r="H197" s="387"/>
      <c r="I197" s="387"/>
      <c r="J197" s="322"/>
      <c r="K197" s="340" t="s">
        <v>953</v>
      </c>
      <c r="L197" s="341" t="s">
        <v>954</v>
      </c>
      <c r="M197" s="341" t="s">
        <v>955</v>
      </c>
      <c r="N197" s="341" t="s">
        <v>35</v>
      </c>
      <c r="O197" s="324"/>
    </row>
    <row r="198" ht="12.75" customHeight="1">
      <c r="A198" s="322"/>
      <c r="B198" s="60" t="s">
        <v>842</v>
      </c>
      <c r="C198" s="342">
        <v>0.2</v>
      </c>
      <c r="D198" s="343">
        <f>'F&amp;B'!$F$281</f>
        <v>5400</v>
      </c>
      <c r="E198" s="67">
        <f t="shared" ref="E198:E200" si="19">IF(OR(ISBLANK(C198),ISBLANK(D198)),"",D198*C198)</f>
        <v>1080</v>
      </c>
      <c r="F198" s="324"/>
      <c r="G198" s="324"/>
      <c r="H198" s="387"/>
      <c r="I198" s="387"/>
      <c r="J198" s="322"/>
      <c r="K198" s="60" t="s">
        <v>676</v>
      </c>
      <c r="L198" s="342">
        <v>4.4</v>
      </c>
      <c r="M198" s="343" t="str">
        <f>SAUCES!L170</f>
        <v>#REF!</v>
      </c>
      <c r="N198" s="67" t="str">
        <f t="shared" ref="N198:N200" si="20">IF(OR(ISBLANK(L198),ISBLANK(M198)),"",M198*L198)</f>
        <v>#REF!</v>
      </c>
      <c r="O198" s="324"/>
    </row>
    <row r="199" ht="12.75" customHeight="1">
      <c r="A199" s="322"/>
      <c r="B199" s="75"/>
      <c r="C199" s="346"/>
      <c r="D199" s="371"/>
      <c r="E199" s="67" t="str">
        <f t="shared" si="19"/>
        <v/>
      </c>
      <c r="F199" s="324"/>
      <c r="G199" s="324"/>
      <c r="H199" s="387"/>
      <c r="I199" s="387"/>
      <c r="J199" s="322"/>
      <c r="K199" s="75" t="s">
        <v>1062</v>
      </c>
      <c r="L199" s="346">
        <v>1.0</v>
      </c>
      <c r="M199" s="371">
        <f>M154</f>
        <v>1247.142857</v>
      </c>
      <c r="N199" s="67">
        <f t="shared" si="20"/>
        <v>1247.142857</v>
      </c>
      <c r="O199" s="324"/>
    </row>
    <row r="200" ht="12.75" customHeight="1">
      <c r="A200" s="322"/>
      <c r="B200" s="87"/>
      <c r="C200" s="355"/>
      <c r="D200" s="352"/>
      <c r="E200" s="67" t="str">
        <f t="shared" si="19"/>
        <v/>
      </c>
      <c r="F200" s="324"/>
      <c r="G200" s="324"/>
      <c r="H200" s="387"/>
      <c r="I200" s="387"/>
      <c r="J200" s="322"/>
      <c r="K200" s="87"/>
      <c r="L200" s="355"/>
      <c r="M200" s="352"/>
      <c r="N200" s="67" t="str">
        <f t="shared" si="20"/>
        <v/>
      </c>
      <c r="O200" s="324"/>
    </row>
    <row r="201" ht="12.75" customHeight="1">
      <c r="A201" s="322"/>
      <c r="B201" s="338" t="s">
        <v>84</v>
      </c>
      <c r="C201" s="358"/>
      <c r="D201" s="358"/>
      <c r="E201" s="359">
        <f>IF(SUM(E198:E200)=0,"",SUM(E198:E200))</f>
        <v>1080</v>
      </c>
      <c r="F201" s="324"/>
      <c r="G201" s="324"/>
      <c r="H201" s="387"/>
      <c r="I201" s="387"/>
      <c r="J201" s="322"/>
      <c r="K201" s="338" t="s">
        <v>84</v>
      </c>
      <c r="L201" s="358"/>
      <c r="M201" s="358"/>
      <c r="N201" s="359" t="str">
        <f>IF(SUM(N198:N200)=0,"",SUM(N198:N200))</f>
        <v>#REF!</v>
      </c>
      <c r="O201" s="324"/>
    </row>
    <row r="202" ht="12.75" customHeight="1">
      <c r="A202" s="322"/>
      <c r="B202" s="360"/>
      <c r="C202" s="360"/>
      <c r="D202" s="360"/>
      <c r="E202" s="361"/>
      <c r="F202" s="324"/>
      <c r="G202" s="324"/>
      <c r="H202" s="387"/>
      <c r="I202" s="387"/>
      <c r="J202" s="322"/>
      <c r="K202" s="360"/>
      <c r="L202" s="360"/>
      <c r="M202" s="360"/>
      <c r="N202" s="361"/>
      <c r="O202" s="324"/>
    </row>
    <row r="203" ht="12.75" customHeight="1">
      <c r="A203" s="322"/>
      <c r="B203" s="362" t="s">
        <v>972</v>
      </c>
      <c r="C203" s="363"/>
      <c r="D203" s="363"/>
      <c r="E203" s="363"/>
      <c r="F203" s="324"/>
      <c r="G203" s="324"/>
      <c r="H203" s="387"/>
      <c r="I203" s="387"/>
      <c r="J203" s="322"/>
      <c r="K203" s="362" t="s">
        <v>972</v>
      </c>
      <c r="L203" s="363"/>
      <c r="M203" s="363"/>
      <c r="N203" s="363"/>
      <c r="O203" s="324"/>
    </row>
    <row r="204" ht="12.75" customHeight="1">
      <c r="A204" s="322"/>
      <c r="B204" s="365" t="s">
        <v>953</v>
      </c>
      <c r="C204" s="366" t="s">
        <v>3</v>
      </c>
      <c r="D204" s="366" t="s">
        <v>975</v>
      </c>
      <c r="E204" s="367" t="s">
        <v>35</v>
      </c>
      <c r="F204" s="324"/>
      <c r="G204" s="324"/>
      <c r="H204" s="387"/>
      <c r="I204" s="387"/>
      <c r="J204" s="322"/>
      <c r="K204" s="365" t="s">
        <v>953</v>
      </c>
      <c r="L204" s="366" t="s">
        <v>3</v>
      </c>
      <c r="M204" s="366" t="s">
        <v>975</v>
      </c>
      <c r="N204" s="367" t="s">
        <v>35</v>
      </c>
      <c r="O204" s="324"/>
    </row>
    <row r="205" ht="12.75" customHeight="1">
      <c r="A205" s="322"/>
      <c r="B205" s="368"/>
      <c r="C205" s="366"/>
      <c r="D205" s="366"/>
      <c r="E205" s="368"/>
      <c r="F205" s="324"/>
      <c r="G205" s="324"/>
      <c r="H205" s="387"/>
      <c r="I205" s="387"/>
      <c r="J205" s="322"/>
      <c r="K205" s="368"/>
      <c r="L205" s="366"/>
      <c r="M205" s="366"/>
      <c r="N205" s="368"/>
      <c r="O205" s="324"/>
    </row>
    <row r="206" ht="12.75" customHeight="1">
      <c r="A206" s="322"/>
      <c r="B206" s="60" t="s">
        <v>54</v>
      </c>
      <c r="C206" s="342">
        <v>0.11</v>
      </c>
      <c r="D206" s="467">
        <f>D116</f>
        <v>7200</v>
      </c>
      <c r="E206" s="67">
        <f t="shared" ref="E206:E215" si="21">D206*C206</f>
        <v>792</v>
      </c>
      <c r="F206" s="324"/>
      <c r="G206" s="324"/>
      <c r="H206" s="387"/>
      <c r="I206" s="387"/>
      <c r="J206" s="322"/>
      <c r="K206" s="75" t="s">
        <v>176</v>
      </c>
      <c r="L206" s="370">
        <v>0.05</v>
      </c>
      <c r="M206" s="468">
        <f>D28</f>
        <v>38076.92308</v>
      </c>
      <c r="N206" s="67">
        <f t="shared" ref="N206:N215" si="22">M206*L206</f>
        <v>1903.846154</v>
      </c>
      <c r="O206" s="324"/>
    </row>
    <row r="207" ht="12.75" customHeight="1">
      <c r="A207" s="322"/>
      <c r="B207" s="75" t="s">
        <v>457</v>
      </c>
      <c r="C207" s="370">
        <v>0.25</v>
      </c>
      <c r="D207" s="468">
        <f>D64</f>
        <v>32175</v>
      </c>
      <c r="E207" s="67">
        <f t="shared" si="21"/>
        <v>8043.75</v>
      </c>
      <c r="F207" s="324"/>
      <c r="G207" s="324"/>
      <c r="H207" s="387"/>
      <c r="I207" s="387"/>
      <c r="J207" s="322"/>
      <c r="K207" s="75"/>
      <c r="L207" s="370"/>
      <c r="M207" s="468"/>
      <c r="N207" s="67">
        <f t="shared" si="22"/>
        <v>0</v>
      </c>
      <c r="O207" s="324"/>
    </row>
    <row r="208" ht="12.75" customHeight="1">
      <c r="A208" s="322"/>
      <c r="B208" s="75" t="s">
        <v>66</v>
      </c>
      <c r="C208" s="370">
        <v>0.02</v>
      </c>
      <c r="D208" s="468">
        <f>D117</f>
        <v>36000</v>
      </c>
      <c r="E208" s="67">
        <f t="shared" si="21"/>
        <v>720</v>
      </c>
      <c r="F208" s="324"/>
      <c r="G208" s="324"/>
      <c r="H208" s="387"/>
      <c r="I208" s="387"/>
      <c r="J208" s="322"/>
      <c r="K208" s="75"/>
      <c r="L208" s="370"/>
      <c r="M208" s="468"/>
      <c r="N208" s="67">
        <f t="shared" si="22"/>
        <v>0</v>
      </c>
      <c r="O208" s="324"/>
    </row>
    <row r="209" ht="12.75" customHeight="1">
      <c r="A209" s="322"/>
      <c r="B209" s="75"/>
      <c r="C209" s="346"/>
      <c r="D209" s="75"/>
      <c r="E209" s="67">
        <f t="shared" si="21"/>
        <v>0</v>
      </c>
      <c r="F209" s="324"/>
      <c r="G209" s="324"/>
      <c r="H209" s="387"/>
      <c r="I209" s="387"/>
      <c r="J209" s="322"/>
      <c r="K209" s="75"/>
      <c r="L209" s="346"/>
      <c r="M209" s="75"/>
      <c r="N209" s="67">
        <f t="shared" si="22"/>
        <v>0</v>
      </c>
      <c r="O209" s="324"/>
    </row>
    <row r="210" ht="12.75" customHeight="1">
      <c r="A210" s="322"/>
      <c r="B210" s="75"/>
      <c r="C210" s="346"/>
      <c r="D210" s="371"/>
      <c r="E210" s="67">
        <f t="shared" si="21"/>
        <v>0</v>
      </c>
      <c r="F210" s="324"/>
      <c r="G210" s="324"/>
      <c r="H210" s="387"/>
      <c r="I210" s="387"/>
      <c r="J210" s="322"/>
      <c r="K210" s="75"/>
      <c r="L210" s="346"/>
      <c r="M210" s="371"/>
      <c r="N210" s="67">
        <f t="shared" si="22"/>
        <v>0</v>
      </c>
      <c r="O210" s="324"/>
    </row>
    <row r="211" ht="12.75" customHeight="1">
      <c r="A211" s="322"/>
      <c r="B211" s="75"/>
      <c r="C211" s="346"/>
      <c r="D211" s="373"/>
      <c r="E211" s="67">
        <f t="shared" si="21"/>
        <v>0</v>
      </c>
      <c r="F211" s="324"/>
      <c r="G211" s="324"/>
      <c r="H211" s="387"/>
      <c r="I211" s="387"/>
      <c r="J211" s="322"/>
      <c r="K211" s="75"/>
      <c r="L211" s="346"/>
      <c r="M211" s="373"/>
      <c r="N211" s="67">
        <f t="shared" si="22"/>
        <v>0</v>
      </c>
      <c r="O211" s="324"/>
    </row>
    <row r="212" ht="12.75" customHeight="1">
      <c r="A212" s="322"/>
      <c r="B212" s="348"/>
      <c r="C212" s="346"/>
      <c r="D212" s="373"/>
      <c r="E212" s="67">
        <f t="shared" si="21"/>
        <v>0</v>
      </c>
      <c r="F212" s="324"/>
      <c r="G212" s="324"/>
      <c r="H212" s="387"/>
      <c r="I212" s="387"/>
      <c r="J212" s="322"/>
      <c r="K212" s="348"/>
      <c r="L212" s="346"/>
      <c r="M212" s="373"/>
      <c r="N212" s="67">
        <f t="shared" si="22"/>
        <v>0</v>
      </c>
      <c r="O212" s="324"/>
    </row>
    <row r="213" ht="12.75" customHeight="1">
      <c r="A213" s="322"/>
      <c r="B213" s="348"/>
      <c r="C213" s="346"/>
      <c r="D213" s="373"/>
      <c r="E213" s="67">
        <f t="shared" si="21"/>
        <v>0</v>
      </c>
      <c r="F213" s="324"/>
      <c r="G213" s="324"/>
      <c r="H213" s="387"/>
      <c r="I213" s="387"/>
      <c r="J213" s="322"/>
      <c r="K213" s="348"/>
      <c r="L213" s="346"/>
      <c r="M213" s="373"/>
      <c r="N213" s="67">
        <f t="shared" si="22"/>
        <v>0</v>
      </c>
      <c r="O213" s="324"/>
    </row>
    <row r="214" ht="12.75" customHeight="1">
      <c r="A214" s="322"/>
      <c r="B214" s="348"/>
      <c r="C214" s="346"/>
      <c r="D214" s="373"/>
      <c r="E214" s="67">
        <f t="shared" si="21"/>
        <v>0</v>
      </c>
      <c r="F214" s="324"/>
      <c r="G214" s="324"/>
      <c r="H214" s="387"/>
      <c r="I214" s="387"/>
      <c r="J214" s="322"/>
      <c r="K214" s="348"/>
      <c r="L214" s="346"/>
      <c r="M214" s="373"/>
      <c r="N214" s="67">
        <f t="shared" si="22"/>
        <v>0</v>
      </c>
      <c r="O214" s="324"/>
    </row>
    <row r="215" ht="12.75" customHeight="1">
      <c r="A215" s="322"/>
      <c r="B215" s="354"/>
      <c r="C215" s="355"/>
      <c r="D215" s="356"/>
      <c r="E215" s="67">
        <f t="shared" si="21"/>
        <v>0</v>
      </c>
      <c r="F215" s="324"/>
      <c r="G215" s="324"/>
      <c r="H215" s="387"/>
      <c r="I215" s="387"/>
      <c r="J215" s="322"/>
      <c r="K215" s="354"/>
      <c r="L215" s="355"/>
      <c r="M215" s="356"/>
      <c r="N215" s="67">
        <f t="shared" si="22"/>
        <v>0</v>
      </c>
      <c r="O215" s="324"/>
    </row>
    <row r="216" ht="12.75" customHeight="1">
      <c r="A216" s="322"/>
      <c r="B216" s="362" t="s">
        <v>84</v>
      </c>
      <c r="C216" s="374"/>
      <c r="D216" s="374"/>
      <c r="E216" s="375">
        <f>IF(SUM(E206:E215)=0,"",SUM(E206:E215))</f>
        <v>9555.75</v>
      </c>
      <c r="F216" s="324"/>
      <c r="G216" s="324"/>
      <c r="H216" s="387"/>
      <c r="I216" s="387"/>
      <c r="J216" s="322"/>
      <c r="K216" s="362" t="s">
        <v>84</v>
      </c>
      <c r="L216" s="374"/>
      <c r="M216" s="374"/>
      <c r="N216" s="375">
        <f>IF(SUM(N206:N215)=0,"",SUM(N206:N215))</f>
        <v>1903.846154</v>
      </c>
      <c r="O216" s="324"/>
    </row>
    <row r="217" ht="12.75" customHeight="1">
      <c r="A217" s="322"/>
      <c r="B217" s="360"/>
      <c r="C217" s="360"/>
      <c r="D217" s="360"/>
      <c r="E217" s="361"/>
      <c r="F217" s="324"/>
      <c r="G217" s="324"/>
      <c r="H217" s="387"/>
      <c r="I217" s="387"/>
      <c r="J217" s="322"/>
      <c r="K217" s="360"/>
      <c r="L217" s="360"/>
      <c r="M217" s="360"/>
      <c r="N217" s="361"/>
      <c r="O217" s="324"/>
    </row>
    <row r="218" ht="12.75" customHeight="1">
      <c r="A218" s="322"/>
      <c r="B218" s="34" t="s">
        <v>17</v>
      </c>
      <c r="C218" s="35"/>
      <c r="D218" s="35"/>
      <c r="E218" s="35"/>
      <c r="F218" s="324"/>
      <c r="G218" s="324"/>
      <c r="H218" s="387"/>
      <c r="I218" s="387"/>
      <c r="J218" s="322"/>
      <c r="K218" s="34" t="s">
        <v>17</v>
      </c>
      <c r="L218" s="35"/>
      <c r="M218" s="35"/>
      <c r="N218" s="35"/>
      <c r="O218" s="324"/>
    </row>
    <row r="219" ht="12.75" customHeight="1">
      <c r="A219" s="322"/>
      <c r="B219" s="52" t="s">
        <v>42</v>
      </c>
      <c r="C219" s="54"/>
      <c r="D219" s="54"/>
      <c r="E219" s="56" t="s">
        <v>35</v>
      </c>
      <c r="F219" s="324"/>
      <c r="G219" s="324"/>
      <c r="H219" s="387"/>
      <c r="I219" s="387"/>
      <c r="J219" s="322"/>
      <c r="K219" s="52" t="s">
        <v>42</v>
      </c>
      <c r="L219" s="54"/>
      <c r="M219" s="54"/>
      <c r="N219" s="56" t="s">
        <v>35</v>
      </c>
      <c r="O219" s="324"/>
    </row>
    <row r="220" ht="12.75" customHeight="1">
      <c r="A220" s="322"/>
      <c r="B220" s="60" t="s">
        <v>40</v>
      </c>
      <c r="C220" s="343">
        <f>'UTL COST'!$B$3</f>
        <v>369000</v>
      </c>
      <c r="D220" s="379">
        <f>'UTL COST'!$C$3</f>
        <v>0.0075</v>
      </c>
      <c r="E220" s="67">
        <v>0.0</v>
      </c>
      <c r="F220" s="324"/>
      <c r="G220" s="324"/>
      <c r="H220" s="387"/>
      <c r="I220" s="387"/>
      <c r="J220" s="322"/>
      <c r="K220" s="60" t="s">
        <v>40</v>
      </c>
      <c r="L220" s="343">
        <f>'UTL COST'!$B$3</f>
        <v>369000</v>
      </c>
      <c r="M220" s="379">
        <f>'UTL COST'!$C$3</f>
        <v>0.0075</v>
      </c>
      <c r="N220" s="67">
        <v>0.0</v>
      </c>
      <c r="O220" s="324"/>
    </row>
    <row r="221" ht="12.75" customHeight="1">
      <c r="A221" s="322"/>
      <c r="B221" s="75" t="s">
        <v>51</v>
      </c>
      <c r="C221" s="371" t="str">
        <f>'UTL COST'!$B$4</f>
        <v>#REF!</v>
      </c>
      <c r="D221" s="382">
        <f>'UTL COST'!$C$4</f>
        <v>7000</v>
      </c>
      <c r="E221" s="76" t="str">
        <f>'UTL COST'!$D$4</f>
        <v>#REF!</v>
      </c>
      <c r="F221" s="324"/>
      <c r="G221" s="324"/>
      <c r="H221" s="387"/>
      <c r="I221" s="387"/>
      <c r="J221" s="322"/>
      <c r="K221" s="75" t="s">
        <v>51</v>
      </c>
      <c r="L221" s="371" t="str">
        <f>'UTL COST'!$B$4</f>
        <v>#REF!</v>
      </c>
      <c r="M221" s="382">
        <f>'UTL COST'!$C$4</f>
        <v>7000</v>
      </c>
      <c r="N221" s="76" t="str">
        <f>'UTL COST'!$D$4</f>
        <v>#REF!</v>
      </c>
      <c r="O221" s="324"/>
    </row>
    <row r="222" ht="12.75" customHeight="1">
      <c r="A222" s="322"/>
      <c r="B222" s="75" t="s">
        <v>59</v>
      </c>
      <c r="C222" s="371" t="str">
        <f>'UTL COST'!$B$5</f>
        <v>#REF!</v>
      </c>
      <c r="D222" s="382">
        <f>'UTL COST'!$C$5</f>
        <v>45000</v>
      </c>
      <c r="E222" s="76" t="str">
        <f>'UTL COST'!$D$5</f>
        <v>#REF!</v>
      </c>
      <c r="F222" s="324"/>
      <c r="G222" s="324"/>
      <c r="H222" s="387"/>
      <c r="I222" s="387"/>
      <c r="J222" s="322"/>
      <c r="K222" s="75" t="s">
        <v>59</v>
      </c>
      <c r="L222" s="371" t="str">
        <f>'UTL COST'!$B$5</f>
        <v>#REF!</v>
      </c>
      <c r="M222" s="382">
        <f>'UTL COST'!$C$5</f>
        <v>45000</v>
      </c>
      <c r="N222" s="76" t="str">
        <f>'UTL COST'!$D$5</f>
        <v>#REF!</v>
      </c>
      <c r="O222" s="324"/>
    </row>
    <row r="223" ht="12.75" customHeight="1">
      <c r="A223" s="322"/>
      <c r="B223" s="87" t="s">
        <v>78</v>
      </c>
      <c r="C223" s="371" t="str">
        <f>'UTL COST'!$B$6</f>
        <v>#REF!</v>
      </c>
      <c r="D223" s="383">
        <f>'UTL COST'!$C$6</f>
        <v>525</v>
      </c>
      <c r="E223" s="89">
        <v>0.1</v>
      </c>
      <c r="F223" s="324"/>
      <c r="G223" s="324"/>
      <c r="H223" s="387"/>
      <c r="I223" s="387"/>
      <c r="J223" s="322"/>
      <c r="K223" s="87" t="s">
        <v>78</v>
      </c>
      <c r="L223" s="371" t="str">
        <f>'UTL COST'!$B$6</f>
        <v>#REF!</v>
      </c>
      <c r="M223" s="383">
        <f>'UTL COST'!$C$6</f>
        <v>525</v>
      </c>
      <c r="N223" s="89">
        <v>0.1</v>
      </c>
      <c r="O223" s="324"/>
    </row>
    <row r="224" ht="12.75" customHeight="1">
      <c r="A224" s="322"/>
      <c r="B224" s="34" t="s">
        <v>84</v>
      </c>
      <c r="C224" s="102"/>
      <c r="D224" s="102"/>
      <c r="E224" s="104" t="str">
        <f>IF(SUM(E220:E223)=0,"",SUM(E220:E223))</f>
        <v>#REF!</v>
      </c>
      <c r="F224" s="324"/>
      <c r="G224" s="324"/>
      <c r="H224" s="387"/>
      <c r="I224" s="387"/>
      <c r="J224" s="322"/>
      <c r="K224" s="34" t="s">
        <v>84</v>
      </c>
      <c r="L224" s="102"/>
      <c r="M224" s="102"/>
      <c r="N224" s="104" t="str">
        <f>IF(SUM(N220:N223)=0,"",SUM(N220:N223))</f>
        <v>#REF!</v>
      </c>
      <c r="O224" s="324"/>
    </row>
    <row r="225" ht="12.75" customHeight="1">
      <c r="A225" s="322"/>
      <c r="B225" s="360"/>
      <c r="C225" s="360"/>
      <c r="D225" s="360"/>
      <c r="E225" s="361"/>
      <c r="F225" s="324"/>
      <c r="G225" s="324"/>
      <c r="H225" s="387"/>
      <c r="I225" s="387"/>
      <c r="J225" s="322"/>
      <c r="K225" s="360"/>
      <c r="L225" s="360"/>
      <c r="M225" s="360"/>
      <c r="N225" s="361"/>
      <c r="O225" s="324"/>
    </row>
    <row r="226" ht="12.75" customHeight="1">
      <c r="A226" s="387"/>
      <c r="B226" s="387"/>
      <c r="C226" s="387"/>
      <c r="D226" s="387"/>
      <c r="E226" s="418"/>
      <c r="F226" s="387"/>
      <c r="G226" s="387"/>
      <c r="H226" s="387"/>
      <c r="I226" s="387"/>
      <c r="J226" s="387"/>
      <c r="K226" s="387"/>
      <c r="L226" s="387"/>
      <c r="M226" s="387"/>
      <c r="N226" s="387"/>
      <c r="O226" s="387"/>
    </row>
    <row r="227" ht="12.75" customHeight="1">
      <c r="A227" s="387"/>
      <c r="B227" s="387"/>
      <c r="C227" s="387"/>
      <c r="D227" s="387"/>
      <c r="E227" s="418"/>
      <c r="F227" s="387"/>
      <c r="G227" s="387"/>
      <c r="H227" s="387"/>
      <c r="I227" s="387"/>
      <c r="J227" s="387"/>
      <c r="K227" s="387"/>
      <c r="L227" s="387"/>
      <c r="M227" s="387"/>
      <c r="N227" s="387"/>
      <c r="O227" s="387"/>
    </row>
    <row r="228" ht="12.75" customHeight="1">
      <c r="A228" s="322"/>
      <c r="B228" s="322"/>
      <c r="C228" s="322"/>
      <c r="D228" s="322"/>
      <c r="E228" s="323"/>
      <c r="F228" s="324"/>
      <c r="G228" s="387"/>
      <c r="H228" s="387"/>
      <c r="I228" s="387"/>
      <c r="J228" s="322"/>
      <c r="K228" s="322"/>
      <c r="L228" s="322"/>
      <c r="M228" s="322"/>
      <c r="N228" s="323"/>
      <c r="O228" s="324"/>
    </row>
    <row r="229" ht="12.75" customHeight="1">
      <c r="A229" s="322"/>
      <c r="B229" s="325"/>
      <c r="C229" s="322"/>
      <c r="D229" s="322"/>
      <c r="E229" s="323"/>
      <c r="F229" s="326"/>
      <c r="G229" s="387"/>
      <c r="H229" s="387"/>
      <c r="I229" s="387"/>
      <c r="J229" s="322"/>
      <c r="K229" s="325"/>
      <c r="L229" s="322"/>
      <c r="M229" s="322"/>
      <c r="N229" s="323"/>
      <c r="O229" s="326"/>
    </row>
    <row r="230" ht="12.75" customHeight="1">
      <c r="A230" s="322"/>
      <c r="B230" s="327" t="s">
        <v>931</v>
      </c>
      <c r="C230" s="328" t="s">
        <v>1390</v>
      </c>
      <c r="D230" s="329"/>
      <c r="E230" s="323"/>
      <c r="F230" s="326"/>
      <c r="G230" s="387"/>
      <c r="H230" s="387"/>
      <c r="I230" s="387"/>
      <c r="J230" s="322"/>
      <c r="K230" s="327" t="s">
        <v>931</v>
      </c>
      <c r="L230" s="330" t="s">
        <v>137</v>
      </c>
      <c r="M230" s="329"/>
      <c r="N230" s="323"/>
      <c r="O230" s="326"/>
    </row>
    <row r="231" ht="12.75" customHeight="1">
      <c r="A231" s="322"/>
      <c r="B231" s="325"/>
      <c r="C231" s="322"/>
      <c r="D231" s="322"/>
      <c r="E231" s="323"/>
      <c r="F231" s="326"/>
      <c r="G231" s="387"/>
      <c r="H231" s="387"/>
      <c r="I231" s="387"/>
      <c r="J231" s="322"/>
      <c r="K231" s="325"/>
      <c r="L231" s="322"/>
      <c r="M231" s="322"/>
      <c r="N231" s="323"/>
      <c r="O231" s="326"/>
    </row>
    <row r="232" ht="12.75" customHeight="1">
      <c r="A232" s="322"/>
      <c r="B232" s="327" t="s">
        <v>935</v>
      </c>
      <c r="C232" s="331">
        <v>70000.0</v>
      </c>
      <c r="D232" s="329"/>
      <c r="E232" s="323"/>
      <c r="F232" s="326"/>
      <c r="G232" s="387"/>
      <c r="H232" s="387"/>
      <c r="I232" s="387"/>
      <c r="J232" s="322"/>
      <c r="K232" s="327" t="s">
        <v>935</v>
      </c>
      <c r="L232" s="331">
        <f>11*100000</f>
        <v>1100000</v>
      </c>
      <c r="M232" s="329"/>
      <c r="N232" s="323"/>
      <c r="O232" s="326"/>
    </row>
    <row r="233" ht="12.75" customHeight="1">
      <c r="A233" s="322"/>
      <c r="B233" s="327"/>
      <c r="C233" s="332"/>
      <c r="D233" s="332"/>
      <c r="E233" s="323"/>
      <c r="F233" s="326"/>
      <c r="G233" s="387"/>
      <c r="H233" s="387"/>
      <c r="I233" s="387"/>
      <c r="J233" s="322"/>
      <c r="K233" s="327"/>
      <c r="L233" s="332"/>
      <c r="M233" s="332"/>
      <c r="N233" s="323"/>
      <c r="O233" s="326"/>
    </row>
    <row r="234" ht="12.75" customHeight="1">
      <c r="A234" s="322"/>
      <c r="B234" s="327" t="s">
        <v>939</v>
      </c>
      <c r="C234" s="333" t="str">
        <f>IF(SUM(E246,E261,E269)=0,"",SUM(E246,E261,E269))</f>
        <v>#REF!</v>
      </c>
      <c r="D234" s="321"/>
      <c r="E234" s="323"/>
      <c r="F234" s="326"/>
      <c r="G234" s="387"/>
      <c r="H234" s="387"/>
      <c r="I234" s="387"/>
      <c r="J234" s="322"/>
      <c r="K234" s="327" t="s">
        <v>939</v>
      </c>
      <c r="L234" s="333" t="str">
        <f>IF(SUM(N246,N261,N269)=0,"",SUM(N246,N261,N269))</f>
        <v>#REF!</v>
      </c>
      <c r="M234" s="321"/>
      <c r="N234" s="323" t="str">
        <f>L234/90000</f>
        <v>#REF!</v>
      </c>
      <c r="O234" s="326"/>
    </row>
    <row r="235" ht="12.75" customHeight="1">
      <c r="A235" s="322"/>
      <c r="B235" s="327"/>
      <c r="C235" s="334"/>
      <c r="D235" s="334"/>
      <c r="E235" s="323"/>
      <c r="F235" s="326"/>
      <c r="G235" s="387"/>
      <c r="H235" s="387"/>
      <c r="I235" s="387"/>
      <c r="J235" s="322"/>
      <c r="K235" s="327"/>
      <c r="L235" s="334"/>
      <c r="M235" s="334"/>
      <c r="N235" s="323"/>
      <c r="O235" s="326"/>
    </row>
    <row r="236" ht="12.75" customHeight="1">
      <c r="A236" s="322"/>
      <c r="B236" s="327" t="s">
        <v>946</v>
      </c>
      <c r="C236" s="335" t="str">
        <f>IF(C234="","",IF(ISBLANK(C232),"",C234/C232))</f>
        <v>#REF!</v>
      </c>
      <c r="D236" s="321"/>
      <c r="E236" s="323"/>
      <c r="F236" s="326"/>
      <c r="G236" s="387"/>
      <c r="H236" s="387"/>
      <c r="I236" s="387"/>
      <c r="J236" s="322"/>
      <c r="K236" s="327" t="s">
        <v>946</v>
      </c>
      <c r="L236" s="335" t="str">
        <f>IF(L234="","",IF(ISBLANK(L232),"",L234/L232))</f>
        <v>#REF!</v>
      </c>
      <c r="M236" s="321"/>
      <c r="N236" s="323"/>
      <c r="O236" s="326"/>
    </row>
    <row r="237" ht="12.75" customHeight="1">
      <c r="A237" s="322"/>
      <c r="B237" s="327"/>
      <c r="C237" s="334"/>
      <c r="D237" s="334"/>
      <c r="E237" s="323"/>
      <c r="F237" s="326"/>
      <c r="G237" s="387"/>
      <c r="H237" s="387"/>
      <c r="I237" s="387"/>
      <c r="J237" s="322"/>
      <c r="K237" s="327"/>
      <c r="L237" s="334"/>
      <c r="M237" s="334"/>
      <c r="N237" s="323"/>
      <c r="O237" s="326"/>
    </row>
    <row r="238" ht="12.75" customHeight="1">
      <c r="A238" s="322"/>
      <c r="B238" s="327" t="s">
        <v>950</v>
      </c>
      <c r="C238" s="333" t="str">
        <f>C232-C234</f>
        <v>#REF!</v>
      </c>
      <c r="D238" s="321"/>
      <c r="E238" s="323"/>
      <c r="F238" s="326"/>
      <c r="G238" s="387"/>
      <c r="H238" s="387"/>
      <c r="I238" s="387"/>
      <c r="J238" s="322"/>
      <c r="K238" s="327" t="s">
        <v>950</v>
      </c>
      <c r="L238" s="333" t="str">
        <f>L232-L234</f>
        <v>#REF!</v>
      </c>
      <c r="M238" s="321"/>
      <c r="N238" s="323"/>
      <c r="O238" s="326"/>
    </row>
    <row r="239" ht="12.75" customHeight="1">
      <c r="A239" s="322"/>
      <c r="B239" s="322"/>
      <c r="C239" s="322"/>
      <c r="D239" s="322"/>
      <c r="E239" s="323"/>
      <c r="F239" s="324"/>
      <c r="G239" s="387"/>
      <c r="H239" s="387"/>
      <c r="I239" s="387"/>
      <c r="J239" s="322"/>
      <c r="K239" s="322"/>
      <c r="L239" s="322"/>
      <c r="M239" s="322"/>
      <c r="N239" s="323"/>
      <c r="O239" s="324"/>
    </row>
    <row r="240" ht="12.75" customHeight="1">
      <c r="A240" s="322"/>
      <c r="B240" s="322"/>
      <c r="C240" s="322"/>
      <c r="D240" s="322"/>
      <c r="E240" s="337"/>
      <c r="F240" s="324"/>
      <c r="G240" s="387"/>
      <c r="H240" s="387"/>
      <c r="I240" s="387"/>
      <c r="J240" s="322"/>
      <c r="K240" s="322"/>
      <c r="L240" s="322"/>
      <c r="M240" s="322"/>
      <c r="N240" s="337"/>
      <c r="O240" s="324"/>
    </row>
    <row r="241" ht="12.75" customHeight="1">
      <c r="A241" s="322"/>
      <c r="B241" s="338" t="s">
        <v>951</v>
      </c>
      <c r="C241" s="339"/>
      <c r="D241" s="339"/>
      <c r="E241" s="339"/>
      <c r="F241" s="324"/>
      <c r="G241" s="387"/>
      <c r="H241" s="387"/>
      <c r="I241" s="387"/>
      <c r="J241" s="322"/>
      <c r="K241" s="338" t="s">
        <v>951</v>
      </c>
      <c r="L241" s="339"/>
      <c r="M241" s="339"/>
      <c r="N241" s="339"/>
      <c r="O241" s="324"/>
    </row>
    <row r="242" ht="12.75" customHeight="1">
      <c r="A242" s="322"/>
      <c r="B242" s="340" t="s">
        <v>953</v>
      </c>
      <c r="C242" s="341" t="s">
        <v>954</v>
      </c>
      <c r="D242" s="341" t="s">
        <v>955</v>
      </c>
      <c r="E242" s="341" t="s">
        <v>35</v>
      </c>
      <c r="F242" s="324"/>
      <c r="G242" s="387"/>
      <c r="H242" s="387"/>
      <c r="I242" s="387"/>
      <c r="J242" s="322"/>
      <c r="K242" s="340" t="s">
        <v>953</v>
      </c>
      <c r="L242" s="341" t="s">
        <v>954</v>
      </c>
      <c r="M242" s="341" t="s">
        <v>955</v>
      </c>
      <c r="N242" s="341" t="s">
        <v>35</v>
      </c>
      <c r="O242" s="324"/>
    </row>
    <row r="243" ht="12.75" customHeight="1">
      <c r="A243" s="322"/>
      <c r="B243" s="60" t="s">
        <v>672</v>
      </c>
      <c r="C243" s="342">
        <v>0.2</v>
      </c>
      <c r="D243" s="343" t="str">
        <f>SAUCES!$D$170</f>
        <v>#REF!</v>
      </c>
      <c r="E243" s="67" t="str">
        <f t="shared" ref="E243:E245" si="23">IF(OR(ISBLANK(C243),ISBLANK(D243)),"",D243*C243)</f>
        <v>#REF!</v>
      </c>
      <c r="F243" s="324"/>
      <c r="G243" s="387"/>
      <c r="H243" s="387"/>
      <c r="I243" s="387"/>
      <c r="J243" s="322"/>
      <c r="K243" s="139" t="s">
        <v>1219</v>
      </c>
      <c r="L243" s="344">
        <v>0.3</v>
      </c>
      <c r="M243" s="343">
        <f>'F&amp;B'!F209</f>
        <v>99000</v>
      </c>
      <c r="N243" s="67">
        <f t="shared" ref="N243:N245" si="24">IF(OR(ISBLANK(L243),ISBLANK(M243)),"",M243*L243)</f>
        <v>29700</v>
      </c>
      <c r="O243" s="324"/>
    </row>
    <row r="244" ht="12.75" customHeight="1">
      <c r="A244" s="322"/>
      <c r="B244" s="75" t="s">
        <v>1062</v>
      </c>
      <c r="C244" s="370">
        <v>1.0</v>
      </c>
      <c r="D244" s="371">
        <f>$D$109</f>
        <v>1247.142857</v>
      </c>
      <c r="E244" s="67">
        <f t="shared" si="23"/>
        <v>1247.142857</v>
      </c>
      <c r="F244" s="324"/>
      <c r="G244" s="387"/>
      <c r="H244" s="387"/>
      <c r="I244" s="387"/>
      <c r="J244" s="322"/>
      <c r="K244" s="75" t="s">
        <v>1062</v>
      </c>
      <c r="L244" s="346">
        <v>1.0</v>
      </c>
      <c r="M244" s="371">
        <f>D244</f>
        <v>1247.142857</v>
      </c>
      <c r="N244" s="67">
        <f t="shared" si="24"/>
        <v>1247.142857</v>
      </c>
      <c r="O244" s="324"/>
    </row>
    <row r="245" ht="12.75" customHeight="1">
      <c r="A245" s="322"/>
      <c r="B245" s="87" t="s">
        <v>1392</v>
      </c>
      <c r="C245" s="412">
        <v>0.08</v>
      </c>
      <c r="D245" s="408">
        <f>'F&amp;B'!$F$210</f>
        <v>67500</v>
      </c>
      <c r="E245" s="67">
        <f t="shared" si="23"/>
        <v>5400</v>
      </c>
      <c r="F245" s="324"/>
      <c r="G245" s="387"/>
      <c r="H245" s="387"/>
      <c r="I245" s="387"/>
      <c r="J245" s="322"/>
      <c r="K245" s="406" t="s">
        <v>528</v>
      </c>
      <c r="L245" s="351">
        <v>0.45</v>
      </c>
      <c r="M245" s="356">
        <f>'F&amp;B'!F228</f>
        <v>81000</v>
      </c>
      <c r="N245" s="67">
        <f t="shared" si="24"/>
        <v>36450</v>
      </c>
      <c r="O245" s="324"/>
    </row>
    <row r="246" ht="12.75" customHeight="1">
      <c r="A246" s="322"/>
      <c r="B246" s="338" t="s">
        <v>84</v>
      </c>
      <c r="C246" s="358"/>
      <c r="D246" s="358"/>
      <c r="E246" s="359" t="str">
        <f>IF(SUM(E243:E245)=0,"",SUM(E243:E245))</f>
        <v>#REF!</v>
      </c>
      <c r="F246" s="324"/>
      <c r="G246" s="387"/>
      <c r="H246" s="387"/>
      <c r="I246" s="387"/>
      <c r="J246" s="322"/>
      <c r="K246" s="338" t="s">
        <v>84</v>
      </c>
      <c r="L246" s="358"/>
      <c r="M246" s="358"/>
      <c r="N246" s="359">
        <f>IF(SUM(N243:N245)=0,"",SUM(N243:N245))</f>
        <v>67397.14286</v>
      </c>
      <c r="O246" s="324"/>
    </row>
    <row r="247" ht="12.75" customHeight="1">
      <c r="A247" s="322"/>
      <c r="B247" s="360"/>
      <c r="C247" s="360"/>
      <c r="D247" s="360"/>
      <c r="E247" s="361"/>
      <c r="F247" s="324"/>
      <c r="G247" s="387"/>
      <c r="H247" s="387"/>
      <c r="I247" s="387"/>
      <c r="J247" s="322"/>
      <c r="K247" s="360"/>
      <c r="L247" s="360"/>
      <c r="M247" s="360"/>
      <c r="N247" s="361"/>
      <c r="O247" s="324"/>
    </row>
    <row r="248" ht="12.75" customHeight="1">
      <c r="A248" s="322"/>
      <c r="B248" s="362" t="s">
        <v>972</v>
      </c>
      <c r="C248" s="363"/>
      <c r="D248" s="363"/>
      <c r="E248" s="363"/>
      <c r="F248" s="324"/>
      <c r="G248" s="387"/>
      <c r="H248" s="387"/>
      <c r="I248" s="387"/>
      <c r="J248" s="322"/>
      <c r="K248" s="362" t="s">
        <v>972</v>
      </c>
      <c r="L248" s="363"/>
      <c r="M248" s="363"/>
      <c r="N248" s="363"/>
      <c r="O248" s="324"/>
    </row>
    <row r="249" ht="12.75" customHeight="1">
      <c r="A249" s="322"/>
      <c r="B249" s="365" t="s">
        <v>953</v>
      </c>
      <c r="C249" s="366" t="s">
        <v>3</v>
      </c>
      <c r="D249" s="366" t="s">
        <v>975</v>
      </c>
      <c r="E249" s="367" t="s">
        <v>35</v>
      </c>
      <c r="F249" s="324"/>
      <c r="G249" s="387"/>
      <c r="H249" s="387"/>
      <c r="I249" s="387"/>
      <c r="J249" s="322"/>
      <c r="K249" s="365" t="s">
        <v>953</v>
      </c>
      <c r="L249" s="366" t="s">
        <v>3</v>
      </c>
      <c r="M249" s="366" t="s">
        <v>975</v>
      </c>
      <c r="N249" s="367" t="s">
        <v>35</v>
      </c>
      <c r="O249" s="324"/>
    </row>
    <row r="250" ht="12.75" customHeight="1">
      <c r="A250" s="322"/>
      <c r="B250" s="368"/>
      <c r="C250" s="366"/>
      <c r="D250" s="366"/>
      <c r="E250" s="368"/>
      <c r="F250" s="324"/>
      <c r="G250" s="387"/>
      <c r="H250" s="387"/>
      <c r="I250" s="387"/>
      <c r="J250" s="322"/>
      <c r="K250" s="368"/>
      <c r="L250" s="366"/>
      <c r="M250" s="366"/>
      <c r="N250" s="368"/>
      <c r="O250" s="324"/>
    </row>
    <row r="251" ht="12.75" customHeight="1">
      <c r="A251" s="322"/>
      <c r="B251" s="75" t="s">
        <v>176</v>
      </c>
      <c r="C251" s="370">
        <v>0.05</v>
      </c>
      <c r="D251" s="468">
        <f>$D$28</f>
        <v>38076.92308</v>
      </c>
      <c r="E251" s="67">
        <f t="shared" ref="E251:E260" si="25">D251*C251</f>
        <v>1903.846154</v>
      </c>
      <c r="F251" s="324"/>
      <c r="G251" s="387"/>
      <c r="H251" s="387"/>
      <c r="I251" s="387"/>
      <c r="J251" s="322"/>
      <c r="K251" s="60" t="s">
        <v>1060</v>
      </c>
      <c r="L251" s="342">
        <v>0.07</v>
      </c>
      <c r="M251" s="343">
        <f>SAUCES!$L$20</f>
        <v>10676.625</v>
      </c>
      <c r="N251" s="67">
        <f t="shared" ref="N251:N252" si="26">M251*L251</f>
        <v>747.36375</v>
      </c>
      <c r="O251" s="324"/>
    </row>
    <row r="252" ht="12.75" customHeight="1">
      <c r="A252" s="322"/>
      <c r="B252" s="75"/>
      <c r="C252" s="370"/>
      <c r="D252" s="468"/>
      <c r="E252" s="67">
        <f t="shared" si="25"/>
        <v>0</v>
      </c>
      <c r="F252" s="324"/>
      <c r="G252" s="387"/>
      <c r="H252" s="387"/>
      <c r="I252" s="387"/>
      <c r="J252" s="322"/>
      <c r="K252" s="228" t="s">
        <v>1315</v>
      </c>
      <c r="L252" s="370">
        <f>0.15*4</f>
        <v>0.6</v>
      </c>
      <c r="M252" s="371">
        <f>'F&amp;B'!F215</f>
        <v>198000</v>
      </c>
      <c r="N252" s="67">
        <f t="shared" si="26"/>
        <v>118800</v>
      </c>
      <c r="O252" s="324"/>
    </row>
    <row r="253" ht="12.75" customHeight="1">
      <c r="A253" s="322"/>
      <c r="B253" s="75"/>
      <c r="C253" s="370"/>
      <c r="D253" s="468"/>
      <c r="E253" s="67">
        <f t="shared" si="25"/>
        <v>0</v>
      </c>
      <c r="F253" s="324"/>
      <c r="G253" s="387"/>
      <c r="H253" s="387"/>
      <c r="I253" s="387"/>
      <c r="J253" s="322"/>
      <c r="K253" s="75"/>
      <c r="L253" s="370"/>
      <c r="M253" s="371"/>
      <c r="N253" s="67"/>
      <c r="O253" s="324"/>
    </row>
    <row r="254" ht="12.75" customHeight="1">
      <c r="A254" s="322"/>
      <c r="B254" s="75"/>
      <c r="C254" s="346"/>
      <c r="D254" s="75"/>
      <c r="E254" s="67">
        <f t="shared" si="25"/>
        <v>0</v>
      </c>
      <c r="F254" s="324"/>
      <c r="G254" s="387"/>
      <c r="H254" s="387"/>
      <c r="I254" s="387"/>
      <c r="J254" s="322"/>
      <c r="K254" s="75" t="s">
        <v>161</v>
      </c>
      <c r="L254" s="398">
        <v>0.07</v>
      </c>
      <c r="M254" s="371">
        <f>'F&amp;B'!F191/10</f>
        <v>5670</v>
      </c>
      <c r="N254" s="67">
        <f t="shared" ref="N254:N260" si="27">M254*L254</f>
        <v>396.9</v>
      </c>
      <c r="O254" s="324"/>
    </row>
    <row r="255" ht="12.75" customHeight="1">
      <c r="A255" s="322"/>
      <c r="B255" s="75"/>
      <c r="C255" s="346"/>
      <c r="D255" s="371"/>
      <c r="E255" s="67">
        <f t="shared" si="25"/>
        <v>0</v>
      </c>
      <c r="F255" s="324"/>
      <c r="G255" s="387"/>
      <c r="H255" s="387"/>
      <c r="I255" s="387"/>
      <c r="J255" s="322"/>
      <c r="K255" s="75" t="s">
        <v>205</v>
      </c>
      <c r="L255" s="398">
        <v>1.0</v>
      </c>
      <c r="M255" s="371">
        <f>SAUCES!$L$58</f>
        <v>923.2488</v>
      </c>
      <c r="N255" s="67">
        <f t="shared" si="27"/>
        <v>923.2488</v>
      </c>
      <c r="O255" s="324"/>
    </row>
    <row r="256" ht="12.75" customHeight="1">
      <c r="A256" s="322"/>
      <c r="B256" s="75"/>
      <c r="C256" s="346"/>
      <c r="D256" s="373"/>
      <c r="E256" s="67">
        <f t="shared" si="25"/>
        <v>0</v>
      </c>
      <c r="F256" s="324"/>
      <c r="G256" s="387"/>
      <c r="H256" s="387"/>
      <c r="I256" s="387"/>
      <c r="J256" s="322"/>
      <c r="K256" s="75" t="s">
        <v>1063</v>
      </c>
      <c r="L256" s="398">
        <v>0.03</v>
      </c>
      <c r="M256" s="371">
        <f>M121</f>
        <v>27000</v>
      </c>
      <c r="N256" s="67">
        <f t="shared" si="27"/>
        <v>810</v>
      </c>
      <c r="O256" s="324"/>
    </row>
    <row r="257" ht="12.75" customHeight="1">
      <c r="A257" s="322"/>
      <c r="B257" s="348"/>
      <c r="C257" s="346"/>
      <c r="D257" s="373"/>
      <c r="E257" s="67">
        <f t="shared" si="25"/>
        <v>0</v>
      </c>
      <c r="F257" s="324"/>
      <c r="G257" s="387"/>
      <c r="H257" s="387"/>
      <c r="I257" s="387"/>
      <c r="J257" s="322"/>
      <c r="K257" s="348"/>
      <c r="L257" s="346"/>
      <c r="M257" s="373"/>
      <c r="N257" s="67">
        <f t="shared" si="27"/>
        <v>0</v>
      </c>
      <c r="O257" s="324"/>
    </row>
    <row r="258" ht="12.75" customHeight="1">
      <c r="A258" s="322"/>
      <c r="B258" s="348"/>
      <c r="C258" s="346"/>
      <c r="D258" s="373"/>
      <c r="E258" s="67">
        <f t="shared" si="25"/>
        <v>0</v>
      </c>
      <c r="F258" s="324"/>
      <c r="G258" s="387"/>
      <c r="H258" s="387"/>
      <c r="I258" s="387"/>
      <c r="J258" s="322"/>
      <c r="K258" s="348"/>
      <c r="L258" s="346"/>
      <c r="M258" s="373"/>
      <c r="N258" s="67">
        <f t="shared" si="27"/>
        <v>0</v>
      </c>
      <c r="O258" s="324"/>
    </row>
    <row r="259" ht="12.75" customHeight="1">
      <c r="A259" s="322"/>
      <c r="B259" s="348"/>
      <c r="C259" s="346"/>
      <c r="D259" s="373"/>
      <c r="E259" s="67">
        <f t="shared" si="25"/>
        <v>0</v>
      </c>
      <c r="F259" s="324"/>
      <c r="G259" s="387"/>
      <c r="H259" s="387"/>
      <c r="I259" s="387"/>
      <c r="J259" s="322"/>
      <c r="K259" s="348"/>
      <c r="L259" s="346"/>
      <c r="M259" s="373"/>
      <c r="N259" s="67">
        <f t="shared" si="27"/>
        <v>0</v>
      </c>
      <c r="O259" s="324"/>
    </row>
    <row r="260" ht="12.75" customHeight="1">
      <c r="A260" s="322"/>
      <c r="B260" s="354"/>
      <c r="C260" s="355"/>
      <c r="D260" s="356"/>
      <c r="E260" s="67">
        <f t="shared" si="25"/>
        <v>0</v>
      </c>
      <c r="F260" s="324"/>
      <c r="G260" s="387"/>
      <c r="H260" s="387"/>
      <c r="I260" s="387"/>
      <c r="J260" s="322"/>
      <c r="K260" s="354"/>
      <c r="L260" s="355"/>
      <c r="M260" s="356"/>
      <c r="N260" s="67">
        <f t="shared" si="27"/>
        <v>0</v>
      </c>
      <c r="O260" s="324"/>
    </row>
    <row r="261" ht="12.75" customHeight="1">
      <c r="A261" s="322"/>
      <c r="B261" s="362" t="s">
        <v>84</v>
      </c>
      <c r="C261" s="374"/>
      <c r="D261" s="374"/>
      <c r="E261" s="375">
        <f>IF(SUM(E251:E260)=0,"",SUM(E251:E260))</f>
        <v>1903.846154</v>
      </c>
      <c r="F261" s="324"/>
      <c r="G261" s="387"/>
      <c r="H261" s="387"/>
      <c r="I261" s="387"/>
      <c r="J261" s="322"/>
      <c r="K261" s="362" t="s">
        <v>84</v>
      </c>
      <c r="L261" s="374"/>
      <c r="M261" s="374"/>
      <c r="N261" s="375">
        <f>IF(SUM(N251:N260)=0,"",SUM(N251:N260))</f>
        <v>121677.5126</v>
      </c>
      <c r="O261" s="324"/>
    </row>
    <row r="262" ht="12.75" customHeight="1">
      <c r="A262" s="322"/>
      <c r="B262" s="360"/>
      <c r="C262" s="360"/>
      <c r="D262" s="360"/>
      <c r="E262" s="361"/>
      <c r="F262" s="324"/>
      <c r="G262" s="387"/>
      <c r="H262" s="387"/>
      <c r="I262" s="387"/>
      <c r="J262" s="322"/>
      <c r="K262" s="360"/>
      <c r="L262" s="360"/>
      <c r="M262" s="360"/>
      <c r="N262" s="361"/>
      <c r="O262" s="324"/>
    </row>
    <row r="263" ht="12.75" customHeight="1">
      <c r="A263" s="322"/>
      <c r="B263" s="34" t="s">
        <v>17</v>
      </c>
      <c r="C263" s="35"/>
      <c r="D263" s="35"/>
      <c r="E263" s="35"/>
      <c r="F263" s="324"/>
      <c r="G263" s="387"/>
      <c r="H263" s="387"/>
      <c r="I263" s="387"/>
      <c r="J263" s="322"/>
      <c r="K263" s="34" t="s">
        <v>17</v>
      </c>
      <c r="L263" s="35"/>
      <c r="M263" s="35"/>
      <c r="N263" s="35"/>
      <c r="O263" s="324"/>
    </row>
    <row r="264" ht="12.75" customHeight="1">
      <c r="A264" s="322"/>
      <c r="B264" s="52" t="s">
        <v>42</v>
      </c>
      <c r="C264" s="54"/>
      <c r="D264" s="54"/>
      <c r="E264" s="56" t="s">
        <v>35</v>
      </c>
      <c r="F264" s="324"/>
      <c r="G264" s="387"/>
      <c r="H264" s="387"/>
      <c r="I264" s="387"/>
      <c r="J264" s="322"/>
      <c r="K264" s="52" t="s">
        <v>42</v>
      </c>
      <c r="L264" s="54"/>
      <c r="M264" s="54"/>
      <c r="N264" s="56" t="s">
        <v>35</v>
      </c>
      <c r="O264" s="324"/>
    </row>
    <row r="265" ht="12.75" customHeight="1">
      <c r="A265" s="322"/>
      <c r="B265" s="60" t="s">
        <v>40</v>
      </c>
      <c r="C265" s="343">
        <f>'UTL COST'!$B$3</f>
        <v>369000</v>
      </c>
      <c r="D265" s="379">
        <f>'UTL COST'!$C$3</f>
        <v>0.0075</v>
      </c>
      <c r="E265" s="67">
        <f>'UTL COST'!$D$3</f>
        <v>2767.5</v>
      </c>
      <c r="F265" s="324"/>
      <c r="G265" s="387"/>
      <c r="H265" s="387"/>
      <c r="I265" s="387"/>
      <c r="J265" s="322"/>
      <c r="K265" s="60" t="s">
        <v>40</v>
      </c>
      <c r="L265" s="343">
        <f>'UTL COST'!$B$3</f>
        <v>369000</v>
      </c>
      <c r="M265" s="379">
        <f>'UTL COST'!$C$3</f>
        <v>0.0075</v>
      </c>
      <c r="N265" s="67">
        <f>'UTL COST'!$D$3</f>
        <v>2767.5</v>
      </c>
      <c r="O265" s="324"/>
    </row>
    <row r="266" ht="12.75" customHeight="1">
      <c r="A266" s="322"/>
      <c r="B266" s="75" t="s">
        <v>51</v>
      </c>
      <c r="C266" s="371" t="str">
        <f>'UTL COST'!$B$4</f>
        <v>#REF!</v>
      </c>
      <c r="D266" s="382">
        <f>'UTL COST'!$C$4</f>
        <v>7000</v>
      </c>
      <c r="E266" s="76" t="str">
        <f>'UTL COST'!$D$4</f>
        <v>#REF!</v>
      </c>
      <c r="F266" s="324"/>
      <c r="G266" s="387"/>
      <c r="H266" s="387"/>
      <c r="I266" s="387"/>
      <c r="J266" s="322"/>
      <c r="K266" s="75" t="s">
        <v>51</v>
      </c>
      <c r="L266" s="371" t="str">
        <f>'UTL COST'!$B$4</f>
        <v>#REF!</v>
      </c>
      <c r="M266" s="382">
        <f>'UTL COST'!$C$4</f>
        <v>7000</v>
      </c>
      <c r="N266" s="76" t="str">
        <f>'UTL COST'!$D$4</f>
        <v>#REF!</v>
      </c>
      <c r="O266" s="324"/>
    </row>
    <row r="267" ht="12.75" customHeight="1">
      <c r="A267" s="322"/>
      <c r="B267" s="75" t="s">
        <v>59</v>
      </c>
      <c r="C267" s="371" t="str">
        <f>'UTL COST'!$B$5</f>
        <v>#REF!</v>
      </c>
      <c r="D267" s="382">
        <f>'UTL COST'!$C$5</f>
        <v>45000</v>
      </c>
      <c r="E267" s="76" t="str">
        <f>'UTL COST'!$D$5</f>
        <v>#REF!</v>
      </c>
      <c r="F267" s="324"/>
      <c r="G267" s="387"/>
      <c r="H267" s="387"/>
      <c r="I267" s="387"/>
      <c r="J267" s="322"/>
      <c r="K267" s="75" t="s">
        <v>59</v>
      </c>
      <c r="L267" s="371" t="str">
        <f>'UTL COST'!$B$5</f>
        <v>#REF!</v>
      </c>
      <c r="M267" s="382">
        <f>'UTL COST'!$C$5</f>
        <v>45000</v>
      </c>
      <c r="N267" s="76" t="str">
        <f>'UTL COST'!$D$5</f>
        <v>#REF!</v>
      </c>
      <c r="O267" s="324"/>
    </row>
    <row r="268" ht="12.75" customHeight="1">
      <c r="A268" s="322"/>
      <c r="B268" s="87" t="s">
        <v>78</v>
      </c>
      <c r="C268" s="371" t="str">
        <f>'UTL COST'!$B$6</f>
        <v>#REF!</v>
      </c>
      <c r="D268" s="383">
        <f>'UTL COST'!$C$6</f>
        <v>525</v>
      </c>
      <c r="E268" s="89">
        <v>0.1</v>
      </c>
      <c r="F268" s="324"/>
      <c r="G268" s="387"/>
      <c r="H268" s="387"/>
      <c r="I268" s="387"/>
      <c r="J268" s="322"/>
      <c r="K268" s="87" t="s">
        <v>78</v>
      </c>
      <c r="L268" s="371" t="str">
        <f>'UTL COST'!$B$6</f>
        <v>#REF!</v>
      </c>
      <c r="M268" s="383">
        <f>'UTL COST'!$C$6</f>
        <v>525</v>
      </c>
      <c r="N268" s="89">
        <v>0.1</v>
      </c>
      <c r="O268" s="324"/>
    </row>
    <row r="269" ht="12.75" customHeight="1">
      <c r="A269" s="322"/>
      <c r="B269" s="34" t="s">
        <v>84</v>
      </c>
      <c r="C269" s="102"/>
      <c r="D269" s="102"/>
      <c r="E269" s="104" t="str">
        <f>IF(SUM(E265:E268)=0,"",SUM(E265:E268))</f>
        <v>#REF!</v>
      </c>
      <c r="F269" s="324"/>
      <c r="G269" s="387"/>
      <c r="H269" s="387"/>
      <c r="I269" s="387"/>
      <c r="J269" s="322"/>
      <c r="K269" s="34" t="s">
        <v>84</v>
      </c>
      <c r="L269" s="102"/>
      <c r="M269" s="102"/>
      <c r="N269" s="104" t="str">
        <f>IF(SUM(N265:N268)=0,"",SUM(N265:N268))</f>
        <v>#REF!</v>
      </c>
      <c r="O269" s="324"/>
    </row>
    <row r="270" ht="12.75" customHeight="1">
      <c r="A270" s="322"/>
      <c r="B270" s="360"/>
      <c r="C270" s="360"/>
      <c r="D270" s="360"/>
      <c r="E270" s="361"/>
      <c r="F270" s="324"/>
      <c r="G270" s="387"/>
      <c r="H270" s="387"/>
      <c r="I270" s="387"/>
      <c r="J270" s="322"/>
      <c r="K270" s="360"/>
      <c r="L270" s="360"/>
      <c r="M270" s="360"/>
      <c r="N270" s="361"/>
      <c r="O270" s="324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5">
    <mergeCell ref="L52:M52"/>
    <mergeCell ref="L54:M54"/>
    <mergeCell ref="L56:M56"/>
    <mergeCell ref="L58:M58"/>
    <mergeCell ref="K69:K70"/>
    <mergeCell ref="N69:N70"/>
    <mergeCell ref="L95:M95"/>
    <mergeCell ref="L97:M97"/>
    <mergeCell ref="L99:M99"/>
    <mergeCell ref="L101:M101"/>
    <mergeCell ref="L103:M103"/>
    <mergeCell ref="K114:K115"/>
    <mergeCell ref="N114:N115"/>
    <mergeCell ref="L140:M140"/>
    <mergeCell ref="L187:M187"/>
    <mergeCell ref="L189:M189"/>
    <mergeCell ref="L142:M142"/>
    <mergeCell ref="L144:M144"/>
    <mergeCell ref="L146:M146"/>
    <mergeCell ref="L148:M148"/>
    <mergeCell ref="K159:K160"/>
    <mergeCell ref="N159:N160"/>
    <mergeCell ref="L185:M185"/>
    <mergeCell ref="C95:D95"/>
    <mergeCell ref="C97:D97"/>
    <mergeCell ref="C99:D99"/>
    <mergeCell ref="C101:D101"/>
    <mergeCell ref="C103:D103"/>
    <mergeCell ref="B114:B115"/>
    <mergeCell ref="E114:E115"/>
    <mergeCell ref="C140:D140"/>
    <mergeCell ref="C142:D142"/>
    <mergeCell ref="C144:D144"/>
    <mergeCell ref="C146:D146"/>
    <mergeCell ref="C148:D148"/>
    <mergeCell ref="B159:B160"/>
    <mergeCell ref="E159:E160"/>
    <mergeCell ref="L10:M10"/>
    <mergeCell ref="L12:M12"/>
    <mergeCell ref="A1:F1"/>
    <mergeCell ref="C6:D6"/>
    <mergeCell ref="L6:M6"/>
    <mergeCell ref="C8:D8"/>
    <mergeCell ref="L8:M8"/>
    <mergeCell ref="C10:D10"/>
    <mergeCell ref="C12:D12"/>
    <mergeCell ref="C14:D14"/>
    <mergeCell ref="L14:M14"/>
    <mergeCell ref="B25:B26"/>
    <mergeCell ref="E25:E26"/>
    <mergeCell ref="K25:K26"/>
    <mergeCell ref="N25:N26"/>
    <mergeCell ref="L50:M50"/>
    <mergeCell ref="C50:D50"/>
    <mergeCell ref="C52:D52"/>
    <mergeCell ref="C54:D54"/>
    <mergeCell ref="C56:D56"/>
    <mergeCell ref="C58:D58"/>
    <mergeCell ref="B69:B70"/>
    <mergeCell ref="E69:E70"/>
    <mergeCell ref="C185:D185"/>
    <mergeCell ref="C187:D187"/>
    <mergeCell ref="C189:D189"/>
    <mergeCell ref="C191:D191"/>
    <mergeCell ref="L191:M191"/>
    <mergeCell ref="C193:D193"/>
    <mergeCell ref="L193:M193"/>
    <mergeCell ref="C230:D230"/>
    <mergeCell ref="C232:D232"/>
    <mergeCell ref="C234:D234"/>
    <mergeCell ref="C236:D236"/>
    <mergeCell ref="C238:D238"/>
    <mergeCell ref="B249:B250"/>
    <mergeCell ref="E249:E250"/>
    <mergeCell ref="L236:M236"/>
    <mergeCell ref="L238:M238"/>
    <mergeCell ref="K249:K250"/>
    <mergeCell ref="N249:N250"/>
    <mergeCell ref="B204:B205"/>
    <mergeCell ref="E204:E205"/>
    <mergeCell ref="K204:K205"/>
    <mergeCell ref="N204:N205"/>
    <mergeCell ref="L230:M230"/>
    <mergeCell ref="L232:M232"/>
    <mergeCell ref="L234:M234"/>
  </mergeCells>
  <printOptions/>
  <pageMargins bottom="0.75" footer="0.0" header="0.0" left="0.7" right="0.7" top="0.75"/>
  <pageSetup orientation="portrait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75"/>
    <col customWidth="1" min="4" max="4" width="11.13"/>
    <col customWidth="1" min="5" max="5" width="10.88"/>
    <col customWidth="1" min="6" max="7" width="3.0"/>
    <col customWidth="1" min="8" max="10" width="7.75"/>
    <col customWidth="1" min="11" max="11" width="24.38"/>
    <col customWidth="1" min="12" max="12" width="12.75"/>
    <col customWidth="1" min="13" max="13" width="11.13"/>
    <col customWidth="1" min="14" max="14" width="10.88"/>
    <col customWidth="1" min="15" max="15" width="7.75"/>
    <col customWidth="1" min="16" max="26" width="14.38"/>
  </cols>
  <sheetData>
    <row r="1" ht="46.5" customHeight="1">
      <c r="A1" s="399" t="s">
        <v>1351</v>
      </c>
      <c r="B1" s="321"/>
      <c r="C1" s="321"/>
      <c r="D1" s="321"/>
      <c r="E1" s="321"/>
      <c r="F1" s="321"/>
      <c r="G1" s="402"/>
      <c r="H1" s="387"/>
      <c r="I1" s="387"/>
      <c r="J1" s="387"/>
      <c r="K1" s="387"/>
      <c r="L1" s="387"/>
      <c r="M1" s="387"/>
      <c r="N1" s="387"/>
      <c r="O1" s="387"/>
    </row>
    <row r="2" ht="18.0" customHeight="1">
      <c r="A2" s="388"/>
      <c r="B2" s="388"/>
      <c r="C2" s="388"/>
      <c r="D2" s="388"/>
      <c r="E2" s="389"/>
      <c r="F2" s="387"/>
      <c r="G2" s="387"/>
      <c r="H2" s="387"/>
      <c r="I2" s="387"/>
      <c r="J2" s="387"/>
      <c r="K2" s="387"/>
      <c r="L2" s="387"/>
      <c r="M2" s="387"/>
      <c r="N2" s="387"/>
      <c r="O2" s="387"/>
    </row>
    <row r="3" ht="6.75" customHeight="1">
      <c r="A3" s="388"/>
      <c r="B3" s="388"/>
      <c r="C3" s="388"/>
      <c r="D3" s="388"/>
      <c r="E3" s="389"/>
      <c r="F3" s="387"/>
      <c r="G3" s="387"/>
      <c r="H3" s="387"/>
      <c r="I3" s="387"/>
      <c r="J3" s="387"/>
      <c r="K3" s="387"/>
      <c r="L3" s="387"/>
      <c r="M3" s="387"/>
      <c r="N3" s="387"/>
      <c r="O3" s="387"/>
    </row>
    <row r="4" ht="15.0" customHeight="1">
      <c r="A4" s="322"/>
      <c r="B4" s="322"/>
      <c r="C4" s="322"/>
      <c r="D4" s="322"/>
      <c r="E4" s="323"/>
      <c r="F4" s="324"/>
      <c r="G4" s="324"/>
      <c r="H4" s="387"/>
      <c r="I4" s="388"/>
      <c r="J4" s="322"/>
      <c r="K4" s="322"/>
      <c r="L4" s="322"/>
      <c r="M4" s="322"/>
      <c r="N4" s="323"/>
      <c r="O4" s="324"/>
    </row>
    <row r="5" ht="4.5" customHeight="1">
      <c r="A5" s="322"/>
      <c r="B5" s="325"/>
      <c r="C5" s="322"/>
      <c r="D5" s="322"/>
      <c r="E5" s="323"/>
      <c r="F5" s="326"/>
      <c r="G5" s="326"/>
      <c r="H5" s="404"/>
      <c r="I5" s="388"/>
      <c r="J5" s="322"/>
      <c r="K5" s="325"/>
      <c r="L5" s="322"/>
      <c r="M5" s="322"/>
      <c r="N5" s="323"/>
      <c r="O5" s="326"/>
    </row>
    <row r="6" ht="18.0" customHeight="1">
      <c r="A6" s="322"/>
      <c r="B6" s="327" t="s">
        <v>931</v>
      </c>
      <c r="C6" s="328" t="s">
        <v>1357</v>
      </c>
      <c r="D6" s="329"/>
      <c r="E6" s="323"/>
      <c r="F6" s="326"/>
      <c r="G6" s="326"/>
      <c r="H6" s="404"/>
      <c r="I6" s="388"/>
      <c r="J6" s="322"/>
      <c r="K6" s="327" t="s">
        <v>931</v>
      </c>
      <c r="L6" s="328" t="s">
        <v>455</v>
      </c>
      <c r="M6" s="329"/>
      <c r="N6" s="323"/>
      <c r="O6" s="326"/>
    </row>
    <row r="7" ht="4.5" customHeight="1">
      <c r="A7" s="322"/>
      <c r="B7" s="325"/>
      <c r="C7" s="322"/>
      <c r="D7" s="322"/>
      <c r="E7" s="323"/>
      <c r="F7" s="326"/>
      <c r="G7" s="326"/>
      <c r="H7" s="404"/>
      <c r="I7" s="388"/>
      <c r="J7" s="322"/>
      <c r="K7" s="325"/>
      <c r="L7" s="322"/>
      <c r="M7" s="322"/>
      <c r="N7" s="323"/>
      <c r="O7" s="326"/>
    </row>
    <row r="8" ht="18.0" customHeight="1">
      <c r="A8" s="322"/>
      <c r="B8" s="327" t="s">
        <v>935</v>
      </c>
      <c r="C8" s="331">
        <v>700000.0</v>
      </c>
      <c r="D8" s="329"/>
      <c r="E8" s="323"/>
      <c r="F8" s="326"/>
      <c r="G8" s="326"/>
      <c r="H8" s="404"/>
      <c r="I8" s="388"/>
      <c r="J8" s="322"/>
      <c r="K8" s="327" t="s">
        <v>935</v>
      </c>
      <c r="L8" s="331">
        <v>135000.0</v>
      </c>
      <c r="M8" s="329"/>
      <c r="N8" s="323"/>
      <c r="O8" s="326"/>
    </row>
    <row r="9" ht="4.5" customHeight="1">
      <c r="A9" s="322"/>
      <c r="B9" s="327"/>
      <c r="C9" s="332"/>
      <c r="D9" s="332"/>
      <c r="E9" s="323"/>
      <c r="F9" s="326"/>
      <c r="G9" s="326"/>
      <c r="H9" s="404"/>
      <c r="I9" s="388"/>
      <c r="J9" s="322"/>
      <c r="K9" s="327"/>
      <c r="L9" s="332"/>
      <c r="M9" s="332"/>
      <c r="N9" s="323"/>
      <c r="O9" s="326"/>
    </row>
    <row r="10" ht="18.0" customHeight="1">
      <c r="A10" s="322"/>
      <c r="B10" s="327" t="s">
        <v>939</v>
      </c>
      <c r="C10" s="333" t="str">
        <f>IF(SUM(E22,E37,E45)=0,"",SUM(E22,E37,E45))</f>
        <v>#REF!</v>
      </c>
      <c r="D10" s="487"/>
      <c r="E10" s="323"/>
      <c r="F10" s="326"/>
      <c r="G10" s="326"/>
      <c r="H10" s="404" t="str">
        <f>C10/90000</f>
        <v>#REF!</v>
      </c>
      <c r="I10" s="388"/>
      <c r="J10" s="322"/>
      <c r="K10" s="327" t="s">
        <v>939</v>
      </c>
      <c r="L10" s="333" t="str">
        <f>IF(SUM(N22,N37,N45)=0,"",SUM(N22,N37,N45))</f>
        <v>#REF!</v>
      </c>
      <c r="M10" s="321"/>
      <c r="N10" s="323"/>
      <c r="O10" s="326"/>
    </row>
    <row r="11" ht="4.5" customHeight="1">
      <c r="A11" s="322"/>
      <c r="B11" s="327"/>
      <c r="C11" s="334"/>
      <c r="D11" s="334"/>
      <c r="E11" s="323"/>
      <c r="F11" s="326"/>
      <c r="G11" s="326"/>
      <c r="H11" s="404"/>
      <c r="I11" s="388"/>
      <c r="J11" s="322"/>
      <c r="K11" s="327"/>
      <c r="L11" s="334"/>
      <c r="M11" s="334"/>
      <c r="N11" s="323"/>
      <c r="O11" s="326"/>
    </row>
    <row r="12" ht="18.0" customHeight="1">
      <c r="A12" s="322"/>
      <c r="B12" s="327" t="s">
        <v>946</v>
      </c>
      <c r="C12" s="335" t="str">
        <f>IF(C10="","",IF(ISBLANK(C8),"",C10/C8))</f>
        <v>#REF!</v>
      </c>
      <c r="D12" s="321"/>
      <c r="E12" s="323"/>
      <c r="F12" s="326"/>
      <c r="G12" s="326"/>
      <c r="H12" s="404"/>
      <c r="I12" s="388"/>
      <c r="J12" s="322"/>
      <c r="K12" s="327" t="s">
        <v>946</v>
      </c>
      <c r="L12" s="335" t="str">
        <f>IF(L10="","",IF(ISBLANK(L8),"",L10/L8))</f>
        <v>#REF!</v>
      </c>
      <c r="M12" s="321"/>
      <c r="N12" s="323"/>
      <c r="O12" s="326"/>
    </row>
    <row r="13" ht="4.5" customHeight="1">
      <c r="A13" s="322"/>
      <c r="B13" s="327"/>
      <c r="C13" s="334"/>
      <c r="D13" s="334"/>
      <c r="E13" s="323"/>
      <c r="F13" s="326"/>
      <c r="G13" s="326"/>
      <c r="H13" s="404"/>
      <c r="I13" s="388"/>
      <c r="J13" s="322"/>
      <c r="K13" s="327"/>
      <c r="L13" s="334"/>
      <c r="M13" s="334"/>
      <c r="N13" s="323"/>
      <c r="O13" s="326"/>
    </row>
    <row r="14" ht="18.0" customHeight="1">
      <c r="A14" s="322"/>
      <c r="B14" s="327" t="s">
        <v>950</v>
      </c>
      <c r="C14" s="333" t="str">
        <f>C8-C10</f>
        <v>#REF!</v>
      </c>
      <c r="D14" s="321"/>
      <c r="E14" s="323"/>
      <c r="F14" s="326"/>
      <c r="G14" s="326"/>
      <c r="H14" s="404"/>
      <c r="I14" s="388"/>
      <c r="J14" s="322"/>
      <c r="K14" s="327" t="s">
        <v>950</v>
      </c>
      <c r="L14" s="333" t="str">
        <f>L8-L10</f>
        <v>#REF!</v>
      </c>
      <c r="M14" s="321"/>
      <c r="N14" s="323"/>
      <c r="O14" s="326"/>
    </row>
    <row r="15" ht="15.0" customHeight="1">
      <c r="A15" s="322"/>
      <c r="B15" s="322"/>
      <c r="C15" s="322"/>
      <c r="D15" s="322"/>
      <c r="E15" s="323"/>
      <c r="F15" s="324"/>
      <c r="G15" s="324"/>
      <c r="H15" s="404"/>
      <c r="I15" s="388"/>
      <c r="J15" s="322"/>
      <c r="K15" s="322"/>
      <c r="L15" s="322"/>
      <c r="M15" s="322"/>
      <c r="N15" s="323"/>
      <c r="O15" s="324"/>
    </row>
    <row r="16" ht="12.75" customHeight="1">
      <c r="A16" s="322"/>
      <c r="B16" s="322"/>
      <c r="C16" s="322"/>
      <c r="D16" s="322"/>
      <c r="E16" s="337"/>
      <c r="F16" s="324"/>
      <c r="G16" s="324"/>
      <c r="H16" s="387"/>
      <c r="I16" s="388"/>
      <c r="J16" s="322"/>
      <c r="K16" s="322"/>
      <c r="L16" s="322"/>
      <c r="M16" s="322"/>
      <c r="N16" s="337"/>
      <c r="O16" s="324"/>
    </row>
    <row r="17" ht="12.75" customHeight="1">
      <c r="A17" s="322"/>
      <c r="B17" s="338" t="s">
        <v>951</v>
      </c>
      <c r="C17" s="339"/>
      <c r="D17" s="339"/>
      <c r="E17" s="339"/>
      <c r="F17" s="324"/>
      <c r="G17" s="324"/>
      <c r="H17" s="410"/>
      <c r="I17" s="388"/>
      <c r="J17" s="322"/>
      <c r="K17" s="338" t="s">
        <v>951</v>
      </c>
      <c r="L17" s="339"/>
      <c r="M17" s="339"/>
      <c r="N17" s="339"/>
      <c r="O17" s="324"/>
    </row>
    <row r="18" ht="12.75" customHeight="1">
      <c r="A18" s="322"/>
      <c r="B18" s="340" t="s">
        <v>953</v>
      </c>
      <c r="C18" s="341" t="s">
        <v>954</v>
      </c>
      <c r="D18" s="341" t="s">
        <v>955</v>
      </c>
      <c r="E18" s="341" t="s">
        <v>35</v>
      </c>
      <c r="F18" s="324"/>
      <c r="G18" s="324"/>
      <c r="H18" s="387"/>
      <c r="I18" s="388"/>
      <c r="J18" s="322"/>
      <c r="K18" s="340" t="s">
        <v>953</v>
      </c>
      <c r="L18" s="341" t="s">
        <v>954</v>
      </c>
      <c r="M18" s="341" t="s">
        <v>955</v>
      </c>
      <c r="N18" s="341" t="s">
        <v>35</v>
      </c>
      <c r="O18" s="324"/>
    </row>
    <row r="19" ht="12.75" customHeight="1">
      <c r="A19" s="322"/>
      <c r="B19" s="60" t="s">
        <v>1360</v>
      </c>
      <c r="C19" s="342">
        <v>1.0</v>
      </c>
      <c r="D19" s="343">
        <f>'F&amp;B'!$F$72/9</f>
        <v>8525.641026</v>
      </c>
      <c r="E19" s="67">
        <f t="shared" ref="E19:E20" si="1">IF(OR(ISBLANK(C19),ISBLANK(D19)),"",D19*C19)</f>
        <v>8525.641026</v>
      </c>
      <c r="F19" s="324"/>
      <c r="G19" s="324"/>
      <c r="H19" s="387"/>
      <c r="I19" s="388"/>
      <c r="J19" s="322"/>
      <c r="K19" s="60" t="s">
        <v>703</v>
      </c>
      <c r="L19" s="342">
        <v>0.16</v>
      </c>
      <c r="M19" s="343">
        <f>'F&amp;B'!$F$228</f>
        <v>81000</v>
      </c>
      <c r="N19" s="67">
        <f t="shared" ref="N19:N21" si="2">IF(OR(ISBLANK(L19),ISBLANK(M19)),"",M19*L19)</f>
        <v>12960</v>
      </c>
      <c r="O19" s="324"/>
    </row>
    <row r="20" ht="12.75" customHeight="1">
      <c r="A20" s="322"/>
      <c r="B20" s="75" t="s">
        <v>1015</v>
      </c>
      <c r="C20" s="346">
        <v>1.0</v>
      </c>
      <c r="D20" s="371">
        <f>'F&amp;B'!$F$10/6</f>
        <v>5716.333333</v>
      </c>
      <c r="E20" s="67">
        <f t="shared" si="1"/>
        <v>5716.333333</v>
      </c>
      <c r="F20" s="324"/>
      <c r="G20" s="324"/>
      <c r="H20" s="387"/>
      <c r="I20" s="388"/>
      <c r="J20" s="322"/>
      <c r="K20" s="75" t="s">
        <v>1362</v>
      </c>
      <c r="L20" s="370">
        <v>3.0</v>
      </c>
      <c r="M20" s="371">
        <f>'F&amp;B'!$F$14/12</f>
        <v>1740.75</v>
      </c>
      <c r="N20" s="67">
        <f t="shared" si="2"/>
        <v>5222.25</v>
      </c>
      <c r="O20" s="324"/>
    </row>
    <row r="21" ht="12.75" customHeight="1">
      <c r="A21" s="322"/>
      <c r="B21" s="87"/>
      <c r="C21" s="355"/>
      <c r="D21" s="356"/>
      <c r="E21" s="270"/>
      <c r="F21" s="324"/>
      <c r="G21" s="324"/>
      <c r="H21" s="387"/>
      <c r="I21" s="388"/>
      <c r="J21" s="322"/>
      <c r="K21" s="87" t="s">
        <v>202</v>
      </c>
      <c r="L21" s="355">
        <v>3.0</v>
      </c>
      <c r="M21" s="371">
        <f>SAUCES!D48</f>
        <v>563.76</v>
      </c>
      <c r="N21" s="67">
        <f t="shared" si="2"/>
        <v>1691.28</v>
      </c>
      <c r="O21" s="324"/>
    </row>
    <row r="22" ht="12.75" customHeight="1">
      <c r="A22" s="322"/>
      <c r="B22" s="338" t="s">
        <v>84</v>
      </c>
      <c r="C22" s="358"/>
      <c r="D22" s="358"/>
      <c r="E22" s="359">
        <f>IF(SUM(E19:E21)=0,"",SUM(E19:E21))</f>
        <v>14241.97436</v>
      </c>
      <c r="F22" s="324"/>
      <c r="G22" s="324"/>
      <c r="H22" s="387"/>
      <c r="I22" s="388"/>
      <c r="J22" s="322"/>
      <c r="K22" s="338" t="s">
        <v>84</v>
      </c>
      <c r="L22" s="358"/>
      <c r="M22" s="358"/>
      <c r="N22" s="359">
        <f>IF(SUM(N19:N21)=0,"",SUM(N19:N21))</f>
        <v>19873.53</v>
      </c>
      <c r="O22" s="324"/>
    </row>
    <row r="23" ht="12.75" customHeight="1">
      <c r="A23" s="322"/>
      <c r="B23" s="360"/>
      <c r="C23" s="360"/>
      <c r="D23" s="360"/>
      <c r="E23" s="361"/>
      <c r="F23" s="324"/>
      <c r="G23" s="324"/>
      <c r="H23" s="387"/>
      <c r="I23" s="388"/>
      <c r="J23" s="322"/>
      <c r="K23" s="360"/>
      <c r="L23" s="360"/>
      <c r="M23" s="360"/>
      <c r="N23" s="361"/>
      <c r="O23" s="324"/>
    </row>
    <row r="24" ht="12.75" customHeight="1">
      <c r="A24" s="322"/>
      <c r="B24" s="362" t="s">
        <v>972</v>
      </c>
      <c r="C24" s="363"/>
      <c r="D24" s="363"/>
      <c r="E24" s="363"/>
      <c r="F24" s="324"/>
      <c r="G24" s="324"/>
      <c r="H24" s="387"/>
      <c r="I24" s="388"/>
      <c r="J24" s="322"/>
      <c r="K24" s="362" t="s">
        <v>972</v>
      </c>
      <c r="L24" s="363"/>
      <c r="M24" s="363"/>
      <c r="N24" s="363"/>
      <c r="O24" s="324"/>
    </row>
    <row r="25" ht="12.75" customHeight="1">
      <c r="A25" s="322"/>
      <c r="B25" s="365" t="s">
        <v>953</v>
      </c>
      <c r="C25" s="366" t="s">
        <v>3</v>
      </c>
      <c r="D25" s="366" t="s">
        <v>975</v>
      </c>
      <c r="E25" s="367" t="s">
        <v>35</v>
      </c>
      <c r="F25" s="324"/>
      <c r="G25" s="324"/>
      <c r="H25" s="387"/>
      <c r="I25" s="388"/>
      <c r="J25" s="322"/>
      <c r="K25" s="365" t="s">
        <v>953</v>
      </c>
      <c r="L25" s="366" t="s">
        <v>3</v>
      </c>
      <c r="M25" s="366" t="s">
        <v>975</v>
      </c>
      <c r="N25" s="367" t="s">
        <v>35</v>
      </c>
      <c r="O25" s="324"/>
    </row>
    <row r="26" ht="12.75" customHeight="1">
      <c r="A26" s="322"/>
      <c r="B26" s="368"/>
      <c r="C26" s="366"/>
      <c r="D26" s="366"/>
      <c r="E26" s="368"/>
      <c r="F26" s="324"/>
      <c r="G26" s="324"/>
      <c r="H26" s="387"/>
      <c r="I26" s="388"/>
      <c r="J26" s="322"/>
      <c r="K26" s="368"/>
      <c r="L26" s="366"/>
      <c r="M26" s="366"/>
      <c r="N26" s="368"/>
      <c r="O26" s="324"/>
    </row>
    <row r="27" ht="12.75" customHeight="1">
      <c r="A27" s="322"/>
      <c r="B27" s="60" t="s">
        <v>105</v>
      </c>
      <c r="C27" s="342">
        <v>0.05</v>
      </c>
      <c r="D27" s="343">
        <f>SAUCES!D20</f>
        <v>26573.76131</v>
      </c>
      <c r="E27" s="67">
        <f t="shared" ref="E27:E36" si="3">D27*C27</f>
        <v>1328.688066</v>
      </c>
      <c r="F27" s="324"/>
      <c r="G27" s="324"/>
      <c r="H27" s="387"/>
      <c r="I27" s="388"/>
      <c r="J27" s="322"/>
      <c r="K27" s="60" t="s">
        <v>105</v>
      </c>
      <c r="L27" s="342">
        <v>0.06</v>
      </c>
      <c r="M27" s="343">
        <f t="shared" ref="M27:M29" si="4">D27</f>
        <v>26573.76131</v>
      </c>
      <c r="N27" s="67">
        <f t="shared" ref="N27:N30" si="5">M27*L27</f>
        <v>1594.425679</v>
      </c>
      <c r="O27" s="324"/>
    </row>
    <row r="28" ht="12.75" customHeight="1">
      <c r="A28" s="322"/>
      <c r="B28" s="75" t="s">
        <v>155</v>
      </c>
      <c r="C28" s="370">
        <v>1.0</v>
      </c>
      <c r="D28" s="371">
        <f>SAUCES!L45</f>
        <v>994.5</v>
      </c>
      <c r="E28" s="67">
        <f t="shared" si="3"/>
        <v>994.5</v>
      </c>
      <c r="F28" s="324"/>
      <c r="G28" s="324"/>
      <c r="H28" s="387"/>
      <c r="I28" s="388"/>
      <c r="J28" s="322"/>
      <c r="K28" s="75" t="s">
        <v>155</v>
      </c>
      <c r="L28" s="370">
        <v>1.0</v>
      </c>
      <c r="M28" s="371">
        <f t="shared" si="4"/>
        <v>994.5</v>
      </c>
      <c r="N28" s="67">
        <f t="shared" si="5"/>
        <v>994.5</v>
      </c>
      <c r="O28" s="324"/>
    </row>
    <row r="29" ht="12.75" customHeight="1">
      <c r="A29" s="322"/>
      <c r="B29" s="75" t="s">
        <v>205</v>
      </c>
      <c r="C29" s="370">
        <v>1.0</v>
      </c>
      <c r="D29" s="371">
        <f>SAUCES!$L$58</f>
        <v>923.2488</v>
      </c>
      <c r="E29" s="67">
        <f t="shared" si="3"/>
        <v>923.2488</v>
      </c>
      <c r="F29" s="324"/>
      <c r="G29" s="324"/>
      <c r="H29" s="387"/>
      <c r="I29" s="388"/>
      <c r="J29" s="322"/>
      <c r="K29" s="75" t="s">
        <v>205</v>
      </c>
      <c r="L29" s="370">
        <v>1.0</v>
      </c>
      <c r="M29" s="371">
        <f t="shared" si="4"/>
        <v>923.2488</v>
      </c>
      <c r="N29" s="67">
        <f t="shared" si="5"/>
        <v>923.2488</v>
      </c>
      <c r="O29" s="324"/>
    </row>
    <row r="30" ht="12.75" customHeight="1">
      <c r="A30" s="322"/>
      <c r="B30" s="75" t="s">
        <v>934</v>
      </c>
      <c r="C30" s="342">
        <v>0.2</v>
      </c>
      <c r="D30" s="343">
        <f>'F&amp;B'!$F$68/10</f>
        <v>19665</v>
      </c>
      <c r="E30" s="67">
        <f t="shared" si="3"/>
        <v>3933</v>
      </c>
      <c r="F30" s="324"/>
      <c r="G30" s="324"/>
      <c r="H30" s="387"/>
      <c r="I30" s="388"/>
      <c r="J30" s="322"/>
      <c r="K30" s="75" t="s">
        <v>934</v>
      </c>
      <c r="L30" s="342">
        <v>0.2</v>
      </c>
      <c r="M30" s="343">
        <f>'F&amp;B'!$F$68/10</f>
        <v>19665</v>
      </c>
      <c r="N30" s="67">
        <f t="shared" si="5"/>
        <v>3933</v>
      </c>
      <c r="O30" s="324"/>
    </row>
    <row r="31" ht="12.75" customHeight="1">
      <c r="A31" s="322"/>
      <c r="B31" s="75" t="s">
        <v>1367</v>
      </c>
      <c r="C31" s="370">
        <v>0.0</v>
      </c>
      <c r="D31" s="371">
        <f>'F&amp;B'!$F$81/10</f>
        <v>1710</v>
      </c>
      <c r="E31" s="67">
        <f t="shared" si="3"/>
        <v>0</v>
      </c>
      <c r="F31" s="324"/>
      <c r="G31" s="324"/>
      <c r="H31" s="387"/>
      <c r="I31" s="388"/>
      <c r="J31" s="322"/>
      <c r="K31" s="75"/>
      <c r="L31" s="370"/>
      <c r="M31" s="371"/>
      <c r="N31" s="67"/>
      <c r="O31" s="324"/>
    </row>
    <row r="32" ht="12.75" customHeight="1">
      <c r="A32" s="322"/>
      <c r="B32" s="75"/>
      <c r="C32" s="346"/>
      <c r="D32" s="373"/>
      <c r="E32" s="67">
        <f t="shared" si="3"/>
        <v>0</v>
      </c>
      <c r="F32" s="324"/>
      <c r="G32" s="324"/>
      <c r="H32" s="387"/>
      <c r="I32" s="388"/>
      <c r="J32" s="322"/>
      <c r="K32" s="75"/>
      <c r="L32" s="370"/>
      <c r="M32" s="371"/>
      <c r="N32" s="67"/>
      <c r="O32" s="324"/>
    </row>
    <row r="33" ht="12.75" customHeight="1">
      <c r="A33" s="322"/>
      <c r="B33" s="348"/>
      <c r="C33" s="346"/>
      <c r="D33" s="373"/>
      <c r="E33" s="67">
        <f t="shared" si="3"/>
        <v>0</v>
      </c>
      <c r="F33" s="324"/>
      <c r="G33" s="324"/>
      <c r="H33" s="387"/>
      <c r="I33" s="388"/>
      <c r="J33" s="322"/>
      <c r="K33" s="75" t="s">
        <v>1000</v>
      </c>
      <c r="L33" s="370">
        <v>0.03</v>
      </c>
      <c r="M33" s="371">
        <f>'F&amp;B'!$F$277</f>
        <v>13500</v>
      </c>
      <c r="N33" s="67">
        <f t="shared" ref="N33:N36" si="6">M33*L33</f>
        <v>405</v>
      </c>
      <c r="O33" s="324"/>
    </row>
    <row r="34" ht="12.75" customHeight="1">
      <c r="A34" s="322"/>
      <c r="B34" s="348"/>
      <c r="C34" s="346"/>
      <c r="D34" s="373"/>
      <c r="E34" s="67">
        <f t="shared" si="3"/>
        <v>0</v>
      </c>
      <c r="F34" s="324"/>
      <c r="G34" s="324"/>
      <c r="H34" s="387"/>
      <c r="I34" s="388"/>
      <c r="J34" s="322"/>
      <c r="K34" s="75" t="s">
        <v>1370</v>
      </c>
      <c r="L34" s="346">
        <f>0.075</f>
        <v>0.075</v>
      </c>
      <c r="M34" s="371">
        <f>'F&amp;B'!$F$98</f>
        <v>76500</v>
      </c>
      <c r="N34" s="67">
        <f t="shared" si="6"/>
        <v>5737.5</v>
      </c>
      <c r="O34" s="324"/>
    </row>
    <row r="35" ht="12.75" customHeight="1">
      <c r="A35" s="322"/>
      <c r="B35" s="348"/>
      <c r="C35" s="346"/>
      <c r="D35" s="373"/>
      <c r="E35" s="67">
        <f t="shared" si="3"/>
        <v>0</v>
      </c>
      <c r="F35" s="324"/>
      <c r="G35" s="324"/>
      <c r="H35" s="387"/>
      <c r="I35" s="388"/>
      <c r="J35" s="322"/>
      <c r="K35" s="348" t="s">
        <v>720</v>
      </c>
      <c r="L35" s="346">
        <v>0.045</v>
      </c>
      <c r="M35" s="371">
        <f>SAUCES!$L$172</f>
        <v>37152</v>
      </c>
      <c r="N35" s="67">
        <f t="shared" si="6"/>
        <v>1671.84</v>
      </c>
      <c r="O35" s="324"/>
    </row>
    <row r="36" ht="12.75" customHeight="1">
      <c r="A36" s="322"/>
      <c r="B36" s="354"/>
      <c r="C36" s="355"/>
      <c r="D36" s="356"/>
      <c r="E36" s="67">
        <f t="shared" si="3"/>
        <v>0</v>
      </c>
      <c r="F36" s="324"/>
      <c r="G36" s="324"/>
      <c r="H36" s="387"/>
      <c r="I36" s="388"/>
      <c r="J36" s="322"/>
      <c r="K36" s="75" t="s">
        <v>544</v>
      </c>
      <c r="L36" s="370">
        <v>0.045</v>
      </c>
      <c r="M36" s="475">
        <f>M30</f>
        <v>19665</v>
      </c>
      <c r="N36" s="67">
        <f t="shared" si="6"/>
        <v>884.925</v>
      </c>
      <c r="O36" s="324"/>
    </row>
    <row r="37" ht="12.75" customHeight="1">
      <c r="A37" s="322"/>
      <c r="B37" s="362" t="s">
        <v>84</v>
      </c>
      <c r="C37" s="374"/>
      <c r="D37" s="374"/>
      <c r="E37" s="375">
        <f>IF(SUM(E27:E36)=0,"",SUM(E27:E36))</f>
        <v>7179.436866</v>
      </c>
      <c r="F37" s="324"/>
      <c r="G37" s="324"/>
      <c r="H37" s="387"/>
      <c r="I37" s="388"/>
      <c r="J37" s="322"/>
      <c r="K37" s="362" t="s">
        <v>84</v>
      </c>
      <c r="L37" s="374"/>
      <c r="M37" s="374"/>
      <c r="N37" s="375">
        <f>IF(SUM(N27:N36)=0,"",SUM(N27:N36))</f>
        <v>16144.43948</v>
      </c>
      <c r="O37" s="324"/>
    </row>
    <row r="38" ht="12.75" customHeight="1">
      <c r="A38" s="322"/>
      <c r="B38" s="360"/>
      <c r="C38" s="360"/>
      <c r="D38" s="360"/>
      <c r="E38" s="361"/>
      <c r="F38" s="324"/>
      <c r="G38" s="324"/>
      <c r="H38" s="387"/>
      <c r="I38" s="388"/>
      <c r="J38" s="322"/>
      <c r="K38" s="360"/>
      <c r="L38" s="360"/>
      <c r="M38" s="360"/>
      <c r="N38" s="361"/>
      <c r="O38" s="324"/>
    </row>
    <row r="39" ht="12.75" customHeight="1">
      <c r="A39" s="322"/>
      <c r="B39" s="34" t="s">
        <v>17</v>
      </c>
      <c r="C39" s="35"/>
      <c r="D39" s="35"/>
      <c r="E39" s="35"/>
      <c r="F39" s="324"/>
      <c r="G39" s="324"/>
      <c r="H39" s="387"/>
      <c r="I39" s="388"/>
      <c r="J39" s="322"/>
      <c r="K39" s="34" t="s">
        <v>17</v>
      </c>
      <c r="L39" s="35"/>
      <c r="M39" s="35"/>
      <c r="N39" s="35"/>
      <c r="O39" s="324"/>
    </row>
    <row r="40" ht="12.75" customHeight="1">
      <c r="A40" s="322"/>
      <c r="B40" s="52" t="s">
        <v>42</v>
      </c>
      <c r="C40" s="54"/>
      <c r="D40" s="54"/>
      <c r="E40" s="56" t="s">
        <v>35</v>
      </c>
      <c r="F40" s="324"/>
      <c r="G40" s="324"/>
      <c r="H40" s="387"/>
      <c r="I40" s="388"/>
      <c r="J40" s="322"/>
      <c r="K40" s="52" t="s">
        <v>42</v>
      </c>
      <c r="L40" s="54"/>
      <c r="M40" s="54"/>
      <c r="N40" s="56" t="s">
        <v>35</v>
      </c>
      <c r="O40" s="324"/>
    </row>
    <row r="41" ht="12.75" customHeight="1">
      <c r="A41" s="322"/>
      <c r="B41" s="60" t="s">
        <v>40</v>
      </c>
      <c r="C41" s="343">
        <f>'UTL COST'!$B$3</f>
        <v>369000</v>
      </c>
      <c r="D41" s="379">
        <f>'UTL COST'!$C$3</f>
        <v>0.0075</v>
      </c>
      <c r="E41" s="270">
        <v>0.0</v>
      </c>
      <c r="F41" s="324"/>
      <c r="G41" s="324"/>
      <c r="H41" s="387"/>
      <c r="I41" s="388"/>
      <c r="J41" s="322"/>
      <c r="K41" s="60" t="s">
        <v>40</v>
      </c>
      <c r="L41" s="343">
        <f>'UTL COST'!$B$3</f>
        <v>369000</v>
      </c>
      <c r="M41" s="379">
        <f>'UTL COST'!$C$3</f>
        <v>0.0075</v>
      </c>
      <c r="N41" s="67">
        <f>E41</f>
        <v>0</v>
      </c>
      <c r="O41" s="324"/>
    </row>
    <row r="42" ht="12.75" customHeight="1">
      <c r="A42" s="322"/>
      <c r="B42" s="75" t="s">
        <v>51</v>
      </c>
      <c r="C42" s="371" t="str">
        <f>'UTL COST'!$B$4</f>
        <v>#REF!</v>
      </c>
      <c r="D42" s="382">
        <f>'UTL COST'!$C$4</f>
        <v>7000</v>
      </c>
      <c r="E42" s="76" t="str">
        <f>'UTL COST'!$D$4</f>
        <v>#REF!</v>
      </c>
      <c r="F42" s="324"/>
      <c r="G42" s="324"/>
      <c r="H42" s="387"/>
      <c r="I42" s="388"/>
      <c r="J42" s="322"/>
      <c r="K42" s="75" t="s">
        <v>51</v>
      </c>
      <c r="L42" s="371" t="str">
        <f>'UTL COST'!$B$4</f>
        <v>#REF!</v>
      </c>
      <c r="M42" s="382">
        <f>'UTL COST'!$C$4</f>
        <v>7000</v>
      </c>
      <c r="N42" s="76" t="str">
        <f>'UTL COST'!$D$4</f>
        <v>#REF!</v>
      </c>
      <c r="O42" s="324"/>
    </row>
    <row r="43" ht="12.75" customHeight="1">
      <c r="A43" s="322"/>
      <c r="B43" s="75" t="s">
        <v>59</v>
      </c>
      <c r="C43" s="371" t="str">
        <f>'UTL COST'!$B$5</f>
        <v>#REF!</v>
      </c>
      <c r="D43" s="382">
        <f>'UTL COST'!$C$5</f>
        <v>45000</v>
      </c>
      <c r="E43" s="76" t="str">
        <f>'UTL COST'!$D$5</f>
        <v>#REF!</v>
      </c>
      <c r="F43" s="324"/>
      <c r="G43" s="324"/>
      <c r="H43" s="387"/>
      <c r="I43" s="388"/>
      <c r="J43" s="322"/>
      <c r="K43" s="75" t="s">
        <v>59</v>
      </c>
      <c r="L43" s="371" t="str">
        <f>'UTL COST'!$B$5</f>
        <v>#REF!</v>
      </c>
      <c r="M43" s="382">
        <f>'UTL COST'!$C$5</f>
        <v>45000</v>
      </c>
      <c r="N43" s="76" t="str">
        <f>'UTL COST'!$D$5</f>
        <v>#REF!</v>
      </c>
      <c r="O43" s="324"/>
    </row>
    <row r="44" ht="12.75" customHeight="1">
      <c r="A44" s="322"/>
      <c r="B44" s="87" t="s">
        <v>78</v>
      </c>
      <c r="C44" s="371" t="str">
        <f>'UTL COST'!$B$6</f>
        <v>#REF!</v>
      </c>
      <c r="D44" s="383">
        <f>'UTL COST'!$C$6</f>
        <v>525</v>
      </c>
      <c r="E44" s="89">
        <v>0.1</v>
      </c>
      <c r="F44" s="324"/>
      <c r="G44" s="324"/>
      <c r="H44" s="387"/>
      <c r="I44" s="388"/>
      <c r="J44" s="322"/>
      <c r="K44" s="87" t="s">
        <v>78</v>
      </c>
      <c r="L44" s="371" t="str">
        <f>'UTL COST'!$B$6</f>
        <v>#REF!</v>
      </c>
      <c r="M44" s="383">
        <f>'UTL COST'!$C$6</f>
        <v>525</v>
      </c>
      <c r="N44" s="89">
        <v>0.1</v>
      </c>
      <c r="O44" s="324"/>
    </row>
    <row r="45" ht="12.75" customHeight="1">
      <c r="A45" s="322"/>
      <c r="B45" s="34" t="s">
        <v>84</v>
      </c>
      <c r="C45" s="102"/>
      <c r="D45" s="102"/>
      <c r="E45" s="104" t="str">
        <f>IF(SUM(E41:E44)=0,"",SUM(E41:E44))</f>
        <v>#REF!</v>
      </c>
      <c r="F45" s="324"/>
      <c r="G45" s="324"/>
      <c r="H45" s="387"/>
      <c r="I45" s="388"/>
      <c r="J45" s="322"/>
      <c r="K45" s="34" t="s">
        <v>84</v>
      </c>
      <c r="L45" s="102"/>
      <c r="M45" s="102"/>
      <c r="N45" s="104" t="str">
        <f>IF(SUM(N41:N44)=0,"",SUM(N41:N44))</f>
        <v>#REF!</v>
      </c>
      <c r="O45" s="324"/>
    </row>
    <row r="46" ht="12.75" customHeight="1">
      <c r="A46" s="322"/>
      <c r="B46" s="360"/>
      <c r="C46" s="360"/>
      <c r="D46" s="360"/>
      <c r="E46" s="361"/>
      <c r="F46" s="324"/>
      <c r="G46" s="324"/>
      <c r="H46" s="387"/>
      <c r="I46" s="388"/>
      <c r="J46" s="322"/>
      <c r="K46" s="360"/>
      <c r="L46" s="360"/>
      <c r="M46" s="360"/>
      <c r="N46" s="361"/>
      <c r="O46" s="324"/>
    </row>
    <row r="47" ht="12.75" customHeight="1">
      <c r="A47" s="387"/>
      <c r="B47" s="387"/>
      <c r="C47" s="387"/>
      <c r="D47" s="387"/>
      <c r="E47" s="418"/>
      <c r="F47" s="387"/>
      <c r="G47" s="387"/>
      <c r="H47" s="387"/>
      <c r="I47" s="387"/>
      <c r="J47" s="387"/>
      <c r="K47" s="387"/>
      <c r="L47" s="387"/>
      <c r="M47" s="387"/>
      <c r="N47" s="387"/>
      <c r="O47" s="387"/>
    </row>
    <row r="48" ht="12.75" customHeight="1">
      <c r="A48" s="322"/>
      <c r="B48" s="322"/>
      <c r="C48" s="322"/>
      <c r="D48" s="322"/>
      <c r="E48" s="323"/>
      <c r="F48" s="324"/>
      <c r="G48" s="324"/>
      <c r="H48" s="387"/>
      <c r="I48" s="388"/>
      <c r="J48" s="322"/>
      <c r="K48" s="322"/>
      <c r="L48" s="322"/>
      <c r="M48" s="322"/>
      <c r="N48" s="323"/>
      <c r="O48" s="324"/>
    </row>
    <row r="49" ht="12.75" customHeight="1">
      <c r="A49" s="322"/>
      <c r="B49" s="325"/>
      <c r="C49" s="322"/>
      <c r="D49" s="322"/>
      <c r="E49" s="323"/>
      <c r="F49" s="326"/>
      <c r="G49" s="326"/>
      <c r="H49" s="404"/>
      <c r="I49" s="388"/>
      <c r="J49" s="322"/>
      <c r="K49" s="325"/>
      <c r="L49" s="322"/>
      <c r="M49" s="322"/>
      <c r="N49" s="323"/>
      <c r="O49" s="326"/>
    </row>
    <row r="50" ht="12.75" customHeight="1">
      <c r="A50" s="322"/>
      <c r="B50" s="327" t="s">
        <v>931</v>
      </c>
      <c r="C50" s="328" t="s">
        <v>411</v>
      </c>
      <c r="D50" s="329"/>
      <c r="E50" s="323"/>
      <c r="F50" s="326"/>
      <c r="G50" s="326"/>
      <c r="H50" s="404"/>
      <c r="I50" s="388"/>
      <c r="J50" s="322"/>
      <c r="K50" s="327" t="s">
        <v>931</v>
      </c>
      <c r="L50" s="328" t="s">
        <v>1199</v>
      </c>
      <c r="M50" s="329"/>
      <c r="N50" s="323"/>
      <c r="O50" s="326"/>
    </row>
    <row r="51" ht="12.75" customHeight="1">
      <c r="A51" s="322"/>
      <c r="B51" s="325"/>
      <c r="C51" s="322"/>
      <c r="D51" s="322"/>
      <c r="E51" s="323"/>
      <c r="F51" s="326"/>
      <c r="G51" s="326"/>
      <c r="H51" s="404"/>
      <c r="I51" s="388"/>
      <c r="J51" s="322"/>
      <c r="K51" s="325"/>
      <c r="L51" s="322"/>
      <c r="M51" s="322"/>
      <c r="N51" s="323"/>
      <c r="O51" s="326"/>
    </row>
    <row r="52" ht="12.75" customHeight="1">
      <c r="A52" s="322"/>
      <c r="B52" s="327" t="s">
        <v>935</v>
      </c>
      <c r="C52" s="331">
        <v>170000.0</v>
      </c>
      <c r="D52" s="329"/>
      <c r="E52" s="323"/>
      <c r="F52" s="326"/>
      <c r="G52" s="326"/>
      <c r="H52" s="404"/>
      <c r="I52" s="388"/>
      <c r="J52" s="322"/>
      <c r="K52" s="327" t="s">
        <v>935</v>
      </c>
      <c r="L52" s="331">
        <v>175000.0</v>
      </c>
      <c r="M52" s="329"/>
      <c r="N52" s="323"/>
      <c r="O52" s="326"/>
    </row>
    <row r="53" ht="12.75" customHeight="1">
      <c r="A53" s="322"/>
      <c r="B53" s="327"/>
      <c r="C53" s="332"/>
      <c r="D53" s="332"/>
      <c r="E53" s="323"/>
      <c r="F53" s="326"/>
      <c r="G53" s="326"/>
      <c r="H53" s="404"/>
      <c r="I53" s="388"/>
      <c r="J53" s="322"/>
      <c r="K53" s="327"/>
      <c r="L53" s="332"/>
      <c r="M53" s="332"/>
      <c r="N53" s="323"/>
      <c r="O53" s="326"/>
    </row>
    <row r="54" ht="12.75" customHeight="1">
      <c r="A54" s="322"/>
      <c r="B54" s="327" t="s">
        <v>939</v>
      </c>
      <c r="C54" s="333" t="str">
        <f>IF(SUM(E66,E81,E89)=0,"",SUM(E66,E81,E89))</f>
        <v>#REF!</v>
      </c>
      <c r="D54" s="321"/>
      <c r="E54" s="323"/>
      <c r="F54" s="326"/>
      <c r="G54" s="326"/>
      <c r="H54" s="404"/>
      <c r="I54" s="388"/>
      <c r="J54" s="322"/>
      <c r="K54" s="327" t="s">
        <v>939</v>
      </c>
      <c r="L54" s="333" t="str">
        <f>IF(SUM(N66,N81,N89)=0,"",SUM(N66,N81,N89))</f>
        <v>#REF!</v>
      </c>
      <c r="M54" s="321"/>
      <c r="N54" s="323"/>
      <c r="O54" s="326"/>
    </row>
    <row r="55" ht="12.75" customHeight="1">
      <c r="A55" s="322"/>
      <c r="B55" s="327"/>
      <c r="C55" s="334"/>
      <c r="D55" s="334"/>
      <c r="E55" s="323"/>
      <c r="F55" s="326"/>
      <c r="G55" s="326"/>
      <c r="H55" s="404"/>
      <c r="I55" s="388"/>
      <c r="J55" s="322"/>
      <c r="K55" s="327"/>
      <c r="L55" s="334"/>
      <c r="M55" s="334"/>
      <c r="N55" s="323"/>
      <c r="O55" s="326"/>
    </row>
    <row r="56" ht="12.75" customHeight="1">
      <c r="A56" s="322"/>
      <c r="B56" s="327" t="s">
        <v>946</v>
      </c>
      <c r="C56" s="335" t="str">
        <f>IF(C54="","",IF(ISBLANK(C52),"",C54/C52))</f>
        <v>#REF!</v>
      </c>
      <c r="D56" s="321"/>
      <c r="E56" s="323"/>
      <c r="F56" s="326"/>
      <c r="G56" s="326"/>
      <c r="H56" s="404"/>
      <c r="I56" s="388"/>
      <c r="J56" s="322"/>
      <c r="K56" s="327" t="s">
        <v>946</v>
      </c>
      <c r="L56" s="335" t="str">
        <f t="shared" ref="L56:L57" si="7">IF(L54="","",IF(ISBLANK(L52),"",L54/L52))</f>
        <v>#REF!</v>
      </c>
      <c r="M56" s="321"/>
      <c r="N56" s="323"/>
      <c r="O56" s="326"/>
    </row>
    <row r="57" ht="12.75" customHeight="1">
      <c r="A57" s="322"/>
      <c r="B57" s="327"/>
      <c r="C57" s="334"/>
      <c r="D57" s="334"/>
      <c r="E57" s="323"/>
      <c r="F57" s="326"/>
      <c r="G57" s="326"/>
      <c r="H57" s="404"/>
      <c r="I57" s="388"/>
      <c r="J57" s="322"/>
      <c r="K57" s="327"/>
      <c r="L57" s="335" t="str">
        <f t="shared" si="7"/>
        <v/>
      </c>
      <c r="M57" s="321"/>
      <c r="N57" s="323"/>
      <c r="O57" s="326"/>
    </row>
    <row r="58" ht="12.75" customHeight="1">
      <c r="A58" s="322"/>
      <c r="B58" s="327" t="s">
        <v>950</v>
      </c>
      <c r="C58" s="333" t="str">
        <f>C52-C54</f>
        <v>#REF!</v>
      </c>
      <c r="D58" s="321"/>
      <c r="E58" s="323"/>
      <c r="F58" s="326"/>
      <c r="G58" s="326"/>
      <c r="H58" s="404"/>
      <c r="I58" s="388"/>
      <c r="J58" s="322"/>
      <c r="K58" s="327" t="s">
        <v>950</v>
      </c>
      <c r="L58" s="333" t="str">
        <f>L52-L54</f>
        <v>#REF!</v>
      </c>
      <c r="M58" s="321"/>
      <c r="N58" s="323"/>
      <c r="O58" s="326"/>
    </row>
    <row r="59" ht="12.75" customHeight="1">
      <c r="A59" s="322"/>
      <c r="B59" s="322"/>
      <c r="C59" s="322"/>
      <c r="D59" s="322"/>
      <c r="E59" s="323"/>
      <c r="F59" s="324"/>
      <c r="G59" s="324"/>
      <c r="H59" s="404"/>
      <c r="I59" s="388"/>
      <c r="J59" s="322"/>
      <c r="K59" s="322"/>
      <c r="L59" s="322"/>
      <c r="M59" s="322"/>
      <c r="N59" s="323"/>
      <c r="O59" s="324"/>
    </row>
    <row r="60" ht="12.75" customHeight="1">
      <c r="A60" s="322"/>
      <c r="B60" s="322"/>
      <c r="C60" s="322"/>
      <c r="D60" s="322"/>
      <c r="E60" s="337"/>
      <c r="F60" s="324"/>
      <c r="G60" s="324"/>
      <c r="H60" s="387"/>
      <c r="I60" s="388"/>
      <c r="J60" s="322"/>
      <c r="K60" s="322"/>
      <c r="L60" s="322"/>
      <c r="M60" s="322"/>
      <c r="N60" s="337"/>
      <c r="O60" s="324"/>
    </row>
    <row r="61" ht="12.75" customHeight="1">
      <c r="A61" s="322"/>
      <c r="B61" s="338" t="s">
        <v>951</v>
      </c>
      <c r="C61" s="339"/>
      <c r="D61" s="339"/>
      <c r="E61" s="339"/>
      <c r="F61" s="324"/>
      <c r="G61" s="324"/>
      <c r="H61" s="410"/>
      <c r="I61" s="388"/>
      <c r="J61" s="322"/>
      <c r="K61" s="338" t="s">
        <v>951</v>
      </c>
      <c r="L61" s="339"/>
      <c r="M61" s="339"/>
      <c r="N61" s="339"/>
      <c r="O61" s="324"/>
    </row>
    <row r="62" ht="12.75" customHeight="1">
      <c r="A62" s="322"/>
      <c r="B62" s="340" t="s">
        <v>953</v>
      </c>
      <c r="C62" s="341" t="s">
        <v>954</v>
      </c>
      <c r="D62" s="341" t="s">
        <v>955</v>
      </c>
      <c r="E62" s="341" t="s">
        <v>35</v>
      </c>
      <c r="F62" s="324"/>
      <c r="G62" s="324"/>
      <c r="H62" s="387"/>
      <c r="I62" s="388"/>
      <c r="J62" s="322"/>
      <c r="K62" s="340" t="s">
        <v>953</v>
      </c>
      <c r="L62" s="341" t="s">
        <v>954</v>
      </c>
      <c r="M62" s="341" t="s">
        <v>955</v>
      </c>
      <c r="N62" s="341" t="s">
        <v>35</v>
      </c>
      <c r="O62" s="324"/>
    </row>
    <row r="63" ht="12.75" customHeight="1">
      <c r="A63" s="322"/>
      <c r="B63" s="60" t="s">
        <v>1360</v>
      </c>
      <c r="C63" s="342">
        <v>1.0</v>
      </c>
      <c r="D63" s="343">
        <f>'F&amp;B'!$F$72/7</f>
        <v>10961.53846</v>
      </c>
      <c r="E63" s="67">
        <f t="shared" ref="E63:E65" si="8">IF(OR(ISBLANK(C63),ISBLANK(D63)),"",D63*C63)</f>
        <v>10961.53846</v>
      </c>
      <c r="F63" s="324"/>
      <c r="G63" s="324"/>
      <c r="H63" s="387"/>
      <c r="I63" s="388"/>
      <c r="J63" s="322"/>
      <c r="K63" s="60" t="s">
        <v>1360</v>
      </c>
      <c r="L63" s="342">
        <v>1.0</v>
      </c>
      <c r="M63" s="343">
        <f>'F&amp;B'!$F$72/7</f>
        <v>10961.53846</v>
      </c>
      <c r="N63" s="67">
        <f t="shared" ref="N63:N65" si="9">IF(OR(ISBLANK(L63),ISBLANK(M63)),"",M63*L63)</f>
        <v>10961.53846</v>
      </c>
      <c r="O63" s="324"/>
    </row>
    <row r="64" ht="12.75" customHeight="1">
      <c r="A64" s="322"/>
      <c r="B64" s="75" t="s">
        <v>1015</v>
      </c>
      <c r="C64" s="346">
        <v>1.0</v>
      </c>
      <c r="D64" s="371">
        <f>'F&amp;B'!$F$10/6</f>
        <v>5716.333333</v>
      </c>
      <c r="E64" s="67">
        <f t="shared" si="8"/>
        <v>5716.333333</v>
      </c>
      <c r="F64" s="324"/>
      <c r="G64" s="324"/>
      <c r="H64" s="387"/>
      <c r="I64" s="388"/>
      <c r="J64" s="322"/>
      <c r="K64" s="75" t="s">
        <v>1015</v>
      </c>
      <c r="L64" s="346">
        <v>1.0</v>
      </c>
      <c r="M64" s="371">
        <f>'F&amp;B'!$F$10/6</f>
        <v>5716.333333</v>
      </c>
      <c r="N64" s="67">
        <f t="shared" si="9"/>
        <v>5716.333333</v>
      </c>
      <c r="O64" s="324"/>
    </row>
    <row r="65" ht="12.75" customHeight="1">
      <c r="A65" s="322"/>
      <c r="B65" s="87"/>
      <c r="C65" s="355"/>
      <c r="D65" s="356"/>
      <c r="E65" s="67" t="str">
        <f t="shared" si="8"/>
        <v/>
      </c>
      <c r="F65" s="324"/>
      <c r="G65" s="324"/>
      <c r="H65" s="387"/>
      <c r="I65" s="388"/>
      <c r="J65" s="322"/>
      <c r="K65" s="87" t="s">
        <v>1383</v>
      </c>
      <c r="L65" s="412">
        <v>0.15</v>
      </c>
      <c r="M65" s="400">
        <f>'F&amp;B'!$F$98</f>
        <v>76500</v>
      </c>
      <c r="N65" s="67">
        <f t="shared" si="9"/>
        <v>11475</v>
      </c>
      <c r="O65" s="324"/>
    </row>
    <row r="66" ht="12.75" customHeight="1">
      <c r="A66" s="322"/>
      <c r="B66" s="338" t="s">
        <v>84</v>
      </c>
      <c r="C66" s="358"/>
      <c r="D66" s="358"/>
      <c r="E66" s="359">
        <f>IF(SUM(E63:E65)=0,"",SUM(E63:E65))</f>
        <v>16677.87179</v>
      </c>
      <c r="F66" s="324"/>
      <c r="G66" s="324"/>
      <c r="H66" s="387"/>
      <c r="I66" s="388"/>
      <c r="J66" s="322"/>
      <c r="K66" s="338" t="s">
        <v>84</v>
      </c>
      <c r="L66" s="358"/>
      <c r="M66" s="358"/>
      <c r="N66" s="359">
        <f>IF(SUM(N63:N65)=0,"",SUM(N63:N65))</f>
        <v>28152.87179</v>
      </c>
      <c r="O66" s="324"/>
    </row>
    <row r="67" ht="12.75" customHeight="1">
      <c r="A67" s="322"/>
      <c r="B67" s="360"/>
      <c r="C67" s="360"/>
      <c r="D67" s="360"/>
      <c r="E67" s="361"/>
      <c r="F67" s="324"/>
      <c r="G67" s="324"/>
      <c r="H67" s="387"/>
      <c r="I67" s="388"/>
      <c r="J67" s="322"/>
      <c r="K67" s="360"/>
      <c r="L67" s="360"/>
      <c r="M67" s="360"/>
      <c r="N67" s="361"/>
      <c r="O67" s="324"/>
    </row>
    <row r="68" ht="12.75" customHeight="1">
      <c r="A68" s="322"/>
      <c r="B68" s="362" t="s">
        <v>972</v>
      </c>
      <c r="C68" s="363"/>
      <c r="D68" s="363"/>
      <c r="E68" s="363"/>
      <c r="F68" s="324"/>
      <c r="G68" s="324"/>
      <c r="H68" s="387"/>
      <c r="I68" s="388"/>
      <c r="J68" s="322"/>
      <c r="K68" s="362" t="s">
        <v>972</v>
      </c>
      <c r="L68" s="363"/>
      <c r="M68" s="363"/>
      <c r="N68" s="363"/>
      <c r="O68" s="324"/>
    </row>
    <row r="69" ht="12.75" customHeight="1">
      <c r="A69" s="322"/>
      <c r="B69" s="365" t="s">
        <v>953</v>
      </c>
      <c r="C69" s="366" t="s">
        <v>3</v>
      </c>
      <c r="D69" s="366" t="s">
        <v>975</v>
      </c>
      <c r="E69" s="367" t="s">
        <v>35</v>
      </c>
      <c r="F69" s="324"/>
      <c r="G69" s="324"/>
      <c r="H69" s="387"/>
      <c r="I69" s="388"/>
      <c r="J69" s="322"/>
      <c r="K69" s="365" t="s">
        <v>953</v>
      </c>
      <c r="L69" s="366" t="s">
        <v>3</v>
      </c>
      <c r="M69" s="366" t="s">
        <v>975</v>
      </c>
      <c r="N69" s="367" t="s">
        <v>35</v>
      </c>
      <c r="O69" s="324"/>
    </row>
    <row r="70" ht="12.75" customHeight="1">
      <c r="A70" s="322"/>
      <c r="B70" s="368"/>
      <c r="C70" s="366"/>
      <c r="D70" s="366"/>
      <c r="E70" s="368"/>
      <c r="F70" s="324"/>
      <c r="G70" s="324"/>
      <c r="H70" s="387"/>
      <c r="I70" s="388"/>
      <c r="J70" s="322"/>
      <c r="K70" s="368"/>
      <c r="L70" s="366"/>
      <c r="M70" s="366"/>
      <c r="N70" s="368"/>
      <c r="O70" s="324"/>
    </row>
    <row r="71" ht="12.75" customHeight="1">
      <c r="A71" s="322"/>
      <c r="B71" s="60" t="s">
        <v>105</v>
      </c>
      <c r="C71" s="342">
        <v>0.07</v>
      </c>
      <c r="D71" s="343">
        <f t="shared" ref="D71:D73" si="10">D27</f>
        <v>26573.76131</v>
      </c>
      <c r="E71" s="67">
        <f t="shared" ref="E71:E80" si="11">D71*C71</f>
        <v>1860.163292</v>
      </c>
      <c r="F71" s="324"/>
      <c r="G71" s="324"/>
      <c r="H71" s="387"/>
      <c r="I71" s="388"/>
      <c r="J71" s="322"/>
      <c r="K71" s="60" t="s">
        <v>105</v>
      </c>
      <c r="L71" s="342">
        <v>0.07</v>
      </c>
      <c r="M71" s="343">
        <f t="shared" ref="M71:M73" si="12">M27</f>
        <v>26573.76131</v>
      </c>
      <c r="N71" s="67">
        <f t="shared" ref="N71:N80" si="13">M71*L71</f>
        <v>1860.163292</v>
      </c>
      <c r="O71" s="324"/>
    </row>
    <row r="72" ht="12.75" customHeight="1">
      <c r="A72" s="322"/>
      <c r="B72" s="75" t="s">
        <v>155</v>
      </c>
      <c r="C72" s="370">
        <v>1.0</v>
      </c>
      <c r="D72" s="371">
        <f t="shared" si="10"/>
        <v>994.5</v>
      </c>
      <c r="E72" s="67">
        <f t="shared" si="11"/>
        <v>994.5</v>
      </c>
      <c r="F72" s="324"/>
      <c r="G72" s="324"/>
      <c r="H72" s="387"/>
      <c r="I72" s="388"/>
      <c r="J72" s="322"/>
      <c r="K72" s="75" t="s">
        <v>155</v>
      </c>
      <c r="L72" s="370">
        <v>1.0</v>
      </c>
      <c r="M72" s="371">
        <f t="shared" si="12"/>
        <v>994.5</v>
      </c>
      <c r="N72" s="67">
        <f t="shared" si="13"/>
        <v>994.5</v>
      </c>
      <c r="O72" s="324"/>
    </row>
    <row r="73" ht="12.75" customHeight="1">
      <c r="A73" s="322"/>
      <c r="B73" s="75" t="s">
        <v>205</v>
      </c>
      <c r="C73" s="370">
        <v>1.0</v>
      </c>
      <c r="D73" s="371">
        <f t="shared" si="10"/>
        <v>923.2488</v>
      </c>
      <c r="E73" s="67">
        <f t="shared" si="11"/>
        <v>923.2488</v>
      </c>
      <c r="F73" s="324"/>
      <c r="G73" s="324"/>
      <c r="H73" s="387"/>
      <c r="I73" s="388"/>
      <c r="J73" s="322"/>
      <c r="K73" s="75" t="s">
        <v>205</v>
      </c>
      <c r="L73" s="370">
        <v>1.0</v>
      </c>
      <c r="M73" s="371">
        <f t="shared" si="12"/>
        <v>923.2488</v>
      </c>
      <c r="N73" s="67">
        <f t="shared" si="13"/>
        <v>923.2488</v>
      </c>
      <c r="O73" s="324"/>
    </row>
    <row r="74" ht="12.75" customHeight="1">
      <c r="A74" s="322"/>
      <c r="B74" s="75" t="s">
        <v>934</v>
      </c>
      <c r="C74" s="342">
        <v>0.16</v>
      </c>
      <c r="D74" s="343">
        <f>'F&amp;B'!$F$68/10</f>
        <v>19665</v>
      </c>
      <c r="E74" s="67">
        <f t="shared" si="11"/>
        <v>3146.4</v>
      </c>
      <c r="F74" s="324"/>
      <c r="G74" s="324"/>
      <c r="H74" s="387"/>
      <c r="I74" s="388"/>
      <c r="J74" s="322"/>
      <c r="K74" s="75" t="s">
        <v>934</v>
      </c>
      <c r="L74" s="342">
        <v>0.16</v>
      </c>
      <c r="M74" s="343">
        <f>'F&amp;B'!$F$68/10</f>
        <v>19665</v>
      </c>
      <c r="N74" s="67">
        <f t="shared" si="13"/>
        <v>3146.4</v>
      </c>
      <c r="O74" s="324"/>
    </row>
    <row r="75" ht="12.75" customHeight="1">
      <c r="A75" s="322"/>
      <c r="B75" s="75" t="s">
        <v>1384</v>
      </c>
      <c r="C75" s="370">
        <v>0.05</v>
      </c>
      <c r="D75" s="371">
        <f>'F&amp;B'!$F$240/10</f>
        <v>945</v>
      </c>
      <c r="E75" s="67">
        <f t="shared" si="11"/>
        <v>47.25</v>
      </c>
      <c r="F75" s="324"/>
      <c r="G75" s="324"/>
      <c r="H75" s="387"/>
      <c r="I75" s="388"/>
      <c r="J75" s="322"/>
      <c r="K75" s="75" t="s">
        <v>544</v>
      </c>
      <c r="L75" s="346">
        <v>0.05</v>
      </c>
      <c r="M75" s="343">
        <f>SAUCES!$D$122</f>
        <v>44687.33577</v>
      </c>
      <c r="N75" s="67">
        <f t="shared" si="13"/>
        <v>2234.366788</v>
      </c>
      <c r="O75" s="324"/>
    </row>
    <row r="76" ht="12.75" customHeight="1">
      <c r="A76" s="322"/>
      <c r="B76" s="75" t="s">
        <v>1385</v>
      </c>
      <c r="C76" s="370">
        <v>0.07</v>
      </c>
      <c r="D76" s="475">
        <f>'F&amp;B'!$F$35/3</f>
        <v>36300</v>
      </c>
      <c r="E76" s="67">
        <f t="shared" si="11"/>
        <v>2541</v>
      </c>
      <c r="F76" s="324"/>
      <c r="G76" s="324"/>
      <c r="H76" s="387"/>
      <c r="I76" s="388"/>
      <c r="J76" s="322"/>
      <c r="K76" s="75" t="s">
        <v>1000</v>
      </c>
      <c r="L76" s="346">
        <v>0.02</v>
      </c>
      <c r="M76" s="343">
        <f>'F&amp;B'!$F$277</f>
        <v>13500</v>
      </c>
      <c r="N76" s="67">
        <f t="shared" si="13"/>
        <v>270</v>
      </c>
      <c r="O76" s="324"/>
    </row>
    <row r="77" ht="12.75" customHeight="1">
      <c r="A77" s="322"/>
      <c r="B77" s="75" t="s">
        <v>544</v>
      </c>
      <c r="C77" s="370">
        <v>0.05</v>
      </c>
      <c r="D77" s="475">
        <f>D71</f>
        <v>26573.76131</v>
      </c>
      <c r="E77" s="67">
        <f t="shared" si="11"/>
        <v>1328.688066</v>
      </c>
      <c r="F77" s="324"/>
      <c r="G77" s="324"/>
      <c r="H77" s="387"/>
      <c r="I77" s="388"/>
      <c r="J77" s="322"/>
      <c r="K77" s="75" t="s">
        <v>1043</v>
      </c>
      <c r="L77" s="370">
        <v>1.0</v>
      </c>
      <c r="M77" s="475">
        <f>SAUCES!D48</f>
        <v>563.76</v>
      </c>
      <c r="N77" s="67">
        <f t="shared" si="13"/>
        <v>563.76</v>
      </c>
      <c r="O77" s="324"/>
    </row>
    <row r="78" ht="12.75" customHeight="1">
      <c r="A78" s="322"/>
      <c r="B78" s="348"/>
      <c r="C78" s="346"/>
      <c r="D78" s="373"/>
      <c r="E78" s="67">
        <f t="shared" si="11"/>
        <v>0</v>
      </c>
      <c r="F78" s="324"/>
      <c r="G78" s="324"/>
      <c r="H78" s="387"/>
      <c r="I78" s="388"/>
      <c r="J78" s="322"/>
      <c r="K78" s="348"/>
      <c r="L78" s="346"/>
      <c r="M78" s="373"/>
      <c r="N78" s="67">
        <f t="shared" si="13"/>
        <v>0</v>
      </c>
      <c r="O78" s="324"/>
    </row>
    <row r="79" ht="12.75" customHeight="1">
      <c r="A79" s="322"/>
      <c r="B79" s="348"/>
      <c r="C79" s="346"/>
      <c r="D79" s="373"/>
      <c r="E79" s="67">
        <f t="shared" si="11"/>
        <v>0</v>
      </c>
      <c r="F79" s="324"/>
      <c r="G79" s="324"/>
      <c r="H79" s="387"/>
      <c r="I79" s="388"/>
      <c r="J79" s="322"/>
      <c r="K79" s="348"/>
      <c r="L79" s="346"/>
      <c r="M79" s="373"/>
      <c r="N79" s="67">
        <f t="shared" si="13"/>
        <v>0</v>
      </c>
      <c r="O79" s="324"/>
    </row>
    <row r="80" ht="12.75" customHeight="1">
      <c r="A80" s="322"/>
      <c r="B80" s="354"/>
      <c r="C80" s="355"/>
      <c r="D80" s="356"/>
      <c r="E80" s="67">
        <f t="shared" si="11"/>
        <v>0</v>
      </c>
      <c r="F80" s="324"/>
      <c r="G80" s="324"/>
      <c r="H80" s="387"/>
      <c r="I80" s="388"/>
      <c r="J80" s="322"/>
      <c r="K80" s="354"/>
      <c r="L80" s="355"/>
      <c r="M80" s="356"/>
      <c r="N80" s="67">
        <f t="shared" si="13"/>
        <v>0</v>
      </c>
      <c r="O80" s="324"/>
    </row>
    <row r="81" ht="12.75" customHeight="1">
      <c r="A81" s="322"/>
      <c r="B81" s="362" t="s">
        <v>84</v>
      </c>
      <c r="C81" s="374"/>
      <c r="D81" s="374"/>
      <c r="E81" s="375">
        <f>IF(SUM(E71:E80)=0,"",SUM(E71:E80))</f>
        <v>10841.25016</v>
      </c>
      <c r="F81" s="324"/>
      <c r="G81" s="324"/>
      <c r="H81" s="387"/>
      <c r="I81" s="388"/>
      <c r="J81" s="322"/>
      <c r="K81" s="362" t="s">
        <v>84</v>
      </c>
      <c r="L81" s="374"/>
      <c r="M81" s="374"/>
      <c r="N81" s="375">
        <f>IF(SUM(N71:N80)=0,"",SUM(N71:N80))</f>
        <v>9992.43888</v>
      </c>
      <c r="O81" s="324"/>
    </row>
    <row r="82" ht="12.75" customHeight="1">
      <c r="A82" s="322"/>
      <c r="B82" s="360"/>
      <c r="C82" s="360"/>
      <c r="D82" s="360"/>
      <c r="E82" s="361"/>
      <c r="F82" s="324"/>
      <c r="G82" s="324"/>
      <c r="H82" s="387"/>
      <c r="I82" s="388"/>
      <c r="J82" s="322"/>
      <c r="K82" s="360"/>
      <c r="L82" s="360"/>
      <c r="M82" s="360"/>
      <c r="N82" s="361"/>
      <c r="O82" s="324"/>
    </row>
    <row r="83" ht="12.75" customHeight="1">
      <c r="A83" s="322"/>
      <c r="B83" s="34" t="s">
        <v>17</v>
      </c>
      <c r="C83" s="35"/>
      <c r="D83" s="35"/>
      <c r="E83" s="35"/>
      <c r="F83" s="324"/>
      <c r="G83" s="324"/>
      <c r="H83" s="387"/>
      <c r="I83" s="388"/>
      <c r="J83" s="322"/>
      <c r="K83" s="34" t="s">
        <v>17</v>
      </c>
      <c r="L83" s="35"/>
      <c r="M83" s="35"/>
      <c r="N83" s="35"/>
      <c r="O83" s="324"/>
    </row>
    <row r="84" ht="12.75" customHeight="1">
      <c r="A84" s="322"/>
      <c r="B84" s="52" t="s">
        <v>42</v>
      </c>
      <c r="C84" s="54"/>
      <c r="D84" s="54"/>
      <c r="E84" s="56" t="s">
        <v>35</v>
      </c>
      <c r="F84" s="324"/>
      <c r="G84" s="324"/>
      <c r="H84" s="387"/>
      <c r="I84" s="388"/>
      <c r="J84" s="322"/>
      <c r="K84" s="52" t="s">
        <v>42</v>
      </c>
      <c r="L84" s="54"/>
      <c r="M84" s="54"/>
      <c r="N84" s="56" t="s">
        <v>35</v>
      </c>
      <c r="O84" s="324"/>
    </row>
    <row r="85" ht="12.75" customHeight="1">
      <c r="A85" s="322"/>
      <c r="B85" s="60" t="s">
        <v>40</v>
      </c>
      <c r="C85" s="343">
        <f>'UTL COST'!$B$3</f>
        <v>369000</v>
      </c>
      <c r="D85" s="379">
        <f>'UTL COST'!$C$3</f>
        <v>0.0075</v>
      </c>
      <c r="E85" s="67">
        <f>N41</f>
        <v>0</v>
      </c>
      <c r="F85" s="324"/>
      <c r="G85" s="324"/>
      <c r="H85" s="387"/>
      <c r="I85" s="388"/>
      <c r="J85" s="322"/>
      <c r="K85" s="60" t="s">
        <v>40</v>
      </c>
      <c r="L85" s="343">
        <f>'UTL COST'!$B$3</f>
        <v>369000</v>
      </c>
      <c r="M85" s="379">
        <f>'UTL COST'!$C$3</f>
        <v>0.0075</v>
      </c>
      <c r="N85" s="67">
        <f>N41</f>
        <v>0</v>
      </c>
      <c r="O85" s="324"/>
    </row>
    <row r="86" ht="12.75" customHeight="1">
      <c r="A86" s="322"/>
      <c r="B86" s="75" t="s">
        <v>51</v>
      </c>
      <c r="C86" s="371" t="str">
        <f>'UTL COST'!$B$4</f>
        <v>#REF!</v>
      </c>
      <c r="D86" s="382">
        <f>'UTL COST'!$C$4</f>
        <v>7000</v>
      </c>
      <c r="E86" s="76" t="str">
        <f>'UTL COST'!$D$4</f>
        <v>#REF!</v>
      </c>
      <c r="F86" s="324"/>
      <c r="G86" s="324"/>
      <c r="H86" s="387"/>
      <c r="I86" s="388"/>
      <c r="J86" s="322"/>
      <c r="K86" s="75" t="s">
        <v>51</v>
      </c>
      <c r="L86" s="371" t="str">
        <f>'UTL COST'!$B$4</f>
        <v>#REF!</v>
      </c>
      <c r="M86" s="382">
        <f>'UTL COST'!$C$4</f>
        <v>7000</v>
      </c>
      <c r="N86" s="76" t="str">
        <f>'UTL COST'!$D$4</f>
        <v>#REF!</v>
      </c>
      <c r="O86" s="324"/>
    </row>
    <row r="87" ht="12.75" customHeight="1">
      <c r="A87" s="322"/>
      <c r="B87" s="75" t="s">
        <v>59</v>
      </c>
      <c r="C87" s="371" t="str">
        <f>'UTL COST'!$B$5</f>
        <v>#REF!</v>
      </c>
      <c r="D87" s="382">
        <f>'UTL COST'!$C$5</f>
        <v>45000</v>
      </c>
      <c r="E87" s="76" t="str">
        <f>'UTL COST'!$D$5</f>
        <v>#REF!</v>
      </c>
      <c r="F87" s="324"/>
      <c r="G87" s="324"/>
      <c r="H87" s="387"/>
      <c r="I87" s="388"/>
      <c r="J87" s="322"/>
      <c r="K87" s="75" t="s">
        <v>59</v>
      </c>
      <c r="L87" s="371" t="str">
        <f>'UTL COST'!$B$5</f>
        <v>#REF!</v>
      </c>
      <c r="M87" s="382">
        <f>'UTL COST'!$C$5</f>
        <v>45000</v>
      </c>
      <c r="N87" s="76" t="str">
        <f>'UTL COST'!$D$5</f>
        <v>#REF!</v>
      </c>
      <c r="O87" s="324"/>
    </row>
    <row r="88" ht="12.75" customHeight="1">
      <c r="A88" s="322"/>
      <c r="B88" s="87" t="s">
        <v>78</v>
      </c>
      <c r="C88" s="371" t="str">
        <f>'UTL COST'!$B$6</f>
        <v>#REF!</v>
      </c>
      <c r="D88" s="383">
        <f>'UTL COST'!$C$6</f>
        <v>525</v>
      </c>
      <c r="E88" s="89">
        <v>0.1</v>
      </c>
      <c r="F88" s="324"/>
      <c r="G88" s="324"/>
      <c r="H88" s="387"/>
      <c r="I88" s="388"/>
      <c r="J88" s="322"/>
      <c r="K88" s="87" t="s">
        <v>78</v>
      </c>
      <c r="L88" s="371" t="str">
        <f>'UTL COST'!$B$6</f>
        <v>#REF!</v>
      </c>
      <c r="M88" s="383">
        <f>'UTL COST'!$C$6</f>
        <v>525</v>
      </c>
      <c r="N88" s="89">
        <v>0.1</v>
      </c>
      <c r="O88" s="324"/>
    </row>
    <row r="89" ht="12.75" customHeight="1">
      <c r="A89" s="322"/>
      <c r="B89" s="34" t="s">
        <v>84</v>
      </c>
      <c r="C89" s="102"/>
      <c r="D89" s="102"/>
      <c r="E89" s="104" t="str">
        <f>IF(SUM(E85:E88)=0,"",SUM(E85:E88))</f>
        <v>#REF!</v>
      </c>
      <c r="F89" s="324"/>
      <c r="G89" s="324"/>
      <c r="H89" s="387"/>
      <c r="I89" s="388"/>
      <c r="J89" s="322"/>
      <c r="K89" s="34" t="s">
        <v>84</v>
      </c>
      <c r="L89" s="102"/>
      <c r="M89" s="102"/>
      <c r="N89" s="104" t="str">
        <f>IF(SUM(N85:N88)=0,"",SUM(N85:N88))</f>
        <v>#REF!</v>
      </c>
      <c r="O89" s="324"/>
    </row>
    <row r="90" ht="12.75" customHeight="1">
      <c r="A90" s="322"/>
      <c r="B90" s="360"/>
      <c r="C90" s="360"/>
      <c r="D90" s="360"/>
      <c r="E90" s="361"/>
      <c r="F90" s="324"/>
      <c r="G90" s="324"/>
      <c r="H90" s="387"/>
      <c r="I90" s="388"/>
      <c r="J90" s="322"/>
      <c r="K90" s="360"/>
      <c r="L90" s="360"/>
      <c r="M90" s="360"/>
      <c r="N90" s="361"/>
      <c r="O90" s="324"/>
    </row>
    <row r="91" ht="12.75" customHeight="1">
      <c r="A91" s="388"/>
      <c r="B91" s="432"/>
      <c r="C91" s="432"/>
      <c r="D91" s="432"/>
      <c r="E91" s="433"/>
      <c r="F91" s="387"/>
      <c r="G91" s="387"/>
      <c r="H91" s="387"/>
      <c r="I91" s="388"/>
      <c r="J91" s="388"/>
      <c r="K91" s="432"/>
      <c r="L91" s="432"/>
      <c r="M91" s="432"/>
      <c r="N91" s="433"/>
      <c r="O91" s="387"/>
    </row>
    <row r="92" ht="12.75" customHeight="1">
      <c r="A92" s="387"/>
      <c r="B92" s="387"/>
      <c r="C92" s="387"/>
      <c r="D92" s="387"/>
      <c r="E92" s="418"/>
      <c r="F92" s="387"/>
      <c r="G92" s="387"/>
      <c r="H92" s="387"/>
      <c r="I92" s="387"/>
      <c r="J92" s="387"/>
      <c r="K92" s="387"/>
      <c r="L92" s="387"/>
      <c r="M92" s="387"/>
      <c r="N92" s="387"/>
      <c r="O92" s="387"/>
    </row>
    <row r="93" ht="12.75" customHeight="1">
      <c r="A93" s="387"/>
      <c r="B93" s="387"/>
      <c r="C93" s="387"/>
      <c r="D93" s="387"/>
      <c r="E93" s="418"/>
      <c r="F93" s="387"/>
      <c r="G93" s="387"/>
      <c r="H93" s="387"/>
      <c r="I93" s="387"/>
      <c r="J93" s="387"/>
      <c r="K93" s="387"/>
      <c r="L93" s="387"/>
      <c r="M93" s="387"/>
      <c r="N93" s="387"/>
      <c r="O93" s="387"/>
    </row>
    <row r="94" ht="12.75" customHeight="1">
      <c r="A94" s="322"/>
      <c r="B94" s="322"/>
      <c r="C94" s="322"/>
      <c r="D94" s="322"/>
      <c r="E94" s="323"/>
      <c r="F94" s="324"/>
      <c r="G94" s="324"/>
      <c r="H94" s="387"/>
      <c r="I94" s="388"/>
      <c r="J94" s="322"/>
      <c r="K94" s="322"/>
      <c r="L94" s="322"/>
      <c r="M94" s="322"/>
      <c r="N94" s="323"/>
      <c r="O94" s="324"/>
    </row>
    <row r="95" ht="12.75" customHeight="1">
      <c r="A95" s="322"/>
      <c r="B95" s="325"/>
      <c r="C95" s="322"/>
      <c r="D95" s="322"/>
      <c r="E95" s="323"/>
      <c r="F95" s="326"/>
      <c r="G95" s="326"/>
      <c r="H95" s="404"/>
      <c r="I95" s="388"/>
      <c r="J95" s="322"/>
      <c r="K95" s="325"/>
      <c r="L95" s="322"/>
      <c r="M95" s="322"/>
      <c r="N95" s="323"/>
      <c r="O95" s="326"/>
    </row>
    <row r="96" ht="12.75" customHeight="1">
      <c r="A96" s="322"/>
      <c r="B96" s="327" t="s">
        <v>931</v>
      </c>
      <c r="C96" s="328" t="s">
        <v>477</v>
      </c>
      <c r="D96" s="329"/>
      <c r="E96" s="323"/>
      <c r="F96" s="326"/>
      <c r="G96" s="326"/>
      <c r="H96" s="404"/>
      <c r="I96" s="388"/>
      <c r="J96" s="322"/>
      <c r="K96" s="327" t="s">
        <v>931</v>
      </c>
      <c r="L96" s="328" t="s">
        <v>1389</v>
      </c>
      <c r="M96" s="329"/>
      <c r="N96" s="323"/>
      <c r="O96" s="326"/>
    </row>
    <row r="97" ht="12.75" customHeight="1">
      <c r="A97" s="322"/>
      <c r="B97" s="325"/>
      <c r="C97" s="322"/>
      <c r="D97" s="322"/>
      <c r="E97" s="323"/>
      <c r="F97" s="326"/>
      <c r="G97" s="326"/>
      <c r="H97" s="404"/>
      <c r="I97" s="388"/>
      <c r="J97" s="322"/>
      <c r="K97" s="325"/>
      <c r="L97" s="322"/>
      <c r="M97" s="322"/>
      <c r="N97" s="323"/>
      <c r="O97" s="326"/>
    </row>
    <row r="98" ht="12.75" customHeight="1">
      <c r="A98" s="322"/>
      <c r="B98" s="327" t="s">
        <v>935</v>
      </c>
      <c r="C98" s="331">
        <v>125000.0</v>
      </c>
      <c r="D98" s="329"/>
      <c r="E98" s="323"/>
      <c r="F98" s="326"/>
      <c r="G98" s="326"/>
      <c r="H98" s="404"/>
      <c r="I98" s="388"/>
      <c r="J98" s="322"/>
      <c r="K98" s="327" t="s">
        <v>935</v>
      </c>
      <c r="L98" s="331">
        <v>205000.0</v>
      </c>
      <c r="M98" s="329"/>
      <c r="N98" s="323"/>
      <c r="O98" s="326"/>
    </row>
    <row r="99" ht="12.75" customHeight="1">
      <c r="A99" s="322"/>
      <c r="B99" s="327"/>
      <c r="C99" s="332"/>
      <c r="D99" s="332"/>
      <c r="E99" s="323"/>
      <c r="F99" s="326"/>
      <c r="G99" s="326"/>
      <c r="H99" s="404"/>
      <c r="I99" s="388"/>
      <c r="J99" s="322"/>
      <c r="K99" s="327"/>
      <c r="L99" s="332"/>
      <c r="M99" s="332"/>
      <c r="N99" s="323"/>
      <c r="O99" s="326"/>
    </row>
    <row r="100" ht="12.75" customHeight="1">
      <c r="A100" s="322"/>
      <c r="B100" s="327" t="s">
        <v>939</v>
      </c>
      <c r="C100" s="333" t="str">
        <f>IF(SUM(E112,E127,E135)=0,"",SUM(E112,E127,E135))</f>
        <v>#REF!</v>
      </c>
      <c r="D100" s="321"/>
      <c r="E100" s="323"/>
      <c r="F100" s="326"/>
      <c r="G100" s="326"/>
      <c r="H100" s="404"/>
      <c r="I100" s="388"/>
      <c r="J100" s="322"/>
      <c r="K100" s="327" t="s">
        <v>939</v>
      </c>
      <c r="L100" s="492" t="str">
        <f>IF(SUM(N112,N127,N135)=0,"",SUM(N112,N127,N135))</f>
        <v>#REF!</v>
      </c>
      <c r="M100" s="492"/>
      <c r="N100" s="323"/>
      <c r="O100" s="326"/>
    </row>
    <row r="101" ht="12.75" customHeight="1">
      <c r="A101" s="322"/>
      <c r="B101" s="327"/>
      <c r="C101" s="334"/>
      <c r="D101" s="334"/>
      <c r="E101" s="323"/>
      <c r="F101" s="326"/>
      <c r="G101" s="326"/>
      <c r="H101" s="404"/>
      <c r="I101" s="388"/>
      <c r="J101" s="322"/>
      <c r="K101" s="327"/>
      <c r="L101" s="334"/>
      <c r="M101" s="334"/>
      <c r="N101" s="323"/>
      <c r="O101" s="326"/>
    </row>
    <row r="102" ht="12.75" customHeight="1">
      <c r="A102" s="322"/>
      <c r="B102" s="327" t="s">
        <v>946</v>
      </c>
      <c r="C102" s="335" t="str">
        <f>IF(C100="","",IF(ISBLANK(C98),"",C100/C98))</f>
        <v>#REF!</v>
      </c>
      <c r="D102" s="321"/>
      <c r="E102" s="323"/>
      <c r="F102" s="326"/>
      <c r="G102" s="326"/>
      <c r="H102" s="404"/>
      <c r="I102" s="388"/>
      <c r="J102" s="322"/>
      <c r="K102" s="327" t="s">
        <v>946</v>
      </c>
      <c r="L102" s="335" t="str">
        <f>IF(L100="","",IF(ISBLANK(L98),"",L100/L98))</f>
        <v>#REF!</v>
      </c>
      <c r="M102" s="321"/>
      <c r="N102" s="323"/>
      <c r="O102" s="326"/>
    </row>
    <row r="103" ht="12.75" customHeight="1">
      <c r="A103" s="322"/>
      <c r="B103" s="327"/>
      <c r="C103" s="334"/>
      <c r="D103" s="334"/>
      <c r="E103" s="323"/>
      <c r="F103" s="326"/>
      <c r="G103" s="326"/>
      <c r="H103" s="404"/>
      <c r="I103" s="388"/>
      <c r="J103" s="322"/>
      <c r="K103" s="327"/>
      <c r="L103" s="334"/>
      <c r="M103" s="334"/>
      <c r="N103" s="323"/>
      <c r="O103" s="326"/>
    </row>
    <row r="104" ht="12.75" customHeight="1">
      <c r="A104" s="322"/>
      <c r="B104" s="327" t="s">
        <v>950</v>
      </c>
      <c r="C104" s="333" t="str">
        <f>C98-C100</f>
        <v>#REF!</v>
      </c>
      <c r="D104" s="321"/>
      <c r="E104" s="323"/>
      <c r="F104" s="326"/>
      <c r="G104" s="326"/>
      <c r="H104" s="404"/>
      <c r="I104" s="388"/>
      <c r="J104" s="322"/>
      <c r="K104" s="327" t="s">
        <v>950</v>
      </c>
      <c r="L104" s="333" t="str">
        <f>L98-L100</f>
        <v>#REF!</v>
      </c>
      <c r="M104" s="321"/>
      <c r="N104" s="323"/>
      <c r="O104" s="326"/>
    </row>
    <row r="105" ht="12.75" customHeight="1">
      <c r="A105" s="322"/>
      <c r="B105" s="322"/>
      <c r="C105" s="322"/>
      <c r="D105" s="322"/>
      <c r="E105" s="323"/>
      <c r="F105" s="324"/>
      <c r="G105" s="324"/>
      <c r="H105" s="404"/>
      <c r="I105" s="388"/>
      <c r="J105" s="322"/>
      <c r="K105" s="322"/>
      <c r="L105" s="322"/>
      <c r="M105" s="322"/>
      <c r="N105" s="323"/>
      <c r="O105" s="324"/>
    </row>
    <row r="106" ht="12.75" customHeight="1">
      <c r="A106" s="322"/>
      <c r="B106" s="322"/>
      <c r="C106" s="322"/>
      <c r="D106" s="322"/>
      <c r="E106" s="337"/>
      <c r="F106" s="324"/>
      <c r="G106" s="324"/>
      <c r="H106" s="387"/>
      <c r="I106" s="388"/>
      <c r="J106" s="322"/>
      <c r="K106" s="322"/>
      <c r="L106" s="322"/>
      <c r="M106" s="322"/>
      <c r="N106" s="337"/>
      <c r="O106" s="324"/>
    </row>
    <row r="107" ht="12.75" customHeight="1">
      <c r="A107" s="322"/>
      <c r="B107" s="338" t="s">
        <v>951</v>
      </c>
      <c r="C107" s="339"/>
      <c r="D107" s="339"/>
      <c r="E107" s="339"/>
      <c r="F107" s="324"/>
      <c r="G107" s="324"/>
      <c r="H107" s="410"/>
      <c r="I107" s="388"/>
      <c r="J107" s="322"/>
      <c r="K107" s="338" t="s">
        <v>951</v>
      </c>
      <c r="L107" s="339"/>
      <c r="M107" s="339"/>
      <c r="N107" s="339"/>
      <c r="O107" s="324"/>
    </row>
    <row r="108" ht="12.75" customHeight="1">
      <c r="A108" s="322"/>
      <c r="B108" s="340" t="s">
        <v>953</v>
      </c>
      <c r="C108" s="341" t="s">
        <v>954</v>
      </c>
      <c r="D108" s="341" t="s">
        <v>955</v>
      </c>
      <c r="E108" s="341" t="s">
        <v>35</v>
      </c>
      <c r="F108" s="324"/>
      <c r="G108" s="324"/>
      <c r="H108" s="387"/>
      <c r="I108" s="388"/>
      <c r="J108" s="322"/>
      <c r="K108" s="340" t="s">
        <v>953</v>
      </c>
      <c r="L108" s="341" t="s">
        <v>954</v>
      </c>
      <c r="M108" s="341" t="s">
        <v>955</v>
      </c>
      <c r="N108" s="341" t="s">
        <v>35</v>
      </c>
      <c r="O108" s="324"/>
    </row>
    <row r="109" ht="12.75" customHeight="1">
      <c r="A109" s="322"/>
      <c r="B109" s="75" t="s">
        <v>1015</v>
      </c>
      <c r="C109" s="346">
        <v>1.0</v>
      </c>
      <c r="D109" s="371">
        <f>'F&amp;B'!$F$10/6</f>
        <v>5716.333333</v>
      </c>
      <c r="E109" s="67">
        <f t="shared" ref="E109:E111" si="14">IF(OR(ISBLANK(C109),ISBLANK(D109)),"",D109*C109)</f>
        <v>5716.333333</v>
      </c>
      <c r="F109" s="324"/>
      <c r="G109" s="324"/>
      <c r="H109" s="387"/>
      <c r="I109" s="388"/>
      <c r="J109" s="322"/>
      <c r="K109" s="60" t="s">
        <v>1360</v>
      </c>
      <c r="L109" s="342">
        <v>1.0</v>
      </c>
      <c r="M109" s="343">
        <f>'F&amp;B'!$F$72/7</f>
        <v>10961.53846</v>
      </c>
      <c r="N109" s="67">
        <f t="shared" ref="N109:N111" si="15">IF(OR(ISBLANK(L109),ISBLANK(M109)),"",M109*L109)</f>
        <v>10961.53846</v>
      </c>
      <c r="O109" s="324"/>
    </row>
    <row r="110" ht="12.75" customHeight="1">
      <c r="A110" s="322"/>
      <c r="B110" s="75" t="s">
        <v>1391</v>
      </c>
      <c r="C110" s="346">
        <v>0.18</v>
      </c>
      <c r="D110" s="343">
        <f>$M$19</f>
        <v>81000</v>
      </c>
      <c r="E110" s="67">
        <f t="shared" si="14"/>
        <v>14580</v>
      </c>
      <c r="F110" s="324"/>
      <c r="G110" s="324"/>
      <c r="H110" s="387"/>
      <c r="I110" s="388"/>
      <c r="J110" s="322"/>
      <c r="K110" s="75" t="s">
        <v>1015</v>
      </c>
      <c r="L110" s="346">
        <v>1.0</v>
      </c>
      <c r="M110" s="371">
        <f>'F&amp;B'!$F$10/6</f>
        <v>5716.333333</v>
      </c>
      <c r="N110" s="67">
        <f t="shared" si="15"/>
        <v>5716.333333</v>
      </c>
      <c r="O110" s="324"/>
    </row>
    <row r="111" ht="12.75" customHeight="1">
      <c r="A111" s="322"/>
      <c r="B111" s="493" t="s">
        <v>1383</v>
      </c>
      <c r="C111" s="355">
        <v>0.16</v>
      </c>
      <c r="D111" s="343">
        <f>$M$65</f>
        <v>76500</v>
      </c>
      <c r="E111" s="67">
        <f t="shared" si="14"/>
        <v>12240</v>
      </c>
      <c r="F111" s="324"/>
      <c r="G111" s="324"/>
      <c r="H111" s="387"/>
      <c r="I111" s="388"/>
      <c r="J111" s="322"/>
      <c r="K111" s="87" t="s">
        <v>850</v>
      </c>
      <c r="L111" s="412">
        <v>0.15</v>
      </c>
      <c r="M111" s="400">
        <f>'F&amp;B'!$F$98</f>
        <v>76500</v>
      </c>
      <c r="N111" s="67">
        <f t="shared" si="15"/>
        <v>11475</v>
      </c>
      <c r="O111" s="324"/>
    </row>
    <row r="112" ht="12.75" customHeight="1">
      <c r="A112" s="322"/>
      <c r="B112" s="338" t="s">
        <v>84</v>
      </c>
      <c r="C112" s="358"/>
      <c r="D112" s="358"/>
      <c r="E112" s="359">
        <f>IF(SUM(E109:E111)=0,"",SUM(E109:E111))</f>
        <v>32536.33333</v>
      </c>
      <c r="F112" s="324"/>
      <c r="G112" s="324"/>
      <c r="H112" s="387"/>
      <c r="I112" s="388"/>
      <c r="J112" s="322"/>
      <c r="K112" s="338" t="s">
        <v>84</v>
      </c>
      <c r="L112" s="358"/>
      <c r="M112" s="358"/>
      <c r="N112" s="359">
        <f>IF(SUM(N109:N111)=0,"",SUM(N109:N111))</f>
        <v>28152.87179</v>
      </c>
      <c r="O112" s="324"/>
    </row>
    <row r="113" ht="12.75" customHeight="1">
      <c r="A113" s="322"/>
      <c r="B113" s="360"/>
      <c r="C113" s="360"/>
      <c r="D113" s="360"/>
      <c r="E113" s="361"/>
      <c r="F113" s="324"/>
      <c r="G113" s="324"/>
      <c r="H113" s="387"/>
      <c r="I113" s="388"/>
      <c r="J113" s="322"/>
      <c r="K113" s="360"/>
      <c r="L113" s="360"/>
      <c r="M113" s="360"/>
      <c r="N113" s="361"/>
      <c r="O113" s="324"/>
    </row>
    <row r="114" ht="12.75" customHeight="1">
      <c r="A114" s="322"/>
      <c r="B114" s="362" t="s">
        <v>972</v>
      </c>
      <c r="C114" s="363"/>
      <c r="D114" s="363"/>
      <c r="E114" s="363"/>
      <c r="F114" s="324"/>
      <c r="G114" s="324"/>
      <c r="H114" s="387"/>
      <c r="I114" s="388"/>
      <c r="J114" s="322"/>
      <c r="K114" s="362" t="s">
        <v>972</v>
      </c>
      <c r="L114" s="363"/>
      <c r="M114" s="363"/>
      <c r="N114" s="363"/>
      <c r="O114" s="324"/>
    </row>
    <row r="115" ht="12.75" customHeight="1">
      <c r="A115" s="322"/>
      <c r="B115" s="365" t="s">
        <v>953</v>
      </c>
      <c r="C115" s="366" t="s">
        <v>3</v>
      </c>
      <c r="D115" s="366" t="s">
        <v>975</v>
      </c>
      <c r="E115" s="367" t="s">
        <v>35</v>
      </c>
      <c r="F115" s="324"/>
      <c r="G115" s="324"/>
      <c r="H115" s="387"/>
      <c r="I115" s="388"/>
      <c r="J115" s="322"/>
      <c r="K115" s="365" t="s">
        <v>953</v>
      </c>
      <c r="L115" s="366" t="s">
        <v>3</v>
      </c>
      <c r="M115" s="366" t="s">
        <v>975</v>
      </c>
      <c r="N115" s="367" t="s">
        <v>35</v>
      </c>
      <c r="O115" s="324"/>
    </row>
    <row r="116" ht="12.75" customHeight="1">
      <c r="A116" s="322"/>
      <c r="B116" s="368"/>
      <c r="C116" s="366"/>
      <c r="D116" s="366"/>
      <c r="E116" s="368"/>
      <c r="F116" s="324"/>
      <c r="G116" s="324"/>
      <c r="H116" s="387"/>
      <c r="I116" s="388"/>
      <c r="J116" s="322"/>
      <c r="K116" s="368"/>
      <c r="L116" s="366"/>
      <c r="M116" s="366"/>
      <c r="N116" s="368"/>
      <c r="O116" s="324"/>
    </row>
    <row r="117" ht="12.75" customHeight="1">
      <c r="A117" s="322"/>
      <c r="B117" s="60" t="s">
        <v>161</v>
      </c>
      <c r="C117" s="342">
        <v>0.015</v>
      </c>
      <c r="D117" s="343">
        <f>'F&amp;B'!F49/10</f>
        <v>13500</v>
      </c>
      <c r="E117" s="67">
        <f t="shared" ref="E117:E126" si="16">D117*C117</f>
        <v>202.5</v>
      </c>
      <c r="F117" s="324"/>
      <c r="G117" s="324"/>
      <c r="H117" s="387"/>
      <c r="I117" s="388"/>
      <c r="J117" s="322"/>
      <c r="K117" s="60" t="s">
        <v>105</v>
      </c>
      <c r="L117" s="342">
        <v>0.05</v>
      </c>
      <c r="M117" s="343">
        <f>D71</f>
        <v>26573.76131</v>
      </c>
      <c r="N117" s="67">
        <f t="shared" ref="N117:N123" si="17">M117*L117</f>
        <v>1328.688066</v>
      </c>
      <c r="O117" s="324"/>
    </row>
    <row r="118" ht="12.75" customHeight="1">
      <c r="A118" s="322"/>
      <c r="B118" s="75" t="s">
        <v>173</v>
      </c>
      <c r="C118" s="370">
        <v>0.06</v>
      </c>
      <c r="D118" s="371">
        <f>'F&amp;B'!$F$279</f>
        <v>7200</v>
      </c>
      <c r="E118" s="67">
        <f t="shared" si="16"/>
        <v>432</v>
      </c>
      <c r="F118" s="324"/>
      <c r="G118" s="324"/>
      <c r="H118" s="387"/>
      <c r="I118" s="388"/>
      <c r="J118" s="322"/>
      <c r="K118" s="75" t="s">
        <v>155</v>
      </c>
      <c r="L118" s="370">
        <v>1.0</v>
      </c>
      <c r="M118" s="371">
        <f t="shared" ref="M118:M119" si="18">D118</f>
        <v>7200</v>
      </c>
      <c r="N118" s="67">
        <f t="shared" si="17"/>
        <v>7200</v>
      </c>
      <c r="O118" s="324"/>
    </row>
    <row r="119" ht="12.75" customHeight="1">
      <c r="A119" s="322"/>
      <c r="B119" s="75" t="s">
        <v>205</v>
      </c>
      <c r="C119" s="370">
        <v>1.0</v>
      </c>
      <c r="D119" s="371">
        <f>D73</f>
        <v>923.2488</v>
      </c>
      <c r="E119" s="67">
        <f t="shared" si="16"/>
        <v>923.2488</v>
      </c>
      <c r="F119" s="324"/>
      <c r="G119" s="324"/>
      <c r="H119" s="387"/>
      <c r="I119" s="388"/>
      <c r="J119" s="322"/>
      <c r="K119" s="75" t="s">
        <v>205</v>
      </c>
      <c r="L119" s="370">
        <v>1.0</v>
      </c>
      <c r="M119" s="371">
        <f t="shared" si="18"/>
        <v>923.2488</v>
      </c>
      <c r="N119" s="67">
        <f t="shared" si="17"/>
        <v>923.2488</v>
      </c>
      <c r="O119" s="324"/>
    </row>
    <row r="120" ht="12.75" customHeight="1">
      <c r="A120" s="322"/>
      <c r="B120" s="75" t="s">
        <v>934</v>
      </c>
      <c r="C120" s="342">
        <v>0.2</v>
      </c>
      <c r="D120" s="343">
        <f>'F&amp;B'!$F$68/10</f>
        <v>19665</v>
      </c>
      <c r="E120" s="67">
        <f t="shared" si="16"/>
        <v>3933</v>
      </c>
      <c r="F120" s="324"/>
      <c r="G120" s="324"/>
      <c r="H120" s="387"/>
      <c r="I120" s="388"/>
      <c r="J120" s="322"/>
      <c r="K120" s="75" t="s">
        <v>934</v>
      </c>
      <c r="L120" s="342">
        <v>0.2</v>
      </c>
      <c r="M120" s="343">
        <f>'F&amp;B'!$F$68/10</f>
        <v>19665</v>
      </c>
      <c r="N120" s="67">
        <f t="shared" si="17"/>
        <v>3933</v>
      </c>
      <c r="O120" s="324"/>
    </row>
    <row r="121" ht="12.75" customHeight="1">
      <c r="A121" s="322"/>
      <c r="B121" s="75" t="s">
        <v>720</v>
      </c>
      <c r="C121" s="370">
        <v>0.09</v>
      </c>
      <c r="D121" s="371">
        <f>SAUCES!$L$172</f>
        <v>37152</v>
      </c>
      <c r="E121" s="67">
        <f t="shared" si="16"/>
        <v>3343.68</v>
      </c>
      <c r="F121" s="324"/>
      <c r="G121" s="324"/>
      <c r="H121" s="387"/>
      <c r="I121" s="388"/>
      <c r="J121" s="322"/>
      <c r="K121" s="75" t="s">
        <v>1350</v>
      </c>
      <c r="L121" s="346">
        <v>0.0</v>
      </c>
      <c r="M121" s="371">
        <f>'F&amp;B'!$F$220/4.8</f>
        <v>26812.5</v>
      </c>
      <c r="N121" s="67">
        <f t="shared" si="17"/>
        <v>0</v>
      </c>
      <c r="O121" s="324"/>
    </row>
    <row r="122" ht="12.75" customHeight="1">
      <c r="A122" s="322"/>
      <c r="B122" s="75" t="s">
        <v>1293</v>
      </c>
      <c r="C122" s="346">
        <v>0.03</v>
      </c>
      <c r="D122" s="371">
        <f>'F&amp;B'!$F$250/3.75</f>
        <v>29040</v>
      </c>
      <c r="E122" s="67">
        <f t="shared" si="16"/>
        <v>871.2</v>
      </c>
      <c r="F122" s="324"/>
      <c r="G122" s="324"/>
      <c r="H122" s="387"/>
      <c r="I122" s="388"/>
      <c r="J122" s="322"/>
      <c r="K122" s="75" t="s">
        <v>1000</v>
      </c>
      <c r="L122" s="370">
        <v>0.02</v>
      </c>
      <c r="M122" s="371">
        <f>'F&amp;B'!$F$277</f>
        <v>13500</v>
      </c>
      <c r="N122" s="67">
        <f t="shared" si="17"/>
        <v>270</v>
      </c>
      <c r="O122" s="324"/>
    </row>
    <row r="123" ht="12.75" customHeight="1">
      <c r="A123" s="322"/>
      <c r="B123" s="348"/>
      <c r="C123" s="346"/>
      <c r="D123" s="373"/>
      <c r="E123" s="67">
        <f t="shared" si="16"/>
        <v>0</v>
      </c>
      <c r="F123" s="324"/>
      <c r="G123" s="324"/>
      <c r="H123" s="387"/>
      <c r="I123" s="388"/>
      <c r="J123" s="322"/>
      <c r="K123" s="75" t="s">
        <v>1041</v>
      </c>
      <c r="L123" s="370">
        <v>0.05</v>
      </c>
      <c r="M123" s="371">
        <f>D77</f>
        <v>26573.76131</v>
      </c>
      <c r="N123" s="67">
        <f t="shared" si="17"/>
        <v>1328.688066</v>
      </c>
      <c r="O123" s="324"/>
    </row>
    <row r="124" ht="12.75" customHeight="1">
      <c r="A124" s="322"/>
      <c r="B124" s="348"/>
      <c r="C124" s="346"/>
      <c r="D124" s="373"/>
      <c r="E124" s="67">
        <f t="shared" si="16"/>
        <v>0</v>
      </c>
      <c r="F124" s="324"/>
      <c r="G124" s="324"/>
      <c r="H124" s="387"/>
      <c r="I124" s="388"/>
      <c r="J124" s="322"/>
      <c r="K124" s="75" t="s">
        <v>1393</v>
      </c>
      <c r="L124" s="370">
        <v>0.03</v>
      </c>
      <c r="M124" s="371">
        <f>STARTERS!$E$249</f>
        <v>17867.52</v>
      </c>
      <c r="N124" s="67">
        <v>1500.0</v>
      </c>
      <c r="O124" s="324"/>
    </row>
    <row r="125" ht="12.75" customHeight="1">
      <c r="A125" s="322"/>
      <c r="B125" s="348"/>
      <c r="C125" s="346"/>
      <c r="D125" s="373"/>
      <c r="E125" s="67">
        <f t="shared" si="16"/>
        <v>0</v>
      </c>
      <c r="F125" s="324"/>
      <c r="G125" s="324"/>
      <c r="H125" s="387"/>
      <c r="I125" s="388"/>
      <c r="J125" s="322"/>
      <c r="K125" s="75"/>
      <c r="L125" s="370"/>
      <c r="M125" s="373"/>
      <c r="N125" s="67">
        <f t="shared" ref="N125:N126" si="19">M125*L125</f>
        <v>0</v>
      </c>
      <c r="O125" s="324"/>
    </row>
    <row r="126" ht="12.75" customHeight="1">
      <c r="A126" s="322"/>
      <c r="B126" s="354"/>
      <c r="C126" s="355"/>
      <c r="D126" s="356"/>
      <c r="E126" s="67">
        <f t="shared" si="16"/>
        <v>0</v>
      </c>
      <c r="F126" s="324"/>
      <c r="G126" s="324"/>
      <c r="H126" s="387"/>
      <c r="I126" s="388"/>
      <c r="J126" s="322"/>
      <c r="K126" s="354"/>
      <c r="L126" s="355"/>
      <c r="M126" s="356"/>
      <c r="N126" s="67">
        <f t="shared" si="19"/>
        <v>0</v>
      </c>
      <c r="O126" s="324"/>
    </row>
    <row r="127" ht="12.75" customHeight="1">
      <c r="A127" s="322"/>
      <c r="B127" s="362" t="s">
        <v>84</v>
      </c>
      <c r="C127" s="374"/>
      <c r="D127" s="374"/>
      <c r="E127" s="375">
        <f>IF(SUM(E117:E126)=0,"",SUM(E117:E126))</f>
        <v>9705.6288</v>
      </c>
      <c r="F127" s="324"/>
      <c r="G127" s="324"/>
      <c r="H127" s="387"/>
      <c r="I127" s="388"/>
      <c r="J127" s="322"/>
      <c r="K127" s="362" t="s">
        <v>84</v>
      </c>
      <c r="L127" s="374"/>
      <c r="M127" s="374"/>
      <c r="N127" s="375">
        <f>IF(SUM(N117:N126)=0,"",SUM(N117:N126))</f>
        <v>16483.62493</v>
      </c>
      <c r="O127" s="324"/>
    </row>
    <row r="128" ht="12.75" customHeight="1">
      <c r="A128" s="322"/>
      <c r="B128" s="360"/>
      <c r="C128" s="360"/>
      <c r="D128" s="360"/>
      <c r="E128" s="361"/>
      <c r="F128" s="324"/>
      <c r="G128" s="324"/>
      <c r="H128" s="387"/>
      <c r="I128" s="388"/>
      <c r="J128" s="322"/>
      <c r="K128" s="360"/>
      <c r="L128" s="360"/>
      <c r="M128" s="360"/>
      <c r="N128" s="361"/>
      <c r="O128" s="324"/>
    </row>
    <row r="129" ht="12.75" customHeight="1">
      <c r="A129" s="322"/>
      <c r="B129" s="34" t="s">
        <v>17</v>
      </c>
      <c r="C129" s="35"/>
      <c r="D129" s="35"/>
      <c r="E129" s="35"/>
      <c r="F129" s="324"/>
      <c r="G129" s="324"/>
      <c r="H129" s="387"/>
      <c r="I129" s="388"/>
      <c r="J129" s="322"/>
      <c r="K129" s="34" t="s">
        <v>17</v>
      </c>
      <c r="L129" s="35"/>
      <c r="M129" s="35"/>
      <c r="N129" s="35"/>
      <c r="O129" s="324"/>
    </row>
    <row r="130" ht="12.75" customHeight="1">
      <c r="A130" s="322"/>
      <c r="B130" s="52" t="s">
        <v>42</v>
      </c>
      <c r="C130" s="54"/>
      <c r="D130" s="54"/>
      <c r="E130" s="56" t="s">
        <v>35</v>
      </c>
      <c r="F130" s="324"/>
      <c r="G130" s="324"/>
      <c r="H130" s="387"/>
      <c r="I130" s="388"/>
      <c r="J130" s="322"/>
      <c r="K130" s="52" t="s">
        <v>42</v>
      </c>
      <c r="L130" s="54"/>
      <c r="M130" s="54"/>
      <c r="N130" s="56" t="s">
        <v>35</v>
      </c>
      <c r="O130" s="324"/>
    </row>
    <row r="131" ht="12.75" customHeight="1">
      <c r="A131" s="322"/>
      <c r="B131" s="60" t="s">
        <v>40</v>
      </c>
      <c r="C131" s="343">
        <f>'UTL COST'!$B$3</f>
        <v>369000</v>
      </c>
      <c r="D131" s="379">
        <f>'UTL COST'!$C$3</f>
        <v>0.0075</v>
      </c>
      <c r="E131" s="67">
        <f>N41</f>
        <v>0</v>
      </c>
      <c r="F131" s="324"/>
      <c r="G131" s="324"/>
      <c r="H131" s="387"/>
      <c r="I131" s="388"/>
      <c r="J131" s="322"/>
      <c r="K131" s="60" t="s">
        <v>40</v>
      </c>
      <c r="L131" s="343">
        <f>'UTL COST'!$B$3</f>
        <v>369000</v>
      </c>
      <c r="M131" s="379">
        <f>'UTL COST'!$C$3</f>
        <v>0.0075</v>
      </c>
      <c r="N131" s="67">
        <f>N41</f>
        <v>0</v>
      </c>
      <c r="O131" s="324"/>
    </row>
    <row r="132" ht="12.75" customHeight="1">
      <c r="A132" s="322"/>
      <c r="B132" s="75" t="s">
        <v>51</v>
      </c>
      <c r="C132" s="371" t="str">
        <f>'UTL COST'!$B$4</f>
        <v>#REF!</v>
      </c>
      <c r="D132" s="382">
        <f>'UTL COST'!$C$4</f>
        <v>7000</v>
      </c>
      <c r="E132" s="76" t="str">
        <f>'UTL COST'!$D$4</f>
        <v>#REF!</v>
      </c>
      <c r="F132" s="324"/>
      <c r="G132" s="324"/>
      <c r="H132" s="387"/>
      <c r="I132" s="388"/>
      <c r="J132" s="322"/>
      <c r="K132" s="75" t="s">
        <v>51</v>
      </c>
      <c r="L132" s="371" t="str">
        <f>'UTL COST'!$B$4</f>
        <v>#REF!</v>
      </c>
      <c r="M132" s="382">
        <f>'UTL COST'!$C$4</f>
        <v>7000</v>
      </c>
      <c r="N132" s="76" t="str">
        <f>'UTL COST'!$D$4</f>
        <v>#REF!</v>
      </c>
      <c r="O132" s="324"/>
    </row>
    <row r="133" ht="12.75" customHeight="1">
      <c r="A133" s="322"/>
      <c r="B133" s="75" t="s">
        <v>59</v>
      </c>
      <c r="C133" s="371" t="str">
        <f>'UTL COST'!$B$5</f>
        <v>#REF!</v>
      </c>
      <c r="D133" s="382">
        <f>'UTL COST'!$C$5</f>
        <v>45000</v>
      </c>
      <c r="E133" s="76" t="str">
        <f>'UTL COST'!$D$5</f>
        <v>#REF!</v>
      </c>
      <c r="F133" s="324"/>
      <c r="G133" s="324"/>
      <c r="H133" s="387"/>
      <c r="I133" s="388"/>
      <c r="J133" s="322"/>
      <c r="K133" s="75" t="s">
        <v>59</v>
      </c>
      <c r="L133" s="371" t="str">
        <f>'UTL COST'!$B$5</f>
        <v>#REF!</v>
      </c>
      <c r="M133" s="382">
        <f>'UTL COST'!$C$5</f>
        <v>45000</v>
      </c>
      <c r="N133" s="76" t="str">
        <f>'UTL COST'!$D$5</f>
        <v>#REF!</v>
      </c>
      <c r="O133" s="324"/>
    </row>
    <row r="134" ht="12.75" customHeight="1">
      <c r="A134" s="322"/>
      <c r="B134" s="87" t="s">
        <v>78</v>
      </c>
      <c r="C134" s="371" t="str">
        <f>'UTL COST'!$B$6</f>
        <v>#REF!</v>
      </c>
      <c r="D134" s="383">
        <f>'UTL COST'!$C$6</f>
        <v>525</v>
      </c>
      <c r="E134" s="89">
        <v>0.1</v>
      </c>
      <c r="F134" s="324"/>
      <c r="G134" s="324"/>
      <c r="H134" s="387"/>
      <c r="I134" s="388"/>
      <c r="J134" s="322"/>
      <c r="K134" s="87" t="s">
        <v>78</v>
      </c>
      <c r="L134" s="371" t="str">
        <f>'UTL COST'!$B$6</f>
        <v>#REF!</v>
      </c>
      <c r="M134" s="383">
        <f>'UTL COST'!$C$6</f>
        <v>525</v>
      </c>
      <c r="N134" s="89">
        <v>0.1</v>
      </c>
      <c r="O134" s="324"/>
    </row>
    <row r="135" ht="12.75" customHeight="1">
      <c r="A135" s="322"/>
      <c r="B135" s="34" t="s">
        <v>84</v>
      </c>
      <c r="C135" s="102"/>
      <c r="D135" s="102"/>
      <c r="E135" s="104" t="str">
        <f>IF(SUM(E131:E134)=0,"",SUM(E131:E134))</f>
        <v>#REF!</v>
      </c>
      <c r="F135" s="324"/>
      <c r="G135" s="324"/>
      <c r="H135" s="387"/>
      <c r="I135" s="388"/>
      <c r="J135" s="322"/>
      <c r="K135" s="34" t="s">
        <v>84</v>
      </c>
      <c r="L135" s="102"/>
      <c r="M135" s="102"/>
      <c r="N135" s="104" t="str">
        <f>IF(SUM(N131:N134)=0,"",SUM(N131:N134))</f>
        <v>#REF!</v>
      </c>
      <c r="O135" s="324"/>
    </row>
    <row r="136" ht="12.75" customHeight="1">
      <c r="A136" s="322"/>
      <c r="B136" s="360"/>
      <c r="C136" s="360"/>
      <c r="D136" s="360"/>
      <c r="E136" s="361"/>
      <c r="F136" s="324"/>
      <c r="G136" s="324"/>
      <c r="H136" s="387"/>
      <c r="I136" s="388"/>
      <c r="J136" s="322"/>
      <c r="K136" s="360"/>
      <c r="L136" s="360"/>
      <c r="M136" s="360"/>
      <c r="N136" s="361"/>
      <c r="O136" s="324"/>
    </row>
    <row r="137" ht="12.75" customHeight="1">
      <c r="A137" s="387"/>
      <c r="B137" s="387"/>
      <c r="C137" s="387"/>
      <c r="D137" s="387"/>
      <c r="E137" s="418"/>
      <c r="F137" s="387"/>
      <c r="G137" s="387"/>
      <c r="H137" s="387"/>
      <c r="I137" s="387"/>
      <c r="J137" s="387"/>
      <c r="K137" s="387"/>
      <c r="L137" s="387"/>
      <c r="M137" s="387"/>
      <c r="N137" s="387"/>
      <c r="O137" s="387"/>
    </row>
    <row r="138" ht="12.75" customHeight="1">
      <c r="A138" s="387"/>
      <c r="B138" s="387"/>
      <c r="C138" s="387"/>
      <c r="D138" s="387"/>
      <c r="E138" s="418"/>
      <c r="F138" s="387"/>
      <c r="G138" s="387"/>
      <c r="H138" s="387"/>
      <c r="I138" s="387"/>
      <c r="J138" s="387"/>
      <c r="K138" s="387"/>
      <c r="L138" s="387"/>
      <c r="M138" s="387"/>
      <c r="N138" s="387"/>
      <c r="O138" s="387"/>
    </row>
    <row r="139" ht="12.75" customHeight="1">
      <c r="A139" s="387"/>
      <c r="B139" s="387"/>
      <c r="C139" s="387"/>
      <c r="D139" s="387"/>
      <c r="E139" s="418"/>
      <c r="F139" s="387"/>
      <c r="G139" s="387"/>
      <c r="H139" s="387"/>
      <c r="I139" s="387"/>
      <c r="J139" s="387"/>
      <c r="K139" s="387"/>
      <c r="L139" s="387"/>
      <c r="M139" s="387"/>
      <c r="N139" s="387"/>
      <c r="O139" s="387"/>
    </row>
    <row r="140" ht="12.75" customHeight="1">
      <c r="A140" s="322"/>
      <c r="B140" s="322"/>
      <c r="C140" s="322"/>
      <c r="D140" s="322"/>
      <c r="E140" s="323"/>
      <c r="F140" s="324"/>
      <c r="G140" s="324"/>
      <c r="H140" s="387"/>
      <c r="I140" s="388"/>
      <c r="J140" s="322"/>
      <c r="K140" s="322"/>
      <c r="L140" s="322"/>
      <c r="M140" s="322"/>
      <c r="N140" s="323"/>
      <c r="O140" s="324"/>
    </row>
    <row r="141" ht="12.75" customHeight="1">
      <c r="A141" s="322"/>
      <c r="B141" s="325"/>
      <c r="C141" s="322"/>
      <c r="D141" s="322"/>
      <c r="E141" s="323"/>
      <c r="F141" s="326"/>
      <c r="G141" s="326"/>
      <c r="H141" s="404"/>
      <c r="I141" s="388"/>
      <c r="J141" s="322"/>
      <c r="K141" s="325"/>
      <c r="L141" s="322"/>
      <c r="M141" s="322"/>
      <c r="N141" s="323"/>
      <c r="O141" s="326"/>
    </row>
    <row r="142" ht="12.75" customHeight="1">
      <c r="A142" s="322"/>
      <c r="B142" s="327" t="s">
        <v>931</v>
      </c>
      <c r="C142" s="328" t="s">
        <v>1397</v>
      </c>
      <c r="D142" s="329"/>
      <c r="E142" s="323"/>
      <c r="F142" s="326"/>
      <c r="G142" s="326"/>
      <c r="H142" s="404"/>
      <c r="I142" s="388"/>
      <c r="J142" s="322"/>
      <c r="K142" s="327" t="s">
        <v>931</v>
      </c>
      <c r="L142" s="328" t="s">
        <v>1398</v>
      </c>
      <c r="M142" s="329"/>
      <c r="N142" s="323"/>
      <c r="O142" s="326"/>
    </row>
    <row r="143" ht="12.75" customHeight="1">
      <c r="A143" s="322"/>
      <c r="B143" s="325"/>
      <c r="C143" s="322"/>
      <c r="D143" s="322"/>
      <c r="E143" s="323"/>
      <c r="F143" s="326"/>
      <c r="G143" s="326"/>
      <c r="H143" s="404"/>
      <c r="I143" s="388"/>
      <c r="J143" s="322"/>
      <c r="K143" s="325"/>
      <c r="L143" s="322"/>
      <c r="M143" s="322"/>
      <c r="N143" s="323"/>
      <c r="O143" s="326"/>
    </row>
    <row r="144" ht="12.75" customHeight="1">
      <c r="A144" s="322"/>
      <c r="B144" s="327" t="s">
        <v>935</v>
      </c>
      <c r="C144" s="331">
        <v>200000.0</v>
      </c>
      <c r="D144" s="329"/>
      <c r="E144" s="323"/>
      <c r="F144" s="326"/>
      <c r="G144" s="326"/>
      <c r="H144" s="404"/>
      <c r="I144" s="388"/>
      <c r="J144" s="322"/>
      <c r="K144" s="327" t="s">
        <v>935</v>
      </c>
      <c r="L144" s="331">
        <v>230000.0</v>
      </c>
      <c r="M144" s="329"/>
      <c r="N144" s="323"/>
      <c r="O144" s="326"/>
    </row>
    <row r="145" ht="12.75" customHeight="1">
      <c r="A145" s="322"/>
      <c r="B145" s="327"/>
      <c r="C145" s="332"/>
      <c r="D145" s="332"/>
      <c r="E145" s="323"/>
      <c r="F145" s="326"/>
      <c r="G145" s="326"/>
      <c r="H145" s="404"/>
      <c r="I145" s="388"/>
      <c r="J145" s="322"/>
      <c r="K145" s="327"/>
      <c r="L145" s="332"/>
      <c r="M145" s="332"/>
      <c r="N145" s="323"/>
      <c r="O145" s="326"/>
    </row>
    <row r="146" ht="12.75" customHeight="1">
      <c r="A146" s="322"/>
      <c r="B146" s="327" t="s">
        <v>939</v>
      </c>
      <c r="C146" s="333" t="str">
        <f>IF(SUM(E158,E173,E181)=0,"",SUM(E158,E173,E181))</f>
        <v>#REF!</v>
      </c>
      <c r="D146" s="321"/>
      <c r="E146" s="323"/>
      <c r="F146" s="326"/>
      <c r="G146" s="326"/>
      <c r="H146" s="404"/>
      <c r="I146" s="388"/>
      <c r="J146" s="322"/>
      <c r="K146" s="327" t="s">
        <v>939</v>
      </c>
      <c r="L146" s="492" t="str">
        <f>IF(SUM(N158,N173,N181)=0,"",SUM(N158,N173,N181))</f>
        <v>#REF!</v>
      </c>
      <c r="M146" s="492"/>
      <c r="N146" s="323"/>
      <c r="O146" s="326"/>
    </row>
    <row r="147" ht="12.75" customHeight="1">
      <c r="A147" s="322"/>
      <c r="B147" s="327"/>
      <c r="C147" s="334"/>
      <c r="D147" s="334"/>
      <c r="E147" s="323"/>
      <c r="F147" s="326"/>
      <c r="G147" s="326"/>
      <c r="H147" s="404"/>
      <c r="I147" s="388"/>
      <c r="J147" s="322"/>
      <c r="K147" s="327"/>
      <c r="L147" s="334"/>
      <c r="M147" s="334"/>
      <c r="N147" s="323"/>
      <c r="O147" s="326"/>
    </row>
    <row r="148" ht="12.75" customHeight="1">
      <c r="A148" s="322"/>
      <c r="B148" s="327" t="s">
        <v>946</v>
      </c>
      <c r="C148" s="335" t="str">
        <f>IF(C146="","",IF(ISBLANK(C144),"",C146/C144))</f>
        <v>#REF!</v>
      </c>
      <c r="D148" s="321"/>
      <c r="E148" s="323"/>
      <c r="F148" s="326"/>
      <c r="G148" s="326"/>
      <c r="H148" s="404"/>
      <c r="I148" s="388"/>
      <c r="J148" s="322"/>
      <c r="K148" s="327" t="s">
        <v>946</v>
      </c>
      <c r="L148" s="335" t="str">
        <f>IF(L146="","",IF(ISBLANK(L144),"",L146/L144))</f>
        <v>#REF!</v>
      </c>
      <c r="M148" s="321"/>
      <c r="N148" s="323"/>
      <c r="O148" s="326"/>
    </row>
    <row r="149" ht="12.75" customHeight="1">
      <c r="A149" s="322"/>
      <c r="B149" s="327"/>
      <c r="C149" s="334"/>
      <c r="D149" s="334"/>
      <c r="E149" s="323"/>
      <c r="F149" s="326"/>
      <c r="G149" s="326"/>
      <c r="H149" s="404"/>
      <c r="I149" s="388"/>
      <c r="J149" s="322"/>
      <c r="K149" s="327"/>
      <c r="L149" s="334"/>
      <c r="M149" s="334"/>
      <c r="N149" s="323"/>
      <c r="O149" s="326"/>
    </row>
    <row r="150" ht="12.75" customHeight="1">
      <c r="A150" s="322"/>
      <c r="B150" s="327" t="s">
        <v>950</v>
      </c>
      <c r="C150" s="333" t="str">
        <f>C144-C146</f>
        <v>#REF!</v>
      </c>
      <c r="D150" s="321"/>
      <c r="E150" s="323"/>
      <c r="F150" s="326"/>
      <c r="G150" s="326"/>
      <c r="H150" s="404"/>
      <c r="I150" s="388"/>
      <c r="J150" s="322"/>
      <c r="K150" s="327" t="s">
        <v>950</v>
      </c>
      <c r="L150" s="333" t="str">
        <f>L144-L146</f>
        <v>#REF!</v>
      </c>
      <c r="M150" s="321"/>
      <c r="N150" s="323"/>
      <c r="O150" s="326"/>
    </row>
    <row r="151" ht="12.75" customHeight="1">
      <c r="A151" s="322"/>
      <c r="B151" s="322"/>
      <c r="C151" s="322"/>
      <c r="D151" s="322"/>
      <c r="E151" s="323"/>
      <c r="F151" s="324"/>
      <c r="G151" s="324"/>
      <c r="H151" s="404"/>
      <c r="I151" s="388"/>
      <c r="J151" s="322"/>
      <c r="K151" s="322"/>
      <c r="L151" s="322"/>
      <c r="M151" s="322"/>
      <c r="N151" s="323"/>
      <c r="O151" s="324"/>
    </row>
    <row r="152" ht="12.75" customHeight="1">
      <c r="A152" s="322"/>
      <c r="B152" s="322"/>
      <c r="C152" s="322"/>
      <c r="D152" s="322"/>
      <c r="E152" s="337"/>
      <c r="F152" s="324"/>
      <c r="G152" s="324"/>
      <c r="H152" s="387"/>
      <c r="I152" s="388"/>
      <c r="J152" s="322"/>
      <c r="K152" s="322"/>
      <c r="L152" s="322"/>
      <c r="M152" s="322"/>
      <c r="N152" s="337"/>
      <c r="O152" s="324"/>
    </row>
    <row r="153" ht="12.75" customHeight="1">
      <c r="A153" s="322"/>
      <c r="B153" s="338" t="s">
        <v>951</v>
      </c>
      <c r="C153" s="339"/>
      <c r="D153" s="339"/>
      <c r="E153" s="339"/>
      <c r="F153" s="324"/>
      <c r="G153" s="324"/>
      <c r="H153" s="410"/>
      <c r="I153" s="388"/>
      <c r="J153" s="322"/>
      <c r="K153" s="338" t="s">
        <v>951</v>
      </c>
      <c r="L153" s="339"/>
      <c r="M153" s="339"/>
      <c r="N153" s="339"/>
      <c r="O153" s="324"/>
    </row>
    <row r="154" ht="12.75" customHeight="1">
      <c r="A154" s="322"/>
      <c r="B154" s="340" t="s">
        <v>953</v>
      </c>
      <c r="C154" s="341" t="s">
        <v>954</v>
      </c>
      <c r="D154" s="341" t="s">
        <v>955</v>
      </c>
      <c r="E154" s="341" t="s">
        <v>35</v>
      </c>
      <c r="F154" s="324"/>
      <c r="G154" s="324"/>
      <c r="H154" s="387"/>
      <c r="I154" s="388"/>
      <c r="J154" s="322"/>
      <c r="K154" s="340" t="s">
        <v>953</v>
      </c>
      <c r="L154" s="341" t="s">
        <v>954</v>
      </c>
      <c r="M154" s="341" t="s">
        <v>955</v>
      </c>
      <c r="N154" s="341" t="s">
        <v>35</v>
      </c>
      <c r="O154" s="324"/>
    </row>
    <row r="155" ht="12.75" customHeight="1">
      <c r="A155" s="322"/>
      <c r="B155" s="60" t="s">
        <v>1360</v>
      </c>
      <c r="C155" s="342">
        <v>1.0</v>
      </c>
      <c r="D155" s="343">
        <f>'F&amp;B'!$F$72/7</f>
        <v>10961.53846</v>
      </c>
      <c r="E155" s="67">
        <f t="shared" ref="E155:E157" si="20">IF(OR(ISBLANK(C155),ISBLANK(D155)),"",D155*C155)</f>
        <v>10961.53846</v>
      </c>
      <c r="F155" s="324"/>
      <c r="G155" s="324"/>
      <c r="H155" s="387"/>
      <c r="I155" s="388"/>
      <c r="J155" s="322"/>
      <c r="K155" s="60" t="s">
        <v>1360</v>
      </c>
      <c r="L155" s="342">
        <v>1.0</v>
      </c>
      <c r="M155" s="343">
        <f>'F&amp;B'!$F$72/7</f>
        <v>10961.53846</v>
      </c>
      <c r="N155" s="67">
        <f t="shared" ref="N155:N157" si="21">IF(OR(ISBLANK(L155),ISBLANK(M155)),"",M155*L155)</f>
        <v>10961.53846</v>
      </c>
      <c r="O155" s="324"/>
    </row>
    <row r="156" ht="12.75" customHeight="1">
      <c r="A156" s="322"/>
      <c r="B156" s="75" t="s">
        <v>1015</v>
      </c>
      <c r="C156" s="346">
        <v>1.0</v>
      </c>
      <c r="D156" s="371">
        <f>'F&amp;B'!$F$10/6</f>
        <v>5716.333333</v>
      </c>
      <c r="E156" s="67">
        <f t="shared" si="20"/>
        <v>5716.333333</v>
      </c>
      <c r="F156" s="324"/>
      <c r="G156" s="324"/>
      <c r="H156" s="387"/>
      <c r="I156" s="388"/>
      <c r="J156" s="322"/>
      <c r="K156" s="75" t="s">
        <v>1015</v>
      </c>
      <c r="L156" s="346">
        <v>1.0</v>
      </c>
      <c r="M156" s="371">
        <f>'F&amp;B'!$F$10/6</f>
        <v>5716.333333</v>
      </c>
      <c r="N156" s="67">
        <f t="shared" si="21"/>
        <v>5716.333333</v>
      </c>
      <c r="O156" s="324"/>
    </row>
    <row r="157" ht="12.75" customHeight="1">
      <c r="A157" s="322"/>
      <c r="B157" s="87" t="s">
        <v>353</v>
      </c>
      <c r="C157" s="355">
        <v>0.04</v>
      </c>
      <c r="D157" s="371">
        <f>SAUCES!$L$76</f>
        <v>110326.5</v>
      </c>
      <c r="E157" s="67">
        <f t="shared" si="20"/>
        <v>4413.06</v>
      </c>
      <c r="F157" s="324"/>
      <c r="G157" s="324"/>
      <c r="H157" s="387"/>
      <c r="I157" s="388"/>
      <c r="J157" s="322"/>
      <c r="K157" s="87" t="s">
        <v>1383</v>
      </c>
      <c r="L157" s="412">
        <v>0.18</v>
      </c>
      <c r="M157" s="400">
        <f>$D$111</f>
        <v>76500</v>
      </c>
      <c r="N157" s="67">
        <f t="shared" si="21"/>
        <v>13770</v>
      </c>
      <c r="O157" s="324"/>
    </row>
    <row r="158" ht="12.75" customHeight="1">
      <c r="A158" s="322"/>
      <c r="B158" s="338" t="s">
        <v>84</v>
      </c>
      <c r="C158" s="358"/>
      <c r="D158" s="358"/>
      <c r="E158" s="359">
        <f>IF(SUM(E155:E157)=0,"",SUM(E155:E157))</f>
        <v>21090.93179</v>
      </c>
      <c r="F158" s="324"/>
      <c r="G158" s="324"/>
      <c r="H158" s="387"/>
      <c r="I158" s="388"/>
      <c r="J158" s="322"/>
      <c r="K158" s="338" t="s">
        <v>84</v>
      </c>
      <c r="L158" s="358"/>
      <c r="M158" s="358"/>
      <c r="N158" s="359">
        <f>IF(SUM(N155:N157)=0,"",SUM(N155:N157))</f>
        <v>30447.87179</v>
      </c>
      <c r="O158" s="324"/>
    </row>
    <row r="159" ht="12.75" customHeight="1">
      <c r="A159" s="322"/>
      <c r="B159" s="360"/>
      <c r="C159" s="360"/>
      <c r="D159" s="360"/>
      <c r="E159" s="361"/>
      <c r="F159" s="324"/>
      <c r="G159" s="324"/>
      <c r="H159" s="387"/>
      <c r="I159" s="388"/>
      <c r="J159" s="322"/>
      <c r="K159" s="360"/>
      <c r="L159" s="360"/>
      <c r="M159" s="360"/>
      <c r="N159" s="361"/>
      <c r="O159" s="324"/>
    </row>
    <row r="160" ht="12.75" customHeight="1">
      <c r="A160" s="322"/>
      <c r="B160" s="362" t="s">
        <v>972</v>
      </c>
      <c r="C160" s="363"/>
      <c r="D160" s="363"/>
      <c r="E160" s="363"/>
      <c r="F160" s="324"/>
      <c r="G160" s="324"/>
      <c r="H160" s="387"/>
      <c r="I160" s="388"/>
      <c r="J160" s="322"/>
      <c r="K160" s="362" t="s">
        <v>972</v>
      </c>
      <c r="L160" s="363"/>
      <c r="M160" s="363"/>
      <c r="N160" s="363"/>
      <c r="O160" s="324"/>
    </row>
    <row r="161" ht="12.75" customHeight="1">
      <c r="A161" s="322"/>
      <c r="B161" s="365" t="s">
        <v>953</v>
      </c>
      <c r="C161" s="366" t="s">
        <v>3</v>
      </c>
      <c r="D161" s="366" t="s">
        <v>975</v>
      </c>
      <c r="E161" s="367" t="s">
        <v>35</v>
      </c>
      <c r="F161" s="324"/>
      <c r="G161" s="324"/>
      <c r="H161" s="387"/>
      <c r="I161" s="388"/>
      <c r="J161" s="322"/>
      <c r="K161" s="365" t="s">
        <v>953</v>
      </c>
      <c r="L161" s="366" t="s">
        <v>3</v>
      </c>
      <c r="M161" s="366" t="s">
        <v>975</v>
      </c>
      <c r="N161" s="367" t="s">
        <v>35</v>
      </c>
      <c r="O161" s="324"/>
    </row>
    <row r="162" ht="12.75" customHeight="1">
      <c r="A162" s="322"/>
      <c r="B162" s="368"/>
      <c r="C162" s="366"/>
      <c r="D162" s="366"/>
      <c r="E162" s="368"/>
      <c r="F162" s="324"/>
      <c r="G162" s="324"/>
      <c r="H162" s="387"/>
      <c r="I162" s="388"/>
      <c r="J162" s="322"/>
      <c r="K162" s="368"/>
      <c r="L162" s="366"/>
      <c r="M162" s="366"/>
      <c r="N162" s="368"/>
      <c r="O162" s="324"/>
    </row>
    <row r="163" ht="12.75" customHeight="1">
      <c r="A163" s="322"/>
      <c r="B163" s="60" t="s">
        <v>1403</v>
      </c>
      <c r="C163" s="342">
        <v>0.04</v>
      </c>
      <c r="D163" s="343">
        <f>'F&amp;B'!F277</f>
        <v>13500</v>
      </c>
      <c r="E163" s="67">
        <f t="shared" ref="E163:E172" si="22">D163*C163</f>
        <v>540</v>
      </c>
      <c r="F163" s="324"/>
      <c r="G163" s="324"/>
      <c r="H163" s="387"/>
      <c r="I163" s="388"/>
      <c r="J163" s="322"/>
      <c r="K163" s="60" t="s">
        <v>1016</v>
      </c>
      <c r="L163" s="342">
        <v>0.0</v>
      </c>
      <c r="M163" s="343">
        <f>SAUCES!L60</f>
        <v>19698.44963</v>
      </c>
      <c r="N163" s="67">
        <f t="shared" ref="N163:N169" si="23">M163*L163</f>
        <v>0</v>
      </c>
      <c r="O163" s="324"/>
    </row>
    <row r="164" ht="12.75" customHeight="1">
      <c r="A164" s="322"/>
      <c r="B164" s="75" t="s">
        <v>1185</v>
      </c>
      <c r="C164" s="370">
        <v>0.03</v>
      </c>
      <c r="D164" s="371">
        <f>'F&amp;B'!F85</f>
        <v>129150</v>
      </c>
      <c r="E164" s="67">
        <f t="shared" si="22"/>
        <v>3874.5</v>
      </c>
      <c r="F164" s="324"/>
      <c r="G164" s="324"/>
      <c r="H164" s="387"/>
      <c r="I164" s="388"/>
      <c r="J164" s="322"/>
      <c r="K164" s="75" t="s">
        <v>1000</v>
      </c>
      <c r="L164" s="370">
        <v>0.04</v>
      </c>
      <c r="M164" s="371">
        <f>D163</f>
        <v>13500</v>
      </c>
      <c r="N164" s="67">
        <f t="shared" si="23"/>
        <v>540</v>
      </c>
      <c r="O164" s="324"/>
    </row>
    <row r="165" ht="12.75" customHeight="1">
      <c r="A165" s="322"/>
      <c r="B165" s="75" t="s">
        <v>205</v>
      </c>
      <c r="C165" s="370">
        <v>1.0</v>
      </c>
      <c r="D165" s="371">
        <f>D119</f>
        <v>923.2488</v>
      </c>
      <c r="E165" s="67">
        <f t="shared" si="22"/>
        <v>923.2488</v>
      </c>
      <c r="F165" s="324"/>
      <c r="G165" s="324"/>
      <c r="H165" s="387"/>
      <c r="I165" s="388"/>
      <c r="J165" s="322"/>
      <c r="K165" s="75" t="s">
        <v>205</v>
      </c>
      <c r="L165" s="370">
        <v>1.0</v>
      </c>
      <c r="M165" s="371">
        <f>D165</f>
        <v>923.2488</v>
      </c>
      <c r="N165" s="67">
        <f t="shared" si="23"/>
        <v>923.2488</v>
      </c>
      <c r="O165" s="324"/>
    </row>
    <row r="166" ht="12.75" customHeight="1">
      <c r="A166" s="322"/>
      <c r="B166" s="75" t="s">
        <v>934</v>
      </c>
      <c r="C166" s="342">
        <v>0.2</v>
      </c>
      <c r="D166" s="343">
        <f>'F&amp;B'!$F$68/10</f>
        <v>19665</v>
      </c>
      <c r="E166" s="67">
        <f t="shared" si="22"/>
        <v>3933</v>
      </c>
      <c r="F166" s="324"/>
      <c r="G166" s="324"/>
      <c r="H166" s="387"/>
      <c r="I166" s="388"/>
      <c r="J166" s="322"/>
      <c r="K166" s="75" t="s">
        <v>934</v>
      </c>
      <c r="L166" s="342">
        <v>0.2</v>
      </c>
      <c r="M166" s="343">
        <f>'F&amp;B'!$F$68/10</f>
        <v>19665</v>
      </c>
      <c r="N166" s="67">
        <f t="shared" si="23"/>
        <v>3933</v>
      </c>
      <c r="O166" s="324"/>
    </row>
    <row r="167" ht="12.75" customHeight="1">
      <c r="A167" s="322"/>
      <c r="B167" s="75" t="s">
        <v>173</v>
      </c>
      <c r="C167" s="346">
        <v>0.06</v>
      </c>
      <c r="D167" s="371">
        <f>'F&amp;B'!F279</f>
        <v>7200</v>
      </c>
      <c r="E167" s="67">
        <f t="shared" si="22"/>
        <v>432</v>
      </c>
      <c r="F167" s="324"/>
      <c r="G167" s="324"/>
      <c r="H167" s="387"/>
      <c r="I167" s="388"/>
      <c r="J167" s="322"/>
      <c r="K167" s="75" t="s">
        <v>1048</v>
      </c>
      <c r="L167" s="346">
        <v>0.045</v>
      </c>
      <c r="M167" s="371">
        <f>'F&amp;B'!$F$246/3.75</f>
        <v>56760</v>
      </c>
      <c r="N167" s="67">
        <f t="shared" si="23"/>
        <v>2554.2</v>
      </c>
      <c r="O167" s="324"/>
    </row>
    <row r="168" ht="12.75" customHeight="1">
      <c r="A168" s="322"/>
      <c r="B168" s="75" t="s">
        <v>161</v>
      </c>
      <c r="C168" s="346">
        <v>0.07</v>
      </c>
      <c r="D168" s="371">
        <f>'F&amp;B'!F49/10</f>
        <v>13500</v>
      </c>
      <c r="E168" s="67">
        <f t="shared" si="22"/>
        <v>945</v>
      </c>
      <c r="F168" s="324"/>
      <c r="G168" s="324"/>
      <c r="H168" s="387"/>
      <c r="I168" s="388"/>
      <c r="J168" s="322"/>
      <c r="K168" s="75" t="s">
        <v>1406</v>
      </c>
      <c r="L168" s="346">
        <v>0.06</v>
      </c>
      <c r="M168" s="371">
        <f>$D$27</f>
        <v>26573.76131</v>
      </c>
      <c r="N168" s="67">
        <f t="shared" si="23"/>
        <v>1594.425679</v>
      </c>
      <c r="O168" s="324"/>
    </row>
    <row r="169" ht="12.75" customHeight="1">
      <c r="A169" s="322"/>
      <c r="B169" s="348"/>
      <c r="C169" s="346"/>
      <c r="D169" s="373"/>
      <c r="E169" s="67">
        <f t="shared" si="22"/>
        <v>0</v>
      </c>
      <c r="F169" s="324"/>
      <c r="G169" s="324"/>
      <c r="H169" s="387"/>
      <c r="I169" s="388"/>
      <c r="J169" s="322"/>
      <c r="K169" s="75"/>
      <c r="L169" s="346"/>
      <c r="M169" s="371"/>
      <c r="N169" s="67">
        <f t="shared" si="23"/>
        <v>0</v>
      </c>
      <c r="O169" s="324"/>
    </row>
    <row r="170" ht="12.75" customHeight="1">
      <c r="A170" s="322"/>
      <c r="B170" s="348"/>
      <c r="C170" s="346"/>
      <c r="D170" s="373"/>
      <c r="E170" s="67">
        <f t="shared" si="22"/>
        <v>0</v>
      </c>
      <c r="F170" s="324"/>
      <c r="G170" s="324"/>
      <c r="H170" s="387"/>
      <c r="I170" s="388"/>
      <c r="J170" s="322"/>
      <c r="K170" s="348"/>
      <c r="L170" s="346"/>
      <c r="M170" s="371"/>
      <c r="N170" s="67">
        <v>1500.0</v>
      </c>
      <c r="O170" s="324"/>
    </row>
    <row r="171" ht="12.75" customHeight="1">
      <c r="A171" s="322"/>
      <c r="B171" s="348"/>
      <c r="C171" s="346"/>
      <c r="D171" s="373"/>
      <c r="E171" s="67">
        <f t="shared" si="22"/>
        <v>0</v>
      </c>
      <c r="F171" s="324"/>
      <c r="G171" s="324"/>
      <c r="H171" s="387"/>
      <c r="I171" s="388"/>
      <c r="J171" s="322"/>
      <c r="K171" s="348"/>
      <c r="L171" s="346"/>
      <c r="M171" s="373"/>
      <c r="N171" s="67">
        <f t="shared" ref="N171:N172" si="24">M171*L171</f>
        <v>0</v>
      </c>
      <c r="O171" s="324"/>
    </row>
    <row r="172" ht="12.75" customHeight="1">
      <c r="A172" s="322"/>
      <c r="B172" s="354"/>
      <c r="C172" s="355"/>
      <c r="D172" s="356"/>
      <c r="E172" s="67">
        <f t="shared" si="22"/>
        <v>0</v>
      </c>
      <c r="F172" s="324"/>
      <c r="G172" s="324"/>
      <c r="H172" s="387"/>
      <c r="I172" s="388"/>
      <c r="J172" s="322"/>
      <c r="K172" s="354"/>
      <c r="L172" s="355"/>
      <c r="M172" s="356"/>
      <c r="N172" s="67">
        <f t="shared" si="24"/>
        <v>0</v>
      </c>
      <c r="O172" s="324"/>
    </row>
    <row r="173" ht="12.75" customHeight="1">
      <c r="A173" s="322"/>
      <c r="B173" s="362" t="s">
        <v>84</v>
      </c>
      <c r="C173" s="374"/>
      <c r="D173" s="374"/>
      <c r="E173" s="375">
        <f>IF(SUM(E163:E172)=0,"",SUM(E163:E172))</f>
        <v>10647.7488</v>
      </c>
      <c r="F173" s="324"/>
      <c r="G173" s="324"/>
      <c r="H173" s="387"/>
      <c r="I173" s="388"/>
      <c r="J173" s="322"/>
      <c r="K173" s="362" t="s">
        <v>84</v>
      </c>
      <c r="L173" s="374"/>
      <c r="M173" s="374"/>
      <c r="N173" s="375">
        <f>IF(SUM(N163:N172)=0,"",SUM(N163:N172))</f>
        <v>11044.87448</v>
      </c>
      <c r="O173" s="324"/>
    </row>
    <row r="174" ht="12.75" customHeight="1">
      <c r="A174" s="322"/>
      <c r="B174" s="360"/>
      <c r="C174" s="360"/>
      <c r="D174" s="360"/>
      <c r="E174" s="361"/>
      <c r="F174" s="324"/>
      <c r="G174" s="324"/>
      <c r="H174" s="387"/>
      <c r="I174" s="388"/>
      <c r="J174" s="322"/>
      <c r="K174" s="360"/>
      <c r="L174" s="360"/>
      <c r="M174" s="360"/>
      <c r="N174" s="361"/>
      <c r="O174" s="324"/>
    </row>
    <row r="175" ht="12.75" customHeight="1">
      <c r="A175" s="322"/>
      <c r="B175" s="34" t="s">
        <v>17</v>
      </c>
      <c r="C175" s="35"/>
      <c r="D175" s="35"/>
      <c r="E175" s="35"/>
      <c r="F175" s="324"/>
      <c r="G175" s="324"/>
      <c r="H175" s="387"/>
      <c r="I175" s="388"/>
      <c r="J175" s="322"/>
      <c r="K175" s="34" t="s">
        <v>17</v>
      </c>
      <c r="L175" s="35"/>
      <c r="M175" s="35"/>
      <c r="N175" s="35"/>
      <c r="O175" s="324"/>
    </row>
    <row r="176" ht="12.75" customHeight="1">
      <c r="A176" s="322"/>
      <c r="B176" s="52" t="s">
        <v>42</v>
      </c>
      <c r="C176" s="54"/>
      <c r="D176" s="54"/>
      <c r="E176" s="56" t="s">
        <v>35</v>
      </c>
      <c r="F176" s="324"/>
      <c r="G176" s="324"/>
      <c r="H176" s="387"/>
      <c r="I176" s="388"/>
      <c r="J176" s="322"/>
      <c r="K176" s="52" t="s">
        <v>42</v>
      </c>
      <c r="L176" s="54"/>
      <c r="M176" s="54"/>
      <c r="N176" s="56" t="s">
        <v>35</v>
      </c>
      <c r="O176" s="324"/>
    </row>
    <row r="177" ht="12.75" customHeight="1">
      <c r="A177" s="322"/>
      <c r="B177" s="60" t="s">
        <v>40</v>
      </c>
      <c r="C177" s="343">
        <f>'UTL COST'!$B$3</f>
        <v>369000</v>
      </c>
      <c r="D177" s="379">
        <f>'UTL COST'!$C$3</f>
        <v>0.0075</v>
      </c>
      <c r="E177" s="67">
        <f>'UTL COST'!D3</f>
        <v>2767.5</v>
      </c>
      <c r="F177" s="324"/>
      <c r="G177" s="324"/>
      <c r="H177" s="387"/>
      <c r="I177" s="388"/>
      <c r="J177" s="322"/>
      <c r="K177" s="60" t="s">
        <v>40</v>
      </c>
      <c r="L177" s="343">
        <f>'UTL COST'!$B$3</f>
        <v>369000</v>
      </c>
      <c r="M177" s="379">
        <f>'UTL COST'!$C$3</f>
        <v>0.0075</v>
      </c>
      <c r="N177" s="67" t="str">
        <f>N87</f>
        <v>#REF!</v>
      </c>
      <c r="O177" s="324"/>
    </row>
    <row r="178" ht="12.75" customHeight="1">
      <c r="A178" s="322"/>
      <c r="B178" s="75" t="s">
        <v>51</v>
      </c>
      <c r="C178" s="371" t="str">
        <f>'UTL COST'!$B$4</f>
        <v>#REF!</v>
      </c>
      <c r="D178" s="382">
        <f>'UTL COST'!$C$4</f>
        <v>7000</v>
      </c>
      <c r="E178" s="76" t="str">
        <f>'UTL COST'!$D$4</f>
        <v>#REF!</v>
      </c>
      <c r="F178" s="324"/>
      <c r="G178" s="324"/>
      <c r="H178" s="387"/>
      <c r="I178" s="388"/>
      <c r="J178" s="322"/>
      <c r="K178" s="75" t="s">
        <v>51</v>
      </c>
      <c r="L178" s="371" t="str">
        <f>'UTL COST'!$B$4</f>
        <v>#REF!</v>
      </c>
      <c r="M178" s="382">
        <f>'UTL COST'!$C$4</f>
        <v>7000</v>
      </c>
      <c r="N178" s="76" t="str">
        <f>'UTL COST'!$D$4</f>
        <v>#REF!</v>
      </c>
      <c r="O178" s="324"/>
    </row>
    <row r="179" ht="12.75" customHeight="1">
      <c r="A179" s="322"/>
      <c r="B179" s="75" t="s">
        <v>59</v>
      </c>
      <c r="C179" s="371" t="str">
        <f>'UTL COST'!$B$5</f>
        <v>#REF!</v>
      </c>
      <c r="D179" s="382">
        <f>'UTL COST'!$C$5</f>
        <v>45000</v>
      </c>
      <c r="E179" s="76" t="str">
        <f>'UTL COST'!$D$5</f>
        <v>#REF!</v>
      </c>
      <c r="F179" s="324"/>
      <c r="G179" s="324"/>
      <c r="H179" s="387"/>
      <c r="I179" s="388"/>
      <c r="J179" s="322"/>
      <c r="K179" s="75" t="s">
        <v>59</v>
      </c>
      <c r="L179" s="371" t="str">
        <f>'UTL COST'!$B$5</f>
        <v>#REF!</v>
      </c>
      <c r="M179" s="382">
        <f>'UTL COST'!$C$5</f>
        <v>45000</v>
      </c>
      <c r="N179" s="76" t="str">
        <f>'UTL COST'!$D$5</f>
        <v>#REF!</v>
      </c>
      <c r="O179" s="324"/>
    </row>
    <row r="180" ht="12.75" customHeight="1">
      <c r="A180" s="322"/>
      <c r="B180" s="87" t="s">
        <v>78</v>
      </c>
      <c r="C180" s="371" t="str">
        <f>'UTL COST'!$B$6</f>
        <v>#REF!</v>
      </c>
      <c r="D180" s="383">
        <f>'UTL COST'!$C$6</f>
        <v>525</v>
      </c>
      <c r="E180" s="89">
        <v>0.1</v>
      </c>
      <c r="F180" s="324"/>
      <c r="G180" s="324"/>
      <c r="H180" s="387"/>
      <c r="I180" s="388"/>
      <c r="J180" s="322"/>
      <c r="K180" s="87" t="s">
        <v>78</v>
      </c>
      <c r="L180" s="371" t="str">
        <f>'UTL COST'!$B$6</f>
        <v>#REF!</v>
      </c>
      <c r="M180" s="383">
        <f>'UTL COST'!$C$6</f>
        <v>525</v>
      </c>
      <c r="N180" s="89">
        <v>0.1</v>
      </c>
      <c r="O180" s="324"/>
    </row>
    <row r="181" ht="12.75" customHeight="1">
      <c r="A181" s="322"/>
      <c r="B181" s="34" t="s">
        <v>84</v>
      </c>
      <c r="C181" s="102"/>
      <c r="D181" s="102"/>
      <c r="E181" s="104" t="str">
        <f>IF(SUM(E177:E180)=0,"",SUM(E177:E180))</f>
        <v>#REF!</v>
      </c>
      <c r="F181" s="324"/>
      <c r="G181" s="324"/>
      <c r="H181" s="387"/>
      <c r="I181" s="388"/>
      <c r="J181" s="322"/>
      <c r="K181" s="34" t="s">
        <v>84</v>
      </c>
      <c r="L181" s="102"/>
      <c r="M181" s="102"/>
      <c r="N181" s="104" t="str">
        <f>IF(SUM(N177:N180)=0,"",SUM(N177:N180))</f>
        <v>#REF!</v>
      </c>
      <c r="O181" s="324"/>
    </row>
    <row r="182" ht="12.75" customHeight="1">
      <c r="A182" s="322"/>
      <c r="B182" s="360"/>
      <c r="C182" s="360"/>
      <c r="D182" s="360"/>
      <c r="E182" s="361"/>
      <c r="F182" s="324"/>
      <c r="G182" s="324"/>
      <c r="H182" s="387"/>
      <c r="I182" s="388"/>
      <c r="J182" s="322"/>
      <c r="K182" s="360"/>
      <c r="L182" s="360"/>
      <c r="M182" s="360"/>
      <c r="N182" s="361"/>
      <c r="O182" s="324"/>
    </row>
    <row r="183" ht="12.75" customHeight="1">
      <c r="A183" s="387"/>
      <c r="B183" s="387"/>
      <c r="C183" s="387"/>
      <c r="D183" s="387"/>
      <c r="E183" s="418"/>
      <c r="F183" s="387"/>
      <c r="G183" s="387"/>
      <c r="H183" s="387"/>
      <c r="I183" s="387"/>
      <c r="J183" s="387"/>
      <c r="K183" s="387"/>
      <c r="L183" s="387"/>
      <c r="M183" s="387"/>
      <c r="N183" s="387"/>
      <c r="O183" s="387"/>
    </row>
    <row r="184" ht="12.75" customHeight="1">
      <c r="A184" s="387"/>
      <c r="B184" s="387"/>
      <c r="C184" s="387"/>
      <c r="D184" s="387"/>
      <c r="E184" s="418"/>
      <c r="F184" s="387"/>
      <c r="G184" s="387"/>
      <c r="H184" s="387"/>
      <c r="I184" s="387"/>
      <c r="J184" s="387"/>
      <c r="K184" s="387"/>
      <c r="L184" s="387"/>
      <c r="M184" s="387"/>
      <c r="N184" s="387"/>
      <c r="O184" s="387"/>
    </row>
    <row r="185" ht="12.75" customHeight="1">
      <c r="A185" s="322"/>
      <c r="B185" s="322"/>
      <c r="C185" s="322"/>
      <c r="D185" s="322"/>
      <c r="E185" s="323"/>
      <c r="F185" s="324"/>
      <c r="G185" s="324"/>
      <c r="H185" s="387"/>
      <c r="I185" s="388"/>
      <c r="J185" s="322"/>
      <c r="K185" s="322"/>
      <c r="L185" s="322"/>
      <c r="M185" s="322"/>
      <c r="N185" s="323"/>
      <c r="O185" s="324"/>
    </row>
    <row r="186" ht="12.75" customHeight="1">
      <c r="A186" s="322"/>
      <c r="B186" s="325"/>
      <c r="C186" s="322"/>
      <c r="D186" s="322"/>
      <c r="E186" s="323"/>
      <c r="F186" s="326"/>
      <c r="G186" s="326"/>
      <c r="H186" s="404"/>
      <c r="I186" s="388"/>
      <c r="J186" s="322"/>
      <c r="K186" s="325"/>
      <c r="L186" s="322"/>
      <c r="M186" s="322"/>
      <c r="N186" s="323"/>
      <c r="O186" s="326"/>
    </row>
    <row r="187" ht="12.75" customHeight="1">
      <c r="A187" s="322"/>
      <c r="B187" s="327" t="s">
        <v>931</v>
      </c>
      <c r="C187" s="330" t="s">
        <v>1413</v>
      </c>
      <c r="D187" s="329"/>
      <c r="E187" s="323"/>
      <c r="F187" s="326"/>
      <c r="G187" s="326"/>
      <c r="H187" s="404"/>
      <c r="I187" s="388"/>
      <c r="J187" s="322"/>
      <c r="K187" s="327" t="s">
        <v>931</v>
      </c>
      <c r="L187" s="328" t="s">
        <v>1414</v>
      </c>
      <c r="M187" s="329"/>
      <c r="N187" s="323"/>
      <c r="O187" s="326"/>
    </row>
    <row r="188" ht="12.75" customHeight="1">
      <c r="A188" s="322"/>
      <c r="B188" s="325"/>
      <c r="C188" s="322"/>
      <c r="D188" s="322"/>
      <c r="E188" s="323"/>
      <c r="F188" s="326"/>
      <c r="G188" s="326"/>
      <c r="H188" s="404"/>
      <c r="I188" s="388"/>
      <c r="J188" s="322"/>
      <c r="K188" s="325"/>
      <c r="L188" s="322"/>
      <c r="M188" s="322"/>
      <c r="N188" s="323"/>
      <c r="O188" s="326"/>
    </row>
    <row r="189" ht="12.75" customHeight="1">
      <c r="A189" s="322"/>
      <c r="B189" s="327" t="s">
        <v>935</v>
      </c>
      <c r="C189" s="331">
        <f>E189*90000</f>
        <v>1170000</v>
      </c>
      <c r="D189" s="329"/>
      <c r="E189" s="394">
        <v>13.0</v>
      </c>
      <c r="F189" s="326"/>
      <c r="G189" s="326"/>
      <c r="H189" s="404"/>
      <c r="I189" s="388"/>
      <c r="J189" s="322"/>
      <c r="K189" s="327" t="s">
        <v>935</v>
      </c>
      <c r="L189" s="331">
        <v>500000.0</v>
      </c>
      <c r="M189" s="329"/>
      <c r="N189" s="323"/>
      <c r="O189" s="326"/>
    </row>
    <row r="190" ht="12.75" customHeight="1">
      <c r="A190" s="322"/>
      <c r="B190" s="327"/>
      <c r="C190" s="332"/>
      <c r="D190" s="332"/>
      <c r="E190" s="323"/>
      <c r="F190" s="326"/>
      <c r="G190" s="326"/>
      <c r="H190" s="404"/>
      <c r="I190" s="388"/>
      <c r="J190" s="322"/>
      <c r="K190" s="327"/>
      <c r="L190" s="332"/>
      <c r="M190" s="332"/>
      <c r="N190" s="323"/>
      <c r="O190" s="326"/>
    </row>
    <row r="191" ht="12.75" customHeight="1">
      <c r="A191" s="322"/>
      <c r="B191" s="327" t="s">
        <v>939</v>
      </c>
      <c r="C191" s="333" t="str">
        <f>IF(SUM(E203,E218,E226)=0,"",SUM(E203,E218,E226))</f>
        <v>#REF!</v>
      </c>
      <c r="D191" s="321"/>
      <c r="E191" s="323" t="str">
        <f>C191/90000</f>
        <v>#REF!</v>
      </c>
      <c r="F191" s="326"/>
      <c r="G191" s="326"/>
      <c r="H191" s="404"/>
      <c r="I191" s="388"/>
      <c r="J191" s="322"/>
      <c r="K191" s="327" t="s">
        <v>939</v>
      </c>
      <c r="L191" s="492" t="str">
        <f>IF(SUM(N203,N218,N226)=0,"",SUM(N203,N218,N226))</f>
        <v>#REF!</v>
      </c>
      <c r="M191" s="492"/>
      <c r="N191" s="323"/>
      <c r="O191" s="326"/>
    </row>
    <row r="192" ht="12.75" customHeight="1">
      <c r="A192" s="322"/>
      <c r="B192" s="327"/>
      <c r="C192" s="334"/>
      <c r="D192" s="334"/>
      <c r="E192" s="323"/>
      <c r="F192" s="326"/>
      <c r="G192" s="326"/>
      <c r="H192" s="404"/>
      <c r="I192" s="388"/>
      <c r="J192" s="322"/>
      <c r="K192" s="327"/>
      <c r="L192" s="334"/>
      <c r="M192" s="334"/>
      <c r="N192" s="323"/>
      <c r="O192" s="326"/>
    </row>
    <row r="193" ht="12.75" customHeight="1">
      <c r="A193" s="322"/>
      <c r="B193" s="327" t="s">
        <v>946</v>
      </c>
      <c r="C193" s="335" t="str">
        <f>IF(C191="","",IF(ISBLANK(C189),"",C191/C189))</f>
        <v>#REF!</v>
      </c>
      <c r="D193" s="321"/>
      <c r="E193" s="323"/>
      <c r="F193" s="326"/>
      <c r="G193" s="326"/>
      <c r="H193" s="404"/>
      <c r="I193" s="388"/>
      <c r="J193" s="322"/>
      <c r="K193" s="327" t="s">
        <v>946</v>
      </c>
      <c r="L193" s="335" t="str">
        <f>IF(L191="","",IF(ISBLANK(L189),"",L191/L189))</f>
        <v>#REF!</v>
      </c>
      <c r="M193" s="321"/>
      <c r="N193" s="323"/>
      <c r="O193" s="326"/>
    </row>
    <row r="194" ht="12.75" customHeight="1">
      <c r="A194" s="322"/>
      <c r="B194" s="327"/>
      <c r="C194" s="334"/>
      <c r="D194" s="334"/>
      <c r="E194" s="323"/>
      <c r="F194" s="326"/>
      <c r="G194" s="326"/>
      <c r="H194" s="404"/>
      <c r="I194" s="388"/>
      <c r="J194" s="322"/>
      <c r="K194" s="327"/>
      <c r="L194" s="334"/>
      <c r="M194" s="334"/>
      <c r="N194" s="323"/>
      <c r="O194" s="326"/>
    </row>
    <row r="195" ht="12.75" customHeight="1">
      <c r="A195" s="322"/>
      <c r="B195" s="327" t="s">
        <v>950</v>
      </c>
      <c r="C195" s="333" t="str">
        <f>C189-C191</f>
        <v>#REF!</v>
      </c>
      <c r="D195" s="321"/>
      <c r="E195" s="323"/>
      <c r="F195" s="326"/>
      <c r="G195" s="326"/>
      <c r="H195" s="404"/>
      <c r="I195" s="388"/>
      <c r="J195" s="322"/>
      <c r="K195" s="327" t="s">
        <v>950</v>
      </c>
      <c r="L195" s="333" t="str">
        <f>L189-L191</f>
        <v>#REF!</v>
      </c>
      <c r="M195" s="321"/>
      <c r="N195" s="323"/>
      <c r="O195" s="326"/>
    </row>
    <row r="196" ht="12.75" customHeight="1">
      <c r="A196" s="322"/>
      <c r="B196" s="322"/>
      <c r="C196" s="322"/>
      <c r="D196" s="322"/>
      <c r="E196" s="323"/>
      <c r="F196" s="324"/>
      <c r="G196" s="324"/>
      <c r="H196" s="404"/>
      <c r="I196" s="388"/>
      <c r="J196" s="322"/>
      <c r="K196" s="322"/>
      <c r="L196" s="322"/>
      <c r="M196" s="322"/>
      <c r="N196" s="323"/>
      <c r="O196" s="324"/>
    </row>
    <row r="197" ht="12.75" customHeight="1">
      <c r="A197" s="322"/>
      <c r="B197" s="322"/>
      <c r="C197" s="322"/>
      <c r="D197" s="322"/>
      <c r="E197" s="337"/>
      <c r="F197" s="324"/>
      <c r="G197" s="324"/>
      <c r="H197" s="387"/>
      <c r="I197" s="388"/>
      <c r="J197" s="322"/>
      <c r="K197" s="322"/>
      <c r="L197" s="322"/>
      <c r="M197" s="322"/>
      <c r="N197" s="337"/>
      <c r="O197" s="324"/>
    </row>
    <row r="198" ht="12.75" customHeight="1">
      <c r="A198" s="322"/>
      <c r="B198" s="338" t="s">
        <v>951</v>
      </c>
      <c r="C198" s="339"/>
      <c r="D198" s="339"/>
      <c r="E198" s="339"/>
      <c r="F198" s="324"/>
      <c r="G198" s="324"/>
      <c r="H198" s="410"/>
      <c r="I198" s="388"/>
      <c r="J198" s="322"/>
      <c r="K198" s="338" t="s">
        <v>951</v>
      </c>
      <c r="L198" s="339"/>
      <c r="M198" s="339"/>
      <c r="N198" s="339"/>
      <c r="O198" s="324"/>
    </row>
    <row r="199" ht="12.75" customHeight="1">
      <c r="A199" s="322"/>
      <c r="B199" s="340" t="s">
        <v>953</v>
      </c>
      <c r="C199" s="341" t="s">
        <v>954</v>
      </c>
      <c r="D199" s="341" t="s">
        <v>955</v>
      </c>
      <c r="E199" s="341" t="s">
        <v>35</v>
      </c>
      <c r="F199" s="324"/>
      <c r="G199" s="324"/>
      <c r="H199" s="387"/>
      <c r="I199" s="388"/>
      <c r="J199" s="322"/>
      <c r="K199" s="340" t="s">
        <v>953</v>
      </c>
      <c r="L199" s="341" t="s">
        <v>954</v>
      </c>
      <c r="M199" s="341" t="s">
        <v>955</v>
      </c>
      <c r="N199" s="341" t="s">
        <v>35</v>
      </c>
      <c r="O199" s="324"/>
    </row>
    <row r="200" ht="12.75" customHeight="1">
      <c r="A200" s="322"/>
      <c r="B200" s="60" t="s">
        <v>1360</v>
      </c>
      <c r="C200" s="342">
        <v>1.0</v>
      </c>
      <c r="D200" s="343">
        <f>'F&amp;B'!$F$72/8</f>
        <v>9591.346154</v>
      </c>
      <c r="E200" s="67">
        <f t="shared" ref="E200:E202" si="25">IF(OR(ISBLANK(C200),ISBLANK(D200)),"",D200*C200)</f>
        <v>9591.346154</v>
      </c>
      <c r="F200" s="324"/>
      <c r="G200" s="324"/>
      <c r="H200" s="387"/>
      <c r="I200" s="388"/>
      <c r="J200" s="322"/>
      <c r="K200" s="60" t="s">
        <v>1360</v>
      </c>
      <c r="L200" s="342">
        <v>1.0</v>
      </c>
      <c r="M200" s="343">
        <f>'F&amp;B'!$F$72/8</f>
        <v>9591.346154</v>
      </c>
      <c r="N200" s="67">
        <f t="shared" ref="N200:N202" si="26">IF(OR(ISBLANK(L200),ISBLANK(M200)),"",M200*L200)</f>
        <v>9591.346154</v>
      </c>
      <c r="O200" s="324"/>
    </row>
    <row r="201" ht="12.75" customHeight="1">
      <c r="A201" s="322"/>
      <c r="B201" s="75" t="s">
        <v>1015</v>
      </c>
      <c r="C201" s="346">
        <v>1.0</v>
      </c>
      <c r="D201" s="371">
        <f>'F&amp;B'!$F$10/6</f>
        <v>5716.333333</v>
      </c>
      <c r="E201" s="67">
        <f t="shared" si="25"/>
        <v>5716.333333</v>
      </c>
      <c r="F201" s="324"/>
      <c r="G201" s="324"/>
      <c r="H201" s="387"/>
      <c r="I201" s="388"/>
      <c r="J201" s="322"/>
      <c r="K201" s="75" t="s">
        <v>1015</v>
      </c>
      <c r="L201" s="370">
        <v>1.0</v>
      </c>
      <c r="M201" s="371">
        <f>'F&amp;B'!$F$10/6</f>
        <v>5716.333333</v>
      </c>
      <c r="N201" s="67">
        <f t="shared" si="26"/>
        <v>5716.333333</v>
      </c>
      <c r="O201" s="324"/>
    </row>
    <row r="202" ht="12.75" customHeight="1">
      <c r="A202" s="322"/>
      <c r="B202" s="493" t="s">
        <v>1104</v>
      </c>
      <c r="C202" s="407">
        <v>0.03</v>
      </c>
      <c r="D202" s="371">
        <f>SAUCES!$L$76</f>
        <v>110326.5</v>
      </c>
      <c r="E202" s="67">
        <f t="shared" si="25"/>
        <v>3309.795</v>
      </c>
      <c r="F202" s="324"/>
      <c r="G202" s="324"/>
      <c r="H202" s="387"/>
      <c r="I202" s="388"/>
      <c r="J202" s="322"/>
      <c r="K202" s="87" t="s">
        <v>1044</v>
      </c>
      <c r="L202" s="412">
        <v>0.04</v>
      </c>
      <c r="M202" s="400">
        <f>'F&amp;B'!$F$28/12</f>
        <v>48750</v>
      </c>
      <c r="N202" s="67">
        <f t="shared" si="26"/>
        <v>1950</v>
      </c>
      <c r="O202" s="324"/>
    </row>
    <row r="203" ht="12.75" customHeight="1">
      <c r="A203" s="322"/>
      <c r="B203" s="338" t="s">
        <v>84</v>
      </c>
      <c r="C203" s="358"/>
      <c r="D203" s="358"/>
      <c r="E203" s="359">
        <f>IF(SUM(E200:E202)=0,"",SUM(E200:E202))</f>
        <v>18617.47449</v>
      </c>
      <c r="F203" s="324"/>
      <c r="G203" s="324"/>
      <c r="H203" s="387"/>
      <c r="I203" s="388"/>
      <c r="J203" s="322"/>
      <c r="K203" s="338" t="s">
        <v>84</v>
      </c>
      <c r="L203" s="358"/>
      <c r="M203" s="358"/>
      <c r="N203" s="359">
        <f>IF(SUM(N200:N202)=0,"",SUM(N200:N202))</f>
        <v>17257.67949</v>
      </c>
      <c r="O203" s="324"/>
    </row>
    <row r="204" ht="12.75" customHeight="1">
      <c r="A204" s="322"/>
      <c r="B204" s="360"/>
      <c r="C204" s="360"/>
      <c r="D204" s="360"/>
      <c r="E204" s="361"/>
      <c r="F204" s="324"/>
      <c r="G204" s="324"/>
      <c r="H204" s="387"/>
      <c r="I204" s="388"/>
      <c r="J204" s="322"/>
      <c r="K204" s="360"/>
      <c r="L204" s="360"/>
      <c r="M204" s="360"/>
      <c r="N204" s="361"/>
      <c r="O204" s="324"/>
    </row>
    <row r="205" ht="12.75" customHeight="1">
      <c r="A205" s="322"/>
      <c r="B205" s="362" t="s">
        <v>972</v>
      </c>
      <c r="C205" s="363"/>
      <c r="D205" s="363"/>
      <c r="E205" s="363"/>
      <c r="F205" s="324"/>
      <c r="G205" s="324"/>
      <c r="H205" s="387"/>
      <c r="I205" s="388"/>
      <c r="J205" s="322"/>
      <c r="K205" s="362" t="s">
        <v>972</v>
      </c>
      <c r="L205" s="363"/>
      <c r="M205" s="363"/>
      <c r="N205" s="363"/>
      <c r="O205" s="324"/>
    </row>
    <row r="206" ht="12.75" customHeight="1">
      <c r="A206" s="322"/>
      <c r="B206" s="365" t="s">
        <v>953</v>
      </c>
      <c r="C206" s="366" t="s">
        <v>3</v>
      </c>
      <c r="D206" s="366" t="s">
        <v>975</v>
      </c>
      <c r="E206" s="367" t="s">
        <v>35</v>
      </c>
      <c r="F206" s="324"/>
      <c r="G206" s="324"/>
      <c r="H206" s="387"/>
      <c r="I206" s="388"/>
      <c r="J206" s="322"/>
      <c r="K206" s="365" t="s">
        <v>953</v>
      </c>
      <c r="L206" s="366" t="s">
        <v>3</v>
      </c>
      <c r="M206" s="366" t="s">
        <v>975</v>
      </c>
      <c r="N206" s="367" t="s">
        <v>35</v>
      </c>
      <c r="O206" s="324"/>
    </row>
    <row r="207" ht="12.75" customHeight="1">
      <c r="A207" s="322"/>
      <c r="B207" s="368"/>
      <c r="C207" s="366"/>
      <c r="D207" s="366"/>
      <c r="E207" s="368"/>
      <c r="F207" s="324"/>
      <c r="G207" s="324"/>
      <c r="H207" s="387"/>
      <c r="I207" s="388"/>
      <c r="J207" s="322"/>
      <c r="K207" s="368"/>
      <c r="L207" s="366"/>
      <c r="M207" s="366"/>
      <c r="N207" s="368"/>
      <c r="O207" s="324"/>
    </row>
    <row r="208" ht="12.75" customHeight="1">
      <c r="A208" s="322"/>
      <c r="B208" s="60" t="s">
        <v>262</v>
      </c>
      <c r="C208" s="344">
        <v>0.05</v>
      </c>
      <c r="D208" s="343">
        <f>'F&amp;B'!$F$302</f>
        <v>10800</v>
      </c>
      <c r="E208" s="67">
        <f t="shared" ref="E208:E217" si="27">D208*C208</f>
        <v>540</v>
      </c>
      <c r="F208" s="324"/>
      <c r="G208" s="324"/>
      <c r="H208" s="387"/>
      <c r="I208" s="388"/>
      <c r="J208" s="322"/>
      <c r="K208" s="60" t="s">
        <v>1422</v>
      </c>
      <c r="L208" s="342">
        <v>0.06</v>
      </c>
      <c r="M208" s="343">
        <f>'F&amp;B'!$F$35/3</f>
        <v>36300</v>
      </c>
      <c r="N208" s="67">
        <f t="shared" ref="N208:N211" si="28">M208*L208</f>
        <v>2178</v>
      </c>
      <c r="O208" s="324"/>
    </row>
    <row r="209" ht="12.75" customHeight="1">
      <c r="A209" s="322"/>
      <c r="B209" s="75" t="s">
        <v>850</v>
      </c>
      <c r="C209" s="405">
        <v>0.05</v>
      </c>
      <c r="D209" s="371">
        <f>M157</f>
        <v>76500</v>
      </c>
      <c r="E209" s="67">
        <f t="shared" si="27"/>
        <v>3825</v>
      </c>
      <c r="F209" s="324"/>
      <c r="G209" s="324"/>
      <c r="H209" s="387"/>
      <c r="I209" s="388"/>
      <c r="J209" s="322"/>
      <c r="K209" s="75" t="s">
        <v>1133</v>
      </c>
      <c r="L209" s="370">
        <v>0.03</v>
      </c>
      <c r="M209" s="371">
        <f>'F&amp;B'!$F$40</f>
        <v>64350</v>
      </c>
      <c r="N209" s="67">
        <f t="shared" si="28"/>
        <v>1930.5</v>
      </c>
      <c r="O209" s="324"/>
    </row>
    <row r="210" ht="12.75" customHeight="1">
      <c r="A210" s="322"/>
      <c r="B210" s="75" t="s">
        <v>205</v>
      </c>
      <c r="C210" s="370">
        <v>1.0</v>
      </c>
      <c r="D210" s="371">
        <f>M165</f>
        <v>923.2488</v>
      </c>
      <c r="E210" s="67">
        <f t="shared" si="27"/>
        <v>923.2488</v>
      </c>
      <c r="F210" s="324"/>
      <c r="G210" s="324"/>
      <c r="H210" s="387"/>
      <c r="I210" s="388"/>
      <c r="J210" s="322"/>
      <c r="K210" s="75" t="s">
        <v>205</v>
      </c>
      <c r="L210" s="370">
        <v>0.08</v>
      </c>
      <c r="M210" s="371">
        <f>SAUCES!$L$48</f>
        <v>20516.64</v>
      </c>
      <c r="N210" s="67">
        <f t="shared" si="28"/>
        <v>1641.3312</v>
      </c>
      <c r="O210" s="324"/>
    </row>
    <row r="211" ht="12.75" customHeight="1">
      <c r="A211" s="322"/>
      <c r="B211" s="75" t="s">
        <v>934</v>
      </c>
      <c r="C211" s="342">
        <v>0.2</v>
      </c>
      <c r="D211" s="343">
        <f>'F&amp;B'!$F$68/10</f>
        <v>19665</v>
      </c>
      <c r="E211" s="67">
        <f t="shared" si="27"/>
        <v>3933</v>
      </c>
      <c r="F211" s="324"/>
      <c r="G211" s="324"/>
      <c r="H211" s="387"/>
      <c r="I211" s="388"/>
      <c r="J211" s="322"/>
      <c r="K211" s="75" t="s">
        <v>934</v>
      </c>
      <c r="L211" s="342">
        <v>0.18</v>
      </c>
      <c r="M211" s="343">
        <f>'F&amp;B'!$F$68/10</f>
        <v>19665</v>
      </c>
      <c r="N211" s="67">
        <f t="shared" si="28"/>
        <v>3539.7</v>
      </c>
      <c r="O211" s="324"/>
    </row>
    <row r="212" ht="12.75" customHeight="1">
      <c r="A212" s="322"/>
      <c r="B212" s="75" t="s">
        <v>1137</v>
      </c>
      <c r="C212" s="398"/>
      <c r="D212" s="371">
        <f>'F&amp;B'!F263</f>
        <v>168300</v>
      </c>
      <c r="E212" s="67">
        <f t="shared" si="27"/>
        <v>0</v>
      </c>
      <c r="F212" s="324"/>
      <c r="G212" s="324"/>
      <c r="H212" s="387"/>
      <c r="I212" s="388"/>
      <c r="J212" s="322"/>
      <c r="K212" s="75" t="s">
        <v>173</v>
      </c>
      <c r="L212" s="346">
        <v>0.06</v>
      </c>
      <c r="M212" s="371">
        <f>'F&amp;B'!$F$279</f>
        <v>7200</v>
      </c>
      <c r="N212" s="67">
        <v>0.0</v>
      </c>
      <c r="O212" s="324"/>
    </row>
    <row r="213" ht="12.75" customHeight="1">
      <c r="A213" s="322"/>
      <c r="B213" s="228" t="s">
        <v>1185</v>
      </c>
      <c r="C213" s="398">
        <v>0.05</v>
      </c>
      <c r="D213" s="371">
        <f>D164</f>
        <v>129150</v>
      </c>
      <c r="E213" s="67">
        <f t="shared" si="27"/>
        <v>6457.5</v>
      </c>
      <c r="F213" s="324"/>
      <c r="G213" s="324"/>
      <c r="H213" s="387"/>
      <c r="I213" s="388"/>
      <c r="J213" s="322"/>
      <c r="K213" s="75" t="s">
        <v>161</v>
      </c>
      <c r="L213" s="346">
        <v>0.07</v>
      </c>
      <c r="M213" s="371">
        <f>D213</f>
        <v>129150</v>
      </c>
      <c r="N213" s="67">
        <f t="shared" ref="N213:N214" si="29">M213*L213</f>
        <v>9040.5</v>
      </c>
      <c r="O213" s="324"/>
    </row>
    <row r="214" ht="12.75" customHeight="1">
      <c r="A214" s="322"/>
      <c r="B214" s="348"/>
      <c r="C214" s="346"/>
      <c r="D214" s="373"/>
      <c r="E214" s="67">
        <f t="shared" si="27"/>
        <v>0</v>
      </c>
      <c r="F214" s="324"/>
      <c r="G214" s="324"/>
      <c r="H214" s="387"/>
      <c r="I214" s="388"/>
      <c r="J214" s="322"/>
      <c r="K214" s="75" t="s">
        <v>1000</v>
      </c>
      <c r="L214" s="370">
        <v>0.2</v>
      </c>
      <c r="M214" s="371">
        <f>'F&amp;B'!$F$277</f>
        <v>13500</v>
      </c>
      <c r="N214" s="67">
        <f t="shared" si="29"/>
        <v>2700</v>
      </c>
      <c r="O214" s="324"/>
    </row>
    <row r="215" ht="12.75" customHeight="1">
      <c r="A215" s="322"/>
      <c r="B215" s="348"/>
      <c r="C215" s="346"/>
      <c r="D215" s="373"/>
      <c r="E215" s="67">
        <f t="shared" si="27"/>
        <v>0</v>
      </c>
      <c r="F215" s="324"/>
      <c r="G215" s="324"/>
      <c r="H215" s="387"/>
      <c r="I215" s="388"/>
      <c r="J215" s="322"/>
      <c r="K215" s="75" t="s">
        <v>214</v>
      </c>
      <c r="L215" s="370">
        <v>0.02</v>
      </c>
      <c r="M215" s="371">
        <f>'F&amp;B'!$F$290</f>
        <v>6300</v>
      </c>
      <c r="N215" s="67">
        <v>1500.0</v>
      </c>
      <c r="O215" s="324"/>
    </row>
    <row r="216" ht="12.75" customHeight="1">
      <c r="A216" s="322"/>
      <c r="B216" s="348"/>
      <c r="C216" s="346"/>
      <c r="D216" s="373"/>
      <c r="E216" s="67">
        <f t="shared" si="27"/>
        <v>0</v>
      </c>
      <c r="F216" s="324"/>
      <c r="G216" s="324"/>
      <c r="H216" s="387"/>
      <c r="I216" s="388"/>
      <c r="J216" s="322"/>
      <c r="K216" s="75" t="s">
        <v>1194</v>
      </c>
      <c r="L216" s="370">
        <v>0.09</v>
      </c>
      <c r="M216" s="500">
        <f>SAUCES!$L$186</f>
        <v>37140.77491</v>
      </c>
      <c r="N216" s="67">
        <f t="shared" ref="N216:N217" si="30">M216*L216</f>
        <v>3342.669742</v>
      </c>
      <c r="O216" s="324"/>
    </row>
    <row r="217" ht="12.75" customHeight="1">
      <c r="A217" s="322"/>
      <c r="B217" s="354"/>
      <c r="C217" s="355"/>
      <c r="D217" s="356"/>
      <c r="E217" s="67">
        <f t="shared" si="27"/>
        <v>0</v>
      </c>
      <c r="F217" s="324"/>
      <c r="G217" s="324"/>
      <c r="H217" s="387"/>
      <c r="I217" s="388"/>
      <c r="J217" s="322"/>
      <c r="K217" s="87"/>
      <c r="L217" s="412"/>
      <c r="M217" s="477"/>
      <c r="N217" s="67">
        <f t="shared" si="30"/>
        <v>0</v>
      </c>
      <c r="O217" s="324"/>
    </row>
    <row r="218" ht="12.75" customHeight="1">
      <c r="A218" s="322"/>
      <c r="B218" s="362" t="s">
        <v>84</v>
      </c>
      <c r="C218" s="374"/>
      <c r="D218" s="374"/>
      <c r="E218" s="375">
        <f>IF(SUM(E208:E217)=0,"",SUM(E208:E217))</f>
        <v>15678.7488</v>
      </c>
      <c r="F218" s="324"/>
      <c r="G218" s="324"/>
      <c r="H218" s="387"/>
      <c r="I218" s="388"/>
      <c r="J218" s="322"/>
      <c r="K218" s="362" t="s">
        <v>84</v>
      </c>
      <c r="L218" s="374"/>
      <c r="M218" s="374"/>
      <c r="N218" s="375">
        <f>IF(SUM(N208:N217)=0,"",SUM(N208:N217))</f>
        <v>25872.70094</v>
      </c>
      <c r="O218" s="324"/>
    </row>
    <row r="219" ht="12.75" customHeight="1">
      <c r="A219" s="322"/>
      <c r="B219" s="360"/>
      <c r="C219" s="360"/>
      <c r="D219" s="360"/>
      <c r="E219" s="361"/>
      <c r="F219" s="324"/>
      <c r="G219" s="324"/>
      <c r="H219" s="387"/>
      <c r="I219" s="388"/>
      <c r="J219" s="322"/>
      <c r="K219" s="360"/>
      <c r="L219" s="360"/>
      <c r="M219" s="360"/>
      <c r="N219" s="361"/>
      <c r="O219" s="324"/>
    </row>
    <row r="220" ht="12.75" customHeight="1">
      <c r="A220" s="322"/>
      <c r="B220" s="34" t="s">
        <v>17</v>
      </c>
      <c r="C220" s="35"/>
      <c r="D220" s="35"/>
      <c r="E220" s="35"/>
      <c r="F220" s="324"/>
      <c r="G220" s="324"/>
      <c r="H220" s="387"/>
      <c r="I220" s="388"/>
      <c r="J220" s="322"/>
      <c r="K220" s="34" t="s">
        <v>17</v>
      </c>
      <c r="L220" s="35"/>
      <c r="M220" s="35"/>
      <c r="N220" s="35"/>
      <c r="O220" s="324"/>
    </row>
    <row r="221" ht="12.75" customHeight="1">
      <c r="A221" s="322"/>
      <c r="B221" s="52" t="s">
        <v>42</v>
      </c>
      <c r="C221" s="54"/>
      <c r="D221" s="54"/>
      <c r="E221" s="56" t="s">
        <v>35</v>
      </c>
      <c r="F221" s="324"/>
      <c r="G221" s="324"/>
      <c r="H221" s="387"/>
      <c r="I221" s="388"/>
      <c r="J221" s="322"/>
      <c r="K221" s="52" t="s">
        <v>42</v>
      </c>
      <c r="L221" s="54"/>
      <c r="M221" s="54"/>
      <c r="N221" s="56" t="s">
        <v>35</v>
      </c>
      <c r="O221" s="324"/>
    </row>
    <row r="222" ht="12.75" customHeight="1">
      <c r="A222" s="322"/>
      <c r="B222" s="60" t="s">
        <v>40</v>
      </c>
      <c r="C222" s="343">
        <f>'UTL COST'!$B$3</f>
        <v>369000</v>
      </c>
      <c r="D222" s="379">
        <f>'UTL COST'!$C$3</f>
        <v>0.0075</v>
      </c>
      <c r="E222" s="67">
        <f>E177</f>
        <v>2767.5</v>
      </c>
      <c r="F222" s="324"/>
      <c r="G222" s="324"/>
      <c r="H222" s="387"/>
      <c r="I222" s="388"/>
      <c r="J222" s="322"/>
      <c r="K222" s="60" t="s">
        <v>40</v>
      </c>
      <c r="L222" s="343">
        <f>'UTL COST'!$B$3</f>
        <v>369000</v>
      </c>
      <c r="M222" s="379">
        <f>'UTL COST'!$C$3</f>
        <v>0.0075</v>
      </c>
      <c r="N222" s="67" t="str">
        <f>N132</f>
        <v>#REF!</v>
      </c>
      <c r="O222" s="324"/>
    </row>
    <row r="223" ht="12.75" customHeight="1">
      <c r="A223" s="322"/>
      <c r="B223" s="75" t="s">
        <v>51</v>
      </c>
      <c r="C223" s="371" t="str">
        <f>'UTL COST'!$B$4</f>
        <v>#REF!</v>
      </c>
      <c r="D223" s="382">
        <f>'UTL COST'!$C$4</f>
        <v>7000</v>
      </c>
      <c r="E223" s="76" t="str">
        <f>'UTL COST'!$D$4</f>
        <v>#REF!</v>
      </c>
      <c r="F223" s="324"/>
      <c r="G223" s="324"/>
      <c r="H223" s="387"/>
      <c r="I223" s="388"/>
      <c r="J223" s="322"/>
      <c r="K223" s="75" t="s">
        <v>51</v>
      </c>
      <c r="L223" s="371" t="str">
        <f>'UTL COST'!$B$4</f>
        <v>#REF!</v>
      </c>
      <c r="M223" s="382">
        <f>'UTL COST'!$C$4</f>
        <v>7000</v>
      </c>
      <c r="N223" s="76" t="str">
        <f>'UTL COST'!$D$4</f>
        <v>#REF!</v>
      </c>
      <c r="O223" s="324"/>
    </row>
    <row r="224" ht="12.75" customHeight="1">
      <c r="A224" s="322"/>
      <c r="B224" s="75" t="s">
        <v>59</v>
      </c>
      <c r="C224" s="371" t="str">
        <f>'UTL COST'!$B$5</f>
        <v>#REF!</v>
      </c>
      <c r="D224" s="382">
        <f>'UTL COST'!$C$5</f>
        <v>45000</v>
      </c>
      <c r="E224" s="76" t="str">
        <f>'UTL COST'!$D$5</f>
        <v>#REF!</v>
      </c>
      <c r="F224" s="324"/>
      <c r="G224" s="324"/>
      <c r="H224" s="387"/>
      <c r="I224" s="388"/>
      <c r="J224" s="322"/>
      <c r="K224" s="75" t="s">
        <v>59</v>
      </c>
      <c r="L224" s="371" t="str">
        <f>'UTL COST'!$B$5</f>
        <v>#REF!</v>
      </c>
      <c r="M224" s="382">
        <f>'UTL COST'!$C$5</f>
        <v>45000</v>
      </c>
      <c r="N224" s="76" t="str">
        <f>'UTL COST'!$D$5</f>
        <v>#REF!</v>
      </c>
      <c r="O224" s="324"/>
    </row>
    <row r="225" ht="12.75" customHeight="1">
      <c r="A225" s="322"/>
      <c r="B225" s="87" t="s">
        <v>78</v>
      </c>
      <c r="C225" s="371" t="str">
        <f>'UTL COST'!$B$6</f>
        <v>#REF!</v>
      </c>
      <c r="D225" s="383">
        <f>'UTL COST'!$C$6</f>
        <v>525</v>
      </c>
      <c r="E225" s="89">
        <v>0.1</v>
      </c>
      <c r="F225" s="324"/>
      <c r="G225" s="324"/>
      <c r="H225" s="387"/>
      <c r="I225" s="388"/>
      <c r="J225" s="322"/>
      <c r="K225" s="87" t="s">
        <v>78</v>
      </c>
      <c r="L225" s="371" t="str">
        <f>'UTL COST'!$B$6</f>
        <v>#REF!</v>
      </c>
      <c r="M225" s="383">
        <f>'UTL COST'!$C$6</f>
        <v>525</v>
      </c>
      <c r="N225" s="89">
        <v>0.1</v>
      </c>
      <c r="O225" s="324"/>
    </row>
    <row r="226" ht="12.75" customHeight="1">
      <c r="A226" s="322"/>
      <c r="B226" s="34" t="s">
        <v>84</v>
      </c>
      <c r="C226" s="102"/>
      <c r="D226" s="102"/>
      <c r="E226" s="104" t="str">
        <f>IF(SUM(E222:E225)=0,"",SUM(E222:E225))</f>
        <v>#REF!</v>
      </c>
      <c r="F226" s="324"/>
      <c r="G226" s="324"/>
      <c r="H226" s="387"/>
      <c r="I226" s="388"/>
      <c r="J226" s="322"/>
      <c r="K226" s="34" t="s">
        <v>84</v>
      </c>
      <c r="L226" s="102"/>
      <c r="M226" s="102"/>
      <c r="N226" s="104" t="str">
        <f>IF(SUM(N222:N225)=0,"",SUM(N222:N225))</f>
        <v>#REF!</v>
      </c>
      <c r="O226" s="324"/>
    </row>
    <row r="227" ht="12.75" customHeight="1">
      <c r="A227" s="322"/>
      <c r="B227" s="360"/>
      <c r="C227" s="360"/>
      <c r="D227" s="360"/>
      <c r="E227" s="361"/>
      <c r="F227" s="324"/>
      <c r="G227" s="324"/>
      <c r="H227" s="387"/>
      <c r="I227" s="388"/>
      <c r="J227" s="322"/>
      <c r="K227" s="360"/>
      <c r="L227" s="360"/>
      <c r="M227" s="360"/>
      <c r="N227" s="361"/>
      <c r="O227" s="324"/>
    </row>
    <row r="228" ht="12.75" customHeight="1">
      <c r="A228" s="387"/>
      <c r="B228" s="387"/>
      <c r="C228" s="387"/>
      <c r="D228" s="387"/>
      <c r="E228" s="418"/>
      <c r="F228" s="387"/>
      <c r="G228" s="387"/>
      <c r="H228" s="387"/>
      <c r="I228" s="387"/>
      <c r="J228" s="387"/>
      <c r="K228" s="387"/>
      <c r="L228" s="387"/>
      <c r="M228" s="387"/>
      <c r="N228" s="387"/>
      <c r="O228" s="387"/>
    </row>
    <row r="229" ht="12.75" customHeight="1">
      <c r="A229" s="387"/>
      <c r="B229" s="387"/>
      <c r="C229" s="387"/>
      <c r="D229" s="387"/>
      <c r="E229" s="418"/>
      <c r="F229" s="387"/>
      <c r="G229" s="387"/>
      <c r="H229" s="387"/>
      <c r="I229" s="387"/>
      <c r="J229" s="387"/>
      <c r="K229" s="387"/>
      <c r="L229" s="387"/>
      <c r="M229" s="387"/>
      <c r="N229" s="387"/>
      <c r="O229" s="387"/>
    </row>
    <row r="230" ht="12.75" customHeight="1">
      <c r="A230" s="322"/>
      <c r="B230" s="322"/>
      <c r="C230" s="322"/>
      <c r="D230" s="322"/>
      <c r="E230" s="323"/>
      <c r="F230" s="324"/>
      <c r="G230" s="324"/>
      <c r="H230" s="387"/>
      <c r="I230" s="387"/>
      <c r="J230" s="322"/>
      <c r="K230" s="322"/>
      <c r="L230" s="322"/>
      <c r="M230" s="322"/>
      <c r="N230" s="323"/>
      <c r="O230" s="324"/>
    </row>
    <row r="231" ht="12.75" customHeight="1">
      <c r="A231" s="322"/>
      <c r="B231" s="325"/>
      <c r="C231" s="322"/>
      <c r="D231" s="322"/>
      <c r="E231" s="323"/>
      <c r="F231" s="326"/>
      <c r="G231" s="326"/>
      <c r="H231" s="387"/>
      <c r="I231" s="387"/>
      <c r="J231" s="322"/>
      <c r="K231" s="325"/>
      <c r="L231" s="322"/>
      <c r="M231" s="322"/>
      <c r="N231" s="323"/>
      <c r="O231" s="326"/>
    </row>
    <row r="232" ht="12.75" customHeight="1">
      <c r="A232" s="322"/>
      <c r="B232" s="327" t="s">
        <v>931</v>
      </c>
      <c r="C232" s="328" t="s">
        <v>460</v>
      </c>
      <c r="D232" s="329"/>
      <c r="E232" s="323"/>
      <c r="F232" s="326"/>
      <c r="G232" s="326"/>
      <c r="H232" s="387"/>
      <c r="I232" s="387"/>
      <c r="J232" s="322"/>
      <c r="K232" s="327" t="s">
        <v>931</v>
      </c>
      <c r="L232" s="330" t="s">
        <v>1431</v>
      </c>
      <c r="M232" s="329"/>
      <c r="N232" s="323"/>
      <c r="O232" s="326"/>
    </row>
    <row r="233" ht="12.75" customHeight="1">
      <c r="A233" s="322"/>
      <c r="B233" s="325"/>
      <c r="C233" s="322"/>
      <c r="D233" s="322"/>
      <c r="E233" s="323"/>
      <c r="F233" s="326"/>
      <c r="G233" s="326"/>
      <c r="H233" s="387"/>
      <c r="I233" s="387"/>
      <c r="J233" s="322"/>
      <c r="K233" s="325"/>
      <c r="L233" s="322"/>
      <c r="M233" s="322"/>
      <c r="N233" s="323"/>
      <c r="O233" s="326"/>
    </row>
    <row r="234" ht="12.75" customHeight="1">
      <c r="A234" s="322"/>
      <c r="B234" s="327" t="s">
        <v>935</v>
      </c>
      <c r="C234" s="331">
        <v>260000.0</v>
      </c>
      <c r="D234" s="329"/>
      <c r="E234" s="323"/>
      <c r="F234" s="326"/>
      <c r="G234" s="326"/>
      <c r="H234" s="387"/>
      <c r="I234" s="387"/>
      <c r="J234" s="322"/>
      <c r="K234" s="327" t="s">
        <v>935</v>
      </c>
      <c r="L234" s="331">
        <f>N234*90000</f>
        <v>1080000</v>
      </c>
      <c r="M234" s="329"/>
      <c r="N234" s="394">
        <v>12.0</v>
      </c>
      <c r="O234" s="326"/>
    </row>
    <row r="235" ht="12.75" customHeight="1">
      <c r="A235" s="322"/>
      <c r="B235" s="327"/>
      <c r="C235" s="332"/>
      <c r="D235" s="332"/>
      <c r="E235" s="323"/>
      <c r="F235" s="326"/>
      <c r="G235" s="326"/>
      <c r="H235" s="387"/>
      <c r="I235" s="387"/>
      <c r="J235" s="322"/>
      <c r="K235" s="327"/>
      <c r="L235" s="332"/>
      <c r="M235" s="332"/>
      <c r="N235" s="323"/>
      <c r="O235" s="326"/>
    </row>
    <row r="236" ht="12.75" customHeight="1">
      <c r="A236" s="322"/>
      <c r="B236" s="327" t="s">
        <v>939</v>
      </c>
      <c r="C236" s="333" t="str">
        <f>IF(SUM(E248,E263,E271)=0,"",SUM(E248,E263,E271))</f>
        <v>#REF!</v>
      </c>
      <c r="D236" s="321"/>
      <c r="E236" s="323"/>
      <c r="F236" s="326"/>
      <c r="G236" s="326"/>
      <c r="H236" s="387"/>
      <c r="I236" s="387"/>
      <c r="J236" s="322"/>
      <c r="K236" s="327" t="s">
        <v>939</v>
      </c>
      <c r="L236" s="333" t="str">
        <f>IF(SUM(N248,N263,N271)=0,"",SUM(N248,N263,N271))</f>
        <v>#REF!</v>
      </c>
      <c r="M236" s="321"/>
      <c r="N236" s="323" t="str">
        <f>L236/90000</f>
        <v>#REF!</v>
      </c>
      <c r="O236" s="326"/>
    </row>
    <row r="237" ht="12.75" customHeight="1">
      <c r="A237" s="322"/>
      <c r="B237" s="327"/>
      <c r="C237" s="334"/>
      <c r="D237" s="334"/>
      <c r="E237" s="323"/>
      <c r="F237" s="326"/>
      <c r="G237" s="326"/>
      <c r="H237" s="387"/>
      <c r="I237" s="387"/>
      <c r="J237" s="322"/>
      <c r="K237" s="327"/>
      <c r="L237" s="334"/>
      <c r="M237" s="334"/>
      <c r="N237" s="323"/>
      <c r="O237" s="326"/>
    </row>
    <row r="238" ht="12.75" customHeight="1">
      <c r="A238" s="322"/>
      <c r="B238" s="327" t="s">
        <v>946</v>
      </c>
      <c r="C238" s="335" t="str">
        <f>IF(C236="","",IF(ISBLANK(C234),"",C236/C234))</f>
        <v>#REF!</v>
      </c>
      <c r="D238" s="321"/>
      <c r="E238" s="323"/>
      <c r="F238" s="326"/>
      <c r="G238" s="326"/>
      <c r="H238" s="387"/>
      <c r="I238" s="387"/>
      <c r="J238" s="322"/>
      <c r="K238" s="327" t="s">
        <v>946</v>
      </c>
      <c r="L238" s="335" t="str">
        <f>IF(L236="","",IF(ISBLANK(L234),"",L236/L234))</f>
        <v>#REF!</v>
      </c>
      <c r="M238" s="321"/>
      <c r="N238" s="323"/>
      <c r="O238" s="326"/>
    </row>
    <row r="239" ht="12.75" customHeight="1">
      <c r="A239" s="322"/>
      <c r="B239" s="327"/>
      <c r="C239" s="334"/>
      <c r="D239" s="334"/>
      <c r="E239" s="323"/>
      <c r="F239" s="326"/>
      <c r="G239" s="326"/>
      <c r="H239" s="387"/>
      <c r="I239" s="387"/>
      <c r="J239" s="322"/>
      <c r="K239" s="327"/>
      <c r="L239" s="334"/>
      <c r="M239" s="334"/>
      <c r="N239" s="323"/>
      <c r="O239" s="326"/>
    </row>
    <row r="240" ht="12.75" customHeight="1">
      <c r="A240" s="322"/>
      <c r="B240" s="327" t="s">
        <v>950</v>
      </c>
      <c r="C240" s="333" t="str">
        <f>C234-C236</f>
        <v>#REF!</v>
      </c>
      <c r="D240" s="321"/>
      <c r="E240" s="323"/>
      <c r="F240" s="326"/>
      <c r="G240" s="326"/>
      <c r="H240" s="387"/>
      <c r="I240" s="387"/>
      <c r="J240" s="322"/>
      <c r="K240" s="327" t="s">
        <v>950</v>
      </c>
      <c r="L240" s="333" t="str">
        <f>L234-L236</f>
        <v>#REF!</v>
      </c>
      <c r="M240" s="321"/>
      <c r="N240" s="323"/>
      <c r="O240" s="326"/>
    </row>
    <row r="241" ht="12.75" customHeight="1">
      <c r="A241" s="322"/>
      <c r="B241" s="322"/>
      <c r="C241" s="322"/>
      <c r="D241" s="322"/>
      <c r="E241" s="323"/>
      <c r="F241" s="324"/>
      <c r="G241" s="324"/>
      <c r="H241" s="387"/>
      <c r="I241" s="387"/>
      <c r="J241" s="322"/>
      <c r="K241" s="322"/>
      <c r="L241" s="322"/>
      <c r="M241" s="322"/>
      <c r="N241" s="323"/>
      <c r="O241" s="324"/>
    </row>
    <row r="242" ht="12.75" customHeight="1">
      <c r="A242" s="322"/>
      <c r="B242" s="322"/>
      <c r="C242" s="322"/>
      <c r="D242" s="322"/>
      <c r="E242" s="337"/>
      <c r="F242" s="324"/>
      <c r="G242" s="324"/>
      <c r="H242" s="387"/>
      <c r="I242" s="387"/>
      <c r="J242" s="322"/>
      <c r="K242" s="322"/>
      <c r="L242" s="322"/>
      <c r="M242" s="322"/>
      <c r="N242" s="337"/>
      <c r="O242" s="324"/>
    </row>
    <row r="243" ht="12.75" customHeight="1">
      <c r="A243" s="322"/>
      <c r="B243" s="338" t="s">
        <v>951</v>
      </c>
      <c r="C243" s="339"/>
      <c r="D243" s="339"/>
      <c r="E243" s="339"/>
      <c r="F243" s="324"/>
      <c r="G243" s="324"/>
      <c r="H243" s="387"/>
      <c r="I243" s="387"/>
      <c r="J243" s="322"/>
      <c r="K243" s="338" t="s">
        <v>951</v>
      </c>
      <c r="L243" s="339"/>
      <c r="M243" s="339"/>
      <c r="N243" s="339"/>
      <c r="O243" s="324"/>
    </row>
    <row r="244" ht="12.75" customHeight="1">
      <c r="A244" s="322"/>
      <c r="B244" s="340" t="s">
        <v>953</v>
      </c>
      <c r="C244" s="341" t="s">
        <v>954</v>
      </c>
      <c r="D244" s="341" t="s">
        <v>955</v>
      </c>
      <c r="E244" s="341" t="s">
        <v>35</v>
      </c>
      <c r="F244" s="324"/>
      <c r="G244" s="324"/>
      <c r="H244" s="387"/>
      <c r="I244" s="387"/>
      <c r="J244" s="322"/>
      <c r="K244" s="340" t="s">
        <v>953</v>
      </c>
      <c r="L244" s="341" t="s">
        <v>954</v>
      </c>
      <c r="M244" s="341" t="s">
        <v>955</v>
      </c>
      <c r="N244" s="341" t="s">
        <v>35</v>
      </c>
      <c r="O244" s="324"/>
    </row>
    <row r="245" ht="12.75" customHeight="1">
      <c r="A245" s="322"/>
      <c r="B245" s="60" t="s">
        <v>1360</v>
      </c>
      <c r="C245" s="342">
        <v>1.0</v>
      </c>
      <c r="D245" s="343">
        <f>'F&amp;B'!$F$72/7</f>
        <v>10961.53846</v>
      </c>
      <c r="E245" s="67">
        <f t="shared" ref="E245:E247" si="31">IF(OR(ISBLANK(C245),ISBLANK(D245)),"",D245*C245)</f>
        <v>10961.53846</v>
      </c>
      <c r="F245" s="324"/>
      <c r="G245" s="324"/>
      <c r="H245" s="387"/>
      <c r="I245" s="387"/>
      <c r="J245" s="322"/>
      <c r="K245" s="139" t="s">
        <v>1435</v>
      </c>
      <c r="L245" s="344">
        <v>0.15</v>
      </c>
      <c r="M245" s="343">
        <f>'F&amp;B'!F213</f>
        <v>72000</v>
      </c>
      <c r="N245" s="67">
        <f t="shared" ref="N245:N247" si="32">IF(OR(ISBLANK(L245),ISBLANK(M245)),"",M245*L245)</f>
        <v>10800</v>
      </c>
      <c r="O245" s="324"/>
    </row>
    <row r="246" ht="12.75" customHeight="1">
      <c r="A246" s="322"/>
      <c r="B246" s="75" t="s">
        <v>1015</v>
      </c>
      <c r="C246" s="346">
        <v>1.0</v>
      </c>
      <c r="D246" s="371">
        <f>'F&amp;B'!$F$10/6</f>
        <v>5716.333333</v>
      </c>
      <c r="E246" s="67">
        <f t="shared" si="31"/>
        <v>5716.333333</v>
      </c>
      <c r="F246" s="324"/>
      <c r="G246" s="324"/>
      <c r="H246" s="387"/>
      <c r="I246" s="387"/>
      <c r="J246" s="322"/>
      <c r="K246" s="75" t="s">
        <v>1015</v>
      </c>
      <c r="L246" s="346">
        <v>1.0</v>
      </c>
      <c r="M246" s="371">
        <f>'F&amp;B'!$F$10/6</f>
        <v>5716.333333</v>
      </c>
      <c r="N246" s="67">
        <f t="shared" si="32"/>
        <v>5716.333333</v>
      </c>
      <c r="O246" s="324"/>
    </row>
    <row r="247" ht="12.75" customHeight="1">
      <c r="A247" s="322"/>
      <c r="B247" s="87" t="s">
        <v>1436</v>
      </c>
      <c r="C247" s="412">
        <v>0.06</v>
      </c>
      <c r="D247" s="371">
        <f>$D$27</f>
        <v>26573.76131</v>
      </c>
      <c r="E247" s="67">
        <f t="shared" si="31"/>
        <v>1594.425679</v>
      </c>
      <c r="F247" s="324"/>
      <c r="G247" s="324"/>
      <c r="H247" s="387"/>
      <c r="I247" s="387"/>
      <c r="J247" s="322"/>
      <c r="K247" s="406" t="s">
        <v>1185</v>
      </c>
      <c r="L247" s="407">
        <v>0.03</v>
      </c>
      <c r="M247" s="371">
        <f>D164</f>
        <v>129150</v>
      </c>
      <c r="N247" s="67">
        <f t="shared" si="32"/>
        <v>3874.5</v>
      </c>
      <c r="O247" s="324"/>
    </row>
    <row r="248" ht="12.75" customHeight="1">
      <c r="A248" s="322"/>
      <c r="B248" s="338" t="s">
        <v>84</v>
      </c>
      <c r="C248" s="358"/>
      <c r="D248" s="358"/>
      <c r="E248" s="359">
        <f>IF(SUM(E245:E247)=0,"",SUM(E245:E247))</f>
        <v>18272.29747</v>
      </c>
      <c r="F248" s="324"/>
      <c r="G248" s="324"/>
      <c r="H248" s="387"/>
      <c r="I248" s="387"/>
      <c r="J248" s="322"/>
      <c r="K248" s="338" t="s">
        <v>84</v>
      </c>
      <c r="L248" s="358"/>
      <c r="M248" s="358"/>
      <c r="N248" s="359">
        <f>IF(SUM(N245:N247)=0,"",SUM(N245:N247))</f>
        <v>20390.83333</v>
      </c>
      <c r="O248" s="324"/>
    </row>
    <row r="249" ht="12.75" customHeight="1">
      <c r="A249" s="322"/>
      <c r="B249" s="360"/>
      <c r="C249" s="360"/>
      <c r="D249" s="360"/>
      <c r="E249" s="361"/>
      <c r="F249" s="324"/>
      <c r="G249" s="324"/>
      <c r="H249" s="387"/>
      <c r="I249" s="387"/>
      <c r="J249" s="322"/>
      <c r="K249" s="360"/>
      <c r="L249" s="360"/>
      <c r="M249" s="360"/>
      <c r="N249" s="361"/>
      <c r="O249" s="324"/>
    </row>
    <row r="250" ht="12.75" customHeight="1">
      <c r="A250" s="322"/>
      <c r="B250" s="362" t="s">
        <v>972</v>
      </c>
      <c r="C250" s="363"/>
      <c r="D250" s="363"/>
      <c r="E250" s="363"/>
      <c r="F250" s="324"/>
      <c r="G250" s="324"/>
      <c r="H250" s="387"/>
      <c r="I250" s="387"/>
      <c r="J250" s="322"/>
      <c r="K250" s="362" t="s">
        <v>972</v>
      </c>
      <c r="L250" s="363"/>
      <c r="M250" s="363"/>
      <c r="N250" s="363"/>
      <c r="O250" s="324"/>
    </row>
    <row r="251" ht="12.75" customHeight="1">
      <c r="A251" s="322"/>
      <c r="B251" s="365" t="s">
        <v>953</v>
      </c>
      <c r="C251" s="366" t="s">
        <v>3</v>
      </c>
      <c r="D251" s="366" t="s">
        <v>975</v>
      </c>
      <c r="E251" s="367" t="s">
        <v>35</v>
      </c>
      <c r="F251" s="324"/>
      <c r="G251" s="324"/>
      <c r="H251" s="387"/>
      <c r="I251" s="387"/>
      <c r="J251" s="322"/>
      <c r="K251" s="365" t="s">
        <v>953</v>
      </c>
      <c r="L251" s="366" t="s">
        <v>3</v>
      </c>
      <c r="M251" s="366" t="s">
        <v>975</v>
      </c>
      <c r="N251" s="367" t="s">
        <v>35</v>
      </c>
      <c r="O251" s="324"/>
    </row>
    <row r="252" ht="12.75" customHeight="1">
      <c r="A252" s="322"/>
      <c r="B252" s="368"/>
      <c r="C252" s="366"/>
      <c r="D252" s="366"/>
      <c r="E252" s="368"/>
      <c r="F252" s="324"/>
      <c r="G252" s="324"/>
      <c r="H252" s="387"/>
      <c r="I252" s="387"/>
      <c r="J252" s="322"/>
      <c r="K252" s="368"/>
      <c r="L252" s="366"/>
      <c r="M252" s="366"/>
      <c r="N252" s="368"/>
      <c r="O252" s="324"/>
    </row>
    <row r="253" ht="12.75" customHeight="1">
      <c r="A253" s="322"/>
      <c r="B253" s="60" t="s">
        <v>1000</v>
      </c>
      <c r="C253" s="342">
        <v>0.04</v>
      </c>
      <c r="D253" s="343">
        <f>'F&amp;B'!$F$277</f>
        <v>13500</v>
      </c>
      <c r="E253" s="67">
        <f>D253*C253</f>
        <v>540</v>
      </c>
      <c r="F253" s="324"/>
      <c r="G253" s="324"/>
      <c r="H253" s="387"/>
      <c r="I253" s="387"/>
      <c r="J253" s="322"/>
      <c r="K253" s="87" t="s">
        <v>353</v>
      </c>
      <c r="L253" s="351">
        <v>0.05</v>
      </c>
      <c r="M253" s="371">
        <f>SAUCES!$L$76</f>
        <v>110326.5</v>
      </c>
      <c r="N253" s="67">
        <f t="shared" ref="N253:N255" si="33">IF(OR(ISBLANK(L253),ISBLANK(M253)),"",M253*L253)</f>
        <v>5516.325</v>
      </c>
      <c r="O253" s="324"/>
    </row>
    <row r="254" ht="12.75" customHeight="1">
      <c r="A254" s="322"/>
      <c r="B254" s="75"/>
      <c r="C254" s="370"/>
      <c r="D254" s="371"/>
      <c r="E254" s="67"/>
      <c r="F254" s="324"/>
      <c r="G254" s="324"/>
      <c r="H254" s="387"/>
      <c r="I254" s="387"/>
      <c r="J254" s="322"/>
      <c r="K254" s="228" t="s">
        <v>262</v>
      </c>
      <c r="L254" s="405">
        <v>0.03</v>
      </c>
      <c r="M254" s="343">
        <f>'F&amp;B'!$F$302</f>
        <v>10800</v>
      </c>
      <c r="N254" s="67">
        <f t="shared" si="33"/>
        <v>324</v>
      </c>
      <c r="O254" s="324"/>
    </row>
    <row r="255" ht="12.75" customHeight="1">
      <c r="A255" s="322"/>
      <c r="B255" s="75" t="s">
        <v>205</v>
      </c>
      <c r="C255" s="370">
        <v>0.045</v>
      </c>
      <c r="D255" s="371">
        <f>M210</f>
        <v>20516.64</v>
      </c>
      <c r="E255" s="67">
        <f t="shared" ref="E255:E257" si="34">D255*C255</f>
        <v>923.2488</v>
      </c>
      <c r="F255" s="324"/>
      <c r="G255" s="324"/>
      <c r="H255" s="387"/>
      <c r="I255" s="387"/>
      <c r="J255" s="322"/>
      <c r="K255" s="75" t="s">
        <v>1041</v>
      </c>
      <c r="L255" s="370">
        <v>0.05</v>
      </c>
      <c r="M255" s="371">
        <f>D209</f>
        <v>76500</v>
      </c>
      <c r="N255" s="67">
        <f t="shared" si="33"/>
        <v>3825</v>
      </c>
      <c r="O255" s="324"/>
    </row>
    <row r="256" ht="12.75" customHeight="1">
      <c r="A256" s="322"/>
      <c r="B256" s="75" t="s">
        <v>934</v>
      </c>
      <c r="C256" s="342">
        <v>0.2</v>
      </c>
      <c r="D256" s="343">
        <f>'F&amp;B'!$F$68/10</f>
        <v>19665</v>
      </c>
      <c r="E256" s="67">
        <f t="shared" si="34"/>
        <v>3933</v>
      </c>
      <c r="F256" s="324"/>
      <c r="G256" s="324"/>
      <c r="H256" s="387"/>
      <c r="I256" s="387"/>
      <c r="J256" s="322"/>
      <c r="K256" s="75" t="s">
        <v>934</v>
      </c>
      <c r="L256" s="342">
        <v>0.2</v>
      </c>
      <c r="M256" s="343">
        <f>'F&amp;B'!$F$68/10</f>
        <v>19665</v>
      </c>
      <c r="N256" s="67">
        <f t="shared" ref="N256:N257" si="35">M256*L256</f>
        <v>3933</v>
      </c>
      <c r="O256" s="324"/>
    </row>
    <row r="257" ht="12.75" customHeight="1">
      <c r="A257" s="322"/>
      <c r="B257" s="75" t="s">
        <v>1204</v>
      </c>
      <c r="C257" s="346">
        <v>0.02</v>
      </c>
      <c r="D257" s="371">
        <f>'F&amp;B'!$F$80</f>
        <v>103500</v>
      </c>
      <c r="E257" s="67">
        <f t="shared" si="34"/>
        <v>2070</v>
      </c>
      <c r="F257" s="324"/>
      <c r="G257" s="324"/>
      <c r="H257" s="387"/>
      <c r="I257" s="387"/>
      <c r="J257" s="322"/>
      <c r="K257" s="75"/>
      <c r="L257" s="346"/>
      <c r="M257" s="371"/>
      <c r="N257" s="67">
        <f t="shared" si="35"/>
        <v>0</v>
      </c>
      <c r="O257" s="324"/>
    </row>
    <row r="258" ht="12.75" customHeight="1">
      <c r="A258" s="322"/>
      <c r="B258" s="87" t="s">
        <v>1205</v>
      </c>
      <c r="C258" s="412">
        <v>0.052</v>
      </c>
      <c r="D258" s="371">
        <f>'F&amp;B'!$F$220</f>
        <v>128700</v>
      </c>
      <c r="E258" s="67">
        <f>IF(OR(ISBLANK(C258),ISBLANK(D258)),"",D258*C258)</f>
        <v>6692.4</v>
      </c>
      <c r="F258" s="324"/>
      <c r="G258" s="324"/>
      <c r="H258" s="387"/>
      <c r="I258" s="387"/>
      <c r="J258" s="322"/>
      <c r="K258" s="87"/>
      <c r="L258" s="412"/>
      <c r="M258" s="371"/>
      <c r="N258" s="67" t="str">
        <f>IF(OR(ISBLANK(L258),ISBLANK(M258)),"",M258*L258)</f>
        <v/>
      </c>
      <c r="O258" s="324"/>
    </row>
    <row r="259" ht="12.75" customHeight="1">
      <c r="A259" s="322"/>
      <c r="B259" s="348"/>
      <c r="C259" s="346"/>
      <c r="D259" s="373"/>
      <c r="E259" s="67">
        <f t="shared" ref="E259:E262" si="36">D259*C259</f>
        <v>0</v>
      </c>
      <c r="F259" s="324"/>
      <c r="G259" s="324"/>
      <c r="H259" s="387"/>
      <c r="I259" s="387"/>
      <c r="J259" s="322"/>
      <c r="K259" s="348"/>
      <c r="L259" s="346"/>
      <c r="M259" s="373"/>
      <c r="N259" s="67">
        <f t="shared" ref="N259:N262" si="37">M259*L259</f>
        <v>0</v>
      </c>
      <c r="O259" s="324"/>
    </row>
    <row r="260" ht="12.75" customHeight="1">
      <c r="A260" s="322"/>
      <c r="B260" s="348"/>
      <c r="C260" s="346"/>
      <c r="D260" s="373"/>
      <c r="E260" s="67">
        <f t="shared" si="36"/>
        <v>0</v>
      </c>
      <c r="F260" s="324"/>
      <c r="G260" s="324"/>
      <c r="H260" s="387"/>
      <c r="I260" s="387"/>
      <c r="J260" s="322"/>
      <c r="K260" s="348"/>
      <c r="L260" s="346"/>
      <c r="M260" s="373"/>
      <c r="N260" s="67">
        <f t="shared" si="37"/>
        <v>0</v>
      </c>
      <c r="O260" s="324"/>
    </row>
    <row r="261" ht="12.75" customHeight="1">
      <c r="A261" s="322"/>
      <c r="B261" s="348"/>
      <c r="C261" s="346"/>
      <c r="D261" s="373"/>
      <c r="E261" s="67">
        <f t="shared" si="36"/>
        <v>0</v>
      </c>
      <c r="F261" s="324"/>
      <c r="G261" s="324"/>
      <c r="H261" s="387"/>
      <c r="I261" s="387"/>
      <c r="J261" s="322"/>
      <c r="K261" s="348"/>
      <c r="L261" s="346"/>
      <c r="M261" s="373"/>
      <c r="N261" s="67">
        <f t="shared" si="37"/>
        <v>0</v>
      </c>
      <c r="O261" s="324"/>
    </row>
    <row r="262" ht="12.75" customHeight="1">
      <c r="A262" s="322"/>
      <c r="B262" s="354"/>
      <c r="C262" s="355"/>
      <c r="D262" s="356"/>
      <c r="E262" s="67">
        <f t="shared" si="36"/>
        <v>0</v>
      </c>
      <c r="F262" s="324"/>
      <c r="G262" s="324"/>
      <c r="H262" s="387"/>
      <c r="I262" s="387"/>
      <c r="J262" s="322"/>
      <c r="K262" s="354"/>
      <c r="L262" s="355"/>
      <c r="M262" s="356"/>
      <c r="N262" s="67">
        <f t="shared" si="37"/>
        <v>0</v>
      </c>
      <c r="O262" s="324"/>
    </row>
    <row r="263" ht="12.75" customHeight="1">
      <c r="A263" s="322"/>
      <c r="B263" s="362" t="s">
        <v>84</v>
      </c>
      <c r="C263" s="374"/>
      <c r="D263" s="374"/>
      <c r="E263" s="375">
        <f>IF(SUM(E253:E262)=0,"",SUM(E253:E262))</f>
        <v>14158.6488</v>
      </c>
      <c r="F263" s="324"/>
      <c r="G263" s="324"/>
      <c r="H263" s="387"/>
      <c r="I263" s="387"/>
      <c r="J263" s="322"/>
      <c r="K263" s="362" t="s">
        <v>84</v>
      </c>
      <c r="L263" s="374"/>
      <c r="M263" s="374"/>
      <c r="N263" s="375">
        <f>IF(SUM(N253:N262)=0,"",SUM(N253:N262))</f>
        <v>13598.325</v>
      </c>
      <c r="O263" s="324"/>
    </row>
    <row r="264" ht="12.75" customHeight="1">
      <c r="A264" s="322"/>
      <c r="B264" s="360"/>
      <c r="C264" s="360"/>
      <c r="D264" s="360"/>
      <c r="E264" s="361"/>
      <c r="F264" s="324"/>
      <c r="G264" s="324"/>
      <c r="H264" s="387"/>
      <c r="I264" s="387"/>
      <c r="J264" s="322"/>
      <c r="K264" s="360"/>
      <c r="L264" s="360"/>
      <c r="M264" s="360"/>
      <c r="N264" s="361"/>
      <c r="O264" s="324"/>
    </row>
    <row r="265" ht="12.75" customHeight="1">
      <c r="A265" s="322"/>
      <c r="B265" s="34" t="s">
        <v>17</v>
      </c>
      <c r="C265" s="35"/>
      <c r="D265" s="35"/>
      <c r="E265" s="35"/>
      <c r="F265" s="324"/>
      <c r="G265" s="324"/>
      <c r="H265" s="387"/>
      <c r="I265" s="387"/>
      <c r="J265" s="322"/>
      <c r="K265" s="34" t="s">
        <v>17</v>
      </c>
      <c r="L265" s="35"/>
      <c r="M265" s="35"/>
      <c r="N265" s="35"/>
      <c r="O265" s="324"/>
    </row>
    <row r="266" ht="12.75" customHeight="1">
      <c r="A266" s="322"/>
      <c r="B266" s="52" t="s">
        <v>42</v>
      </c>
      <c r="C266" s="54"/>
      <c r="D266" s="54"/>
      <c r="E266" s="56" t="s">
        <v>35</v>
      </c>
      <c r="F266" s="324"/>
      <c r="G266" s="324"/>
      <c r="H266" s="387"/>
      <c r="I266" s="387"/>
      <c r="J266" s="322"/>
      <c r="K266" s="52" t="s">
        <v>42</v>
      </c>
      <c r="L266" s="54"/>
      <c r="M266" s="54"/>
      <c r="N266" s="56" t="s">
        <v>35</v>
      </c>
      <c r="O266" s="324"/>
    </row>
    <row r="267" ht="12.75" customHeight="1">
      <c r="A267" s="322"/>
      <c r="B267" s="60" t="s">
        <v>40</v>
      </c>
      <c r="C267" s="343">
        <f>'UTL COST'!$B$3</f>
        <v>369000</v>
      </c>
      <c r="D267" s="379">
        <f>'UTL COST'!$C$3</f>
        <v>0.0075</v>
      </c>
      <c r="E267" s="67">
        <f>E222</f>
        <v>2767.5</v>
      </c>
      <c r="F267" s="324"/>
      <c r="G267" s="324"/>
      <c r="H267" s="387"/>
      <c r="I267" s="387"/>
      <c r="J267" s="322"/>
      <c r="K267" s="60" t="s">
        <v>40</v>
      </c>
      <c r="L267" s="343">
        <f>'UTL COST'!$B$3</f>
        <v>369000</v>
      </c>
      <c r="M267" s="379">
        <f>'UTL COST'!$C$3</f>
        <v>0.0075</v>
      </c>
      <c r="N267" s="67" t="str">
        <f>N222</f>
        <v>#REF!</v>
      </c>
      <c r="O267" s="324"/>
    </row>
    <row r="268" ht="12.75" customHeight="1">
      <c r="A268" s="322"/>
      <c r="B268" s="75" t="s">
        <v>51</v>
      </c>
      <c r="C268" s="371" t="str">
        <f>'UTL COST'!$B$4</f>
        <v>#REF!</v>
      </c>
      <c r="D268" s="382">
        <f>'UTL COST'!$C$4</f>
        <v>7000</v>
      </c>
      <c r="E268" s="76" t="str">
        <f>'UTL COST'!$D$4</f>
        <v>#REF!</v>
      </c>
      <c r="F268" s="324"/>
      <c r="G268" s="324"/>
      <c r="H268" s="387"/>
      <c r="I268" s="387"/>
      <c r="J268" s="322"/>
      <c r="K268" s="75" t="s">
        <v>51</v>
      </c>
      <c r="L268" s="371" t="str">
        <f>'UTL COST'!$B$4</f>
        <v>#REF!</v>
      </c>
      <c r="M268" s="382">
        <f>'UTL COST'!$C$4</f>
        <v>7000</v>
      </c>
      <c r="N268" s="76" t="str">
        <f>'UTL COST'!$D$4</f>
        <v>#REF!</v>
      </c>
      <c r="O268" s="324"/>
    </row>
    <row r="269" ht="12.75" customHeight="1">
      <c r="A269" s="322"/>
      <c r="B269" s="75" t="s">
        <v>59</v>
      </c>
      <c r="C269" s="371" t="str">
        <f>'UTL COST'!$B$5</f>
        <v>#REF!</v>
      </c>
      <c r="D269" s="382">
        <f>'UTL COST'!$C$5</f>
        <v>45000</v>
      </c>
      <c r="E269" s="76" t="str">
        <f>'UTL COST'!$D$5</f>
        <v>#REF!</v>
      </c>
      <c r="F269" s="324"/>
      <c r="G269" s="324"/>
      <c r="H269" s="387"/>
      <c r="I269" s="387"/>
      <c r="J269" s="322"/>
      <c r="K269" s="75" t="s">
        <v>59</v>
      </c>
      <c r="L269" s="371" t="str">
        <f>'UTL COST'!$B$5</f>
        <v>#REF!</v>
      </c>
      <c r="M269" s="382">
        <f>'UTL COST'!$C$5</f>
        <v>45000</v>
      </c>
      <c r="N269" s="76" t="str">
        <f>'UTL COST'!$D$5</f>
        <v>#REF!</v>
      </c>
      <c r="O269" s="324"/>
    </row>
    <row r="270" ht="12.75" customHeight="1">
      <c r="A270" s="322"/>
      <c r="B270" s="87" t="s">
        <v>78</v>
      </c>
      <c r="C270" s="371" t="str">
        <f>'UTL COST'!$B$6</f>
        <v>#REF!</v>
      </c>
      <c r="D270" s="383">
        <f>'UTL COST'!$C$6</f>
        <v>525</v>
      </c>
      <c r="E270" s="89">
        <v>0.1</v>
      </c>
      <c r="F270" s="324"/>
      <c r="G270" s="324"/>
      <c r="H270" s="387"/>
      <c r="I270" s="387"/>
      <c r="J270" s="322"/>
      <c r="K270" s="87" t="s">
        <v>78</v>
      </c>
      <c r="L270" s="371" t="str">
        <f>'UTL COST'!$B$6</f>
        <v>#REF!</v>
      </c>
      <c r="M270" s="383">
        <f>'UTL COST'!$C$6</f>
        <v>525</v>
      </c>
      <c r="N270" s="89">
        <v>0.1</v>
      </c>
      <c r="O270" s="324"/>
    </row>
    <row r="271" ht="12.75" customHeight="1">
      <c r="A271" s="322"/>
      <c r="B271" s="34" t="s">
        <v>84</v>
      </c>
      <c r="C271" s="102"/>
      <c r="D271" s="102"/>
      <c r="E271" s="104" t="str">
        <f>IF(SUM(E267:E270)=0,"",SUM(E267:E270))</f>
        <v>#REF!</v>
      </c>
      <c r="F271" s="324"/>
      <c r="G271" s="324"/>
      <c r="H271" s="387"/>
      <c r="I271" s="387"/>
      <c r="J271" s="322"/>
      <c r="K271" s="34" t="s">
        <v>84</v>
      </c>
      <c r="L271" s="102"/>
      <c r="M271" s="102"/>
      <c r="N271" s="104" t="str">
        <f>IF(SUM(N267:N270)=0,"",SUM(N267:N270))</f>
        <v>#REF!</v>
      </c>
      <c r="O271" s="324"/>
    </row>
    <row r="272" ht="12.75" customHeight="1">
      <c r="A272" s="322"/>
      <c r="B272" s="360"/>
      <c r="C272" s="360"/>
      <c r="D272" s="360"/>
      <c r="E272" s="361"/>
      <c r="F272" s="324"/>
      <c r="G272" s="324"/>
      <c r="H272" s="387"/>
      <c r="I272" s="387"/>
      <c r="J272" s="322"/>
      <c r="K272" s="360"/>
      <c r="L272" s="360"/>
      <c r="M272" s="360"/>
      <c r="N272" s="361"/>
      <c r="O272" s="324"/>
    </row>
    <row r="273" ht="15.75" customHeight="1"/>
    <row r="274" ht="15.75" customHeight="1"/>
    <row r="275" ht="15.75" customHeight="1"/>
    <row r="276" ht="15.75" customHeight="1">
      <c r="A276" s="322"/>
      <c r="B276" s="322"/>
      <c r="C276" s="322"/>
      <c r="D276" s="322"/>
      <c r="E276" s="323"/>
      <c r="F276" s="324"/>
    </row>
    <row r="277" ht="15.75" customHeight="1">
      <c r="A277" s="322"/>
      <c r="B277" s="325"/>
      <c r="C277" s="322"/>
      <c r="D277" s="322"/>
      <c r="E277" s="323"/>
      <c r="F277" s="326"/>
    </row>
    <row r="278" ht="15.75" customHeight="1">
      <c r="A278" s="322"/>
      <c r="B278" s="327" t="s">
        <v>931</v>
      </c>
      <c r="C278" s="330" t="s">
        <v>1441</v>
      </c>
      <c r="D278" s="329"/>
      <c r="E278" s="323"/>
      <c r="F278" s="326"/>
    </row>
    <row r="279" ht="15.75" customHeight="1">
      <c r="A279" s="322"/>
      <c r="B279" s="325"/>
      <c r="C279" s="322"/>
      <c r="D279" s="322"/>
      <c r="E279" s="323"/>
      <c r="F279" s="326"/>
    </row>
    <row r="280" ht="15.75" customHeight="1">
      <c r="A280" s="322"/>
      <c r="B280" s="327" t="s">
        <v>935</v>
      </c>
      <c r="C280" s="331">
        <f>E280*90000</f>
        <v>1215000</v>
      </c>
      <c r="D280" s="329"/>
      <c r="E280" s="394">
        <v>13.5</v>
      </c>
      <c r="F280" s="326"/>
    </row>
    <row r="281" ht="15.75" customHeight="1">
      <c r="A281" s="322"/>
      <c r="B281" s="327"/>
      <c r="C281" s="332"/>
      <c r="D281" s="332"/>
      <c r="E281" s="323"/>
      <c r="F281" s="326"/>
    </row>
    <row r="282" ht="15.75" customHeight="1">
      <c r="A282" s="322"/>
      <c r="B282" s="327" t="s">
        <v>939</v>
      </c>
      <c r="C282" s="333" t="str">
        <f>IF(SUM(E294,E309,E317)=0,"",SUM(E294,E309,E317))</f>
        <v>#REF!</v>
      </c>
      <c r="D282" s="321"/>
      <c r="E282" s="323" t="str">
        <f>C282/90000</f>
        <v>#REF!</v>
      </c>
      <c r="F282" s="326"/>
    </row>
    <row r="283" ht="15.75" customHeight="1">
      <c r="A283" s="322"/>
      <c r="B283" s="327"/>
      <c r="C283" s="334"/>
      <c r="D283" s="334"/>
      <c r="E283" s="323"/>
      <c r="F283" s="326"/>
    </row>
    <row r="284" ht="15.75" customHeight="1">
      <c r="A284" s="322"/>
      <c r="B284" s="327" t="s">
        <v>946</v>
      </c>
      <c r="C284" s="335" t="str">
        <f>IF(C282="","",IF(ISBLANK(C280),"",C282/C280))</f>
        <v>#REF!</v>
      </c>
      <c r="D284" s="321"/>
      <c r="E284" s="323"/>
      <c r="F284" s="326"/>
    </row>
    <row r="285" ht="15.75" customHeight="1">
      <c r="A285" s="322"/>
      <c r="B285" s="327"/>
      <c r="C285" s="334"/>
      <c r="D285" s="334"/>
      <c r="E285" s="323"/>
      <c r="F285" s="326"/>
    </row>
    <row r="286" ht="15.75" customHeight="1">
      <c r="A286" s="322"/>
      <c r="B286" s="327" t="s">
        <v>950</v>
      </c>
      <c r="C286" s="333" t="str">
        <f>C280-C282</f>
        <v>#REF!</v>
      </c>
      <c r="D286" s="321"/>
      <c r="E286" s="323"/>
      <c r="F286" s="326"/>
    </row>
    <row r="287" ht="15.75" customHeight="1">
      <c r="A287" s="322"/>
      <c r="B287" s="322"/>
      <c r="C287" s="322"/>
      <c r="D287" s="322"/>
      <c r="E287" s="323"/>
      <c r="F287" s="324"/>
    </row>
    <row r="288" ht="15.75" customHeight="1">
      <c r="A288" s="322"/>
      <c r="B288" s="322"/>
      <c r="C288" s="322"/>
      <c r="D288" s="322"/>
      <c r="E288" s="337"/>
      <c r="F288" s="324"/>
    </row>
    <row r="289" ht="15.75" customHeight="1">
      <c r="A289" s="322"/>
      <c r="B289" s="338" t="s">
        <v>951</v>
      </c>
      <c r="C289" s="339"/>
      <c r="D289" s="339"/>
      <c r="E289" s="339"/>
      <c r="F289" s="324"/>
    </row>
    <row r="290" ht="15.75" customHeight="1">
      <c r="A290" s="322"/>
      <c r="B290" s="340" t="s">
        <v>953</v>
      </c>
      <c r="C290" s="341" t="s">
        <v>954</v>
      </c>
      <c r="D290" s="341" t="s">
        <v>955</v>
      </c>
      <c r="E290" s="341" t="s">
        <v>35</v>
      </c>
      <c r="F290" s="324"/>
    </row>
    <row r="291" ht="15.75" customHeight="1">
      <c r="A291" s="322"/>
      <c r="B291" s="60" t="s">
        <v>1147</v>
      </c>
      <c r="C291" s="344">
        <v>0.1</v>
      </c>
      <c r="D291" s="343">
        <f>'F&amp;B'!$F$90</f>
        <v>108000</v>
      </c>
      <c r="E291" s="67">
        <f t="shared" ref="E291:E293" si="38">IF(OR(ISBLANK(C291),ISBLANK(D291)),"",D291*C291)</f>
        <v>10800</v>
      </c>
      <c r="F291" s="324"/>
    </row>
    <row r="292" ht="15.75" customHeight="1">
      <c r="A292" s="322"/>
      <c r="B292" s="406" t="s">
        <v>1442</v>
      </c>
      <c r="C292" s="412">
        <v>1.0</v>
      </c>
      <c r="D292" s="408">
        <f>'F&amp;B'!$F$16/40</f>
        <v>11925</v>
      </c>
      <c r="E292" s="89">
        <f t="shared" si="38"/>
        <v>11925</v>
      </c>
      <c r="F292" s="324"/>
    </row>
    <row r="293" ht="15.75" customHeight="1">
      <c r="A293" s="322"/>
      <c r="B293" s="406" t="s">
        <v>718</v>
      </c>
      <c r="C293" s="351">
        <v>0.03</v>
      </c>
      <c r="D293" s="408">
        <f>SAUCES!D172</f>
        <v>65027.16346</v>
      </c>
      <c r="E293" s="67">
        <f t="shared" si="38"/>
        <v>1950.814904</v>
      </c>
      <c r="F293" s="324"/>
    </row>
    <row r="294" ht="15.75" customHeight="1">
      <c r="A294" s="322"/>
      <c r="B294" s="338" t="s">
        <v>84</v>
      </c>
      <c r="C294" s="358"/>
      <c r="D294" s="358"/>
      <c r="E294" s="359">
        <f>IF(SUM(E291:E293)=0,"",SUM(E291:E293))</f>
        <v>24675.8149</v>
      </c>
      <c r="F294" s="324"/>
    </row>
    <row r="295" ht="15.75" customHeight="1">
      <c r="A295" s="322"/>
      <c r="B295" s="360"/>
      <c r="C295" s="360"/>
      <c r="D295" s="360"/>
      <c r="E295" s="361"/>
      <c r="F295" s="324"/>
    </row>
    <row r="296" ht="15.75" customHeight="1">
      <c r="A296" s="322"/>
      <c r="B296" s="362" t="s">
        <v>972</v>
      </c>
      <c r="C296" s="363"/>
      <c r="D296" s="363"/>
      <c r="E296" s="363"/>
      <c r="F296" s="324"/>
    </row>
    <row r="297" ht="15.75" customHeight="1">
      <c r="A297" s="322"/>
      <c r="B297" s="365" t="s">
        <v>953</v>
      </c>
      <c r="C297" s="366" t="s">
        <v>3</v>
      </c>
      <c r="D297" s="366" t="s">
        <v>975</v>
      </c>
      <c r="E297" s="367" t="s">
        <v>35</v>
      </c>
      <c r="F297" s="324"/>
    </row>
    <row r="298" ht="15.75" customHeight="1">
      <c r="A298" s="322"/>
      <c r="B298" s="368"/>
      <c r="C298" s="366"/>
      <c r="D298" s="366"/>
      <c r="E298" s="368"/>
      <c r="F298" s="324"/>
    </row>
    <row r="299" ht="15.75" customHeight="1">
      <c r="A299" s="322"/>
      <c r="B299" s="139" t="s">
        <v>1225</v>
      </c>
      <c r="C299" s="344">
        <v>0.03</v>
      </c>
      <c r="D299" s="343">
        <f>'F&amp;B'!$F$302</f>
        <v>10800</v>
      </c>
      <c r="E299" s="67">
        <f t="shared" ref="E299:E300" si="39">D299*C299</f>
        <v>324</v>
      </c>
      <c r="F299" s="324"/>
    </row>
    <row r="300" ht="15.75" customHeight="1">
      <c r="A300" s="322"/>
      <c r="B300" s="228" t="s">
        <v>56</v>
      </c>
      <c r="C300" s="405">
        <v>0.01</v>
      </c>
      <c r="D300" s="371">
        <f>'F&amp;B'!F87</f>
        <v>58500</v>
      </c>
      <c r="E300" s="67">
        <f t="shared" si="39"/>
        <v>585</v>
      </c>
      <c r="F300" s="324"/>
    </row>
    <row r="301" ht="15.75" customHeight="1">
      <c r="A301" s="322"/>
      <c r="B301" s="60" t="s">
        <v>703</v>
      </c>
      <c r="C301" s="342">
        <v>0.16</v>
      </c>
      <c r="D301" s="343">
        <f>'F&amp;B'!F228</f>
        <v>81000</v>
      </c>
      <c r="E301" s="67">
        <f>IF(OR(ISBLANK(C301),ISBLANK(D301)),"",D301*C301)</f>
        <v>12960</v>
      </c>
      <c r="F301" s="324"/>
    </row>
    <row r="302" ht="15.75" customHeight="1">
      <c r="A302" s="322"/>
      <c r="B302" s="228" t="s">
        <v>1373</v>
      </c>
      <c r="C302" s="405">
        <v>0.02</v>
      </c>
      <c r="D302" s="371">
        <f>'F&amp;B'!F250/3.75</f>
        <v>29040</v>
      </c>
      <c r="E302" s="67">
        <f t="shared" ref="E302:E308" si="40">D302*C302</f>
        <v>580.8</v>
      </c>
      <c r="F302" s="324"/>
    </row>
    <row r="303" ht="15.75" customHeight="1">
      <c r="A303" s="322"/>
      <c r="B303" s="350" t="s">
        <v>1376</v>
      </c>
      <c r="C303" s="405">
        <v>0.2</v>
      </c>
      <c r="D303" s="489">
        <f>D256</f>
        <v>19665</v>
      </c>
      <c r="E303" s="67">
        <f t="shared" si="40"/>
        <v>3933</v>
      </c>
      <c r="F303" s="324"/>
    </row>
    <row r="304" ht="15.75" customHeight="1">
      <c r="A304" s="322"/>
      <c r="B304" s="75"/>
      <c r="C304" s="370"/>
      <c r="D304" s="371"/>
      <c r="E304" s="67">
        <f t="shared" si="40"/>
        <v>0</v>
      </c>
      <c r="F304" s="324"/>
    </row>
    <row r="305" ht="15.75" customHeight="1">
      <c r="A305" s="322"/>
      <c r="B305" s="75"/>
      <c r="C305" s="346"/>
      <c r="D305" s="371"/>
      <c r="E305" s="67">
        <f t="shared" si="40"/>
        <v>0</v>
      </c>
      <c r="F305" s="324"/>
    </row>
    <row r="306" ht="15.75" customHeight="1">
      <c r="A306" s="322"/>
      <c r="B306" s="75"/>
      <c r="C306" s="342"/>
      <c r="D306" s="343"/>
      <c r="E306" s="67">
        <f t="shared" si="40"/>
        <v>0</v>
      </c>
      <c r="F306" s="324"/>
    </row>
    <row r="307" ht="15.75" customHeight="1">
      <c r="A307" s="322"/>
      <c r="B307" s="348"/>
      <c r="C307" s="346"/>
      <c r="D307" s="373"/>
      <c r="E307" s="67">
        <f t="shared" si="40"/>
        <v>0</v>
      </c>
      <c r="F307" s="324"/>
    </row>
    <row r="308" ht="15.75" customHeight="1">
      <c r="A308" s="322"/>
      <c r="B308" s="354"/>
      <c r="C308" s="355"/>
      <c r="D308" s="356"/>
      <c r="E308" s="67">
        <f t="shared" si="40"/>
        <v>0</v>
      </c>
      <c r="F308" s="324"/>
    </row>
    <row r="309" ht="15.75" customHeight="1">
      <c r="A309" s="322"/>
      <c r="B309" s="362" t="s">
        <v>84</v>
      </c>
      <c r="C309" s="374"/>
      <c r="D309" s="374"/>
      <c r="E309" s="375">
        <f>IF(SUM(E299:E308)=0,"",SUM(E299:E308))</f>
        <v>18382.8</v>
      </c>
      <c r="F309" s="324"/>
    </row>
    <row r="310" ht="15.75" customHeight="1">
      <c r="A310" s="322"/>
      <c r="B310" s="360"/>
      <c r="C310" s="360"/>
      <c r="D310" s="360"/>
      <c r="E310" s="361"/>
      <c r="F310" s="324"/>
    </row>
    <row r="311" ht="15.75" customHeight="1">
      <c r="A311" s="322"/>
      <c r="B311" s="34" t="s">
        <v>17</v>
      </c>
      <c r="C311" s="35"/>
      <c r="D311" s="35"/>
      <c r="E311" s="35"/>
      <c r="F311" s="324"/>
    </row>
    <row r="312" ht="15.75" customHeight="1">
      <c r="A312" s="322"/>
      <c r="B312" s="52" t="s">
        <v>42</v>
      </c>
      <c r="C312" s="54"/>
      <c r="D312" s="54"/>
      <c r="E312" s="56" t="s">
        <v>35</v>
      </c>
      <c r="F312" s="324"/>
    </row>
    <row r="313" ht="15.75" customHeight="1">
      <c r="A313" s="322"/>
      <c r="B313" s="60" t="s">
        <v>40</v>
      </c>
      <c r="C313" s="343">
        <f>'UTL COST'!$B$3</f>
        <v>369000</v>
      </c>
      <c r="D313" s="379">
        <f>'UTL COST'!$C$3</f>
        <v>0.0075</v>
      </c>
      <c r="E313" s="67">
        <v>0.0</v>
      </c>
      <c r="F313" s="324"/>
    </row>
    <row r="314" ht="15.75" customHeight="1">
      <c r="A314" s="322"/>
      <c r="B314" s="75" t="s">
        <v>51</v>
      </c>
      <c r="C314" s="371" t="str">
        <f>'UTL COST'!$B$4</f>
        <v>#REF!</v>
      </c>
      <c r="D314" s="382">
        <f>'UTL COST'!$C$4</f>
        <v>7000</v>
      </c>
      <c r="E314" s="76" t="str">
        <f>'UTL COST'!$D$4</f>
        <v>#REF!</v>
      </c>
      <c r="F314" s="324"/>
    </row>
    <row r="315" ht="15.75" customHeight="1">
      <c r="A315" s="322"/>
      <c r="B315" s="75" t="s">
        <v>59</v>
      </c>
      <c r="C315" s="371" t="str">
        <f>'UTL COST'!$B$5</f>
        <v>#REF!</v>
      </c>
      <c r="D315" s="382">
        <f>'UTL COST'!$C$5</f>
        <v>45000</v>
      </c>
      <c r="E315" s="76" t="str">
        <f>'UTL COST'!$D$5</f>
        <v>#REF!</v>
      </c>
      <c r="F315" s="324"/>
    </row>
    <row r="316" ht="15.75" customHeight="1">
      <c r="A316" s="322"/>
      <c r="B316" s="87" t="s">
        <v>78</v>
      </c>
      <c r="C316" s="371" t="str">
        <f>'UTL COST'!$B$6</f>
        <v>#REF!</v>
      </c>
      <c r="D316" s="383">
        <f>'UTL COST'!$C$6</f>
        <v>525</v>
      </c>
      <c r="E316" s="89">
        <v>0.1</v>
      </c>
      <c r="F316" s="324"/>
    </row>
    <row r="317" ht="15.75" customHeight="1">
      <c r="A317" s="322"/>
      <c r="B317" s="34" t="s">
        <v>84</v>
      </c>
      <c r="C317" s="102"/>
      <c r="D317" s="102"/>
      <c r="E317" s="430" t="str">
        <f>IF(SUM(E313:E316)=0,"",SUM(E313:E316))</f>
        <v>#REF!</v>
      </c>
      <c r="F317" s="324"/>
    </row>
    <row r="318" ht="15.75" customHeight="1">
      <c r="A318" s="322"/>
      <c r="B318" s="360"/>
      <c r="C318" s="360"/>
      <c r="D318" s="360"/>
      <c r="E318" s="361"/>
      <c r="F318" s="324"/>
    </row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9">
    <mergeCell ref="C96:D96"/>
    <mergeCell ref="C98:D98"/>
    <mergeCell ref="C100:D100"/>
    <mergeCell ref="C102:D102"/>
    <mergeCell ref="C104:D104"/>
    <mergeCell ref="B115:B116"/>
    <mergeCell ref="E115:E116"/>
    <mergeCell ref="C142:D142"/>
    <mergeCell ref="C144:D144"/>
    <mergeCell ref="C146:D146"/>
    <mergeCell ref="C148:D148"/>
    <mergeCell ref="C150:D150"/>
    <mergeCell ref="B161:B162"/>
    <mergeCell ref="E161:E162"/>
    <mergeCell ref="C278:D278"/>
    <mergeCell ref="C280:D280"/>
    <mergeCell ref="C282:D282"/>
    <mergeCell ref="C284:D284"/>
    <mergeCell ref="C286:D286"/>
    <mergeCell ref="B297:B298"/>
    <mergeCell ref="E297:E298"/>
    <mergeCell ref="C232:D232"/>
    <mergeCell ref="C234:D234"/>
    <mergeCell ref="C236:D236"/>
    <mergeCell ref="C238:D238"/>
    <mergeCell ref="C240:D240"/>
    <mergeCell ref="B251:B252"/>
    <mergeCell ref="E251:E252"/>
    <mergeCell ref="L238:M238"/>
    <mergeCell ref="L240:M240"/>
    <mergeCell ref="K251:K252"/>
    <mergeCell ref="N251:N252"/>
    <mergeCell ref="L193:M193"/>
    <mergeCell ref="L195:M195"/>
    <mergeCell ref="K206:K207"/>
    <mergeCell ref="N206:N207"/>
    <mergeCell ref="L232:M232"/>
    <mergeCell ref="L234:M234"/>
    <mergeCell ref="L236:M236"/>
    <mergeCell ref="A1:F1"/>
    <mergeCell ref="C6:D6"/>
    <mergeCell ref="L6:M6"/>
    <mergeCell ref="C8:D8"/>
    <mergeCell ref="L8:M8"/>
    <mergeCell ref="L10:M10"/>
    <mergeCell ref="L12:M12"/>
    <mergeCell ref="L14:M14"/>
    <mergeCell ref="C12:D12"/>
    <mergeCell ref="C14:D14"/>
    <mergeCell ref="B25:B26"/>
    <mergeCell ref="E25:E26"/>
    <mergeCell ref="K25:K26"/>
    <mergeCell ref="N25:N26"/>
    <mergeCell ref="L50:M50"/>
    <mergeCell ref="C50:D50"/>
    <mergeCell ref="C52:D52"/>
    <mergeCell ref="C54:D54"/>
    <mergeCell ref="C56:D56"/>
    <mergeCell ref="C58:D58"/>
    <mergeCell ref="B69:B70"/>
    <mergeCell ref="E69:E70"/>
    <mergeCell ref="L52:M52"/>
    <mergeCell ref="L54:M54"/>
    <mergeCell ref="L56:M56"/>
    <mergeCell ref="L57:M57"/>
    <mergeCell ref="L58:M58"/>
    <mergeCell ref="K69:K70"/>
    <mergeCell ref="N69:N70"/>
    <mergeCell ref="L96:M96"/>
    <mergeCell ref="L98:M98"/>
    <mergeCell ref="L102:M102"/>
    <mergeCell ref="L104:M104"/>
    <mergeCell ref="K115:K116"/>
    <mergeCell ref="N115:N116"/>
    <mergeCell ref="L142:M142"/>
    <mergeCell ref="C187:D187"/>
    <mergeCell ref="C189:D189"/>
    <mergeCell ref="C191:D191"/>
    <mergeCell ref="C193:D193"/>
    <mergeCell ref="C195:D195"/>
    <mergeCell ref="B206:B207"/>
    <mergeCell ref="E206:E207"/>
    <mergeCell ref="L144:M144"/>
    <mergeCell ref="L148:M148"/>
    <mergeCell ref="L150:M150"/>
    <mergeCell ref="K161:K162"/>
    <mergeCell ref="N161:N162"/>
    <mergeCell ref="L187:M187"/>
    <mergeCell ref="L189:M189"/>
  </mergeCells>
  <printOptions/>
  <pageMargins bottom="0.75" footer="0.0" header="0.0" left="0.7" right="0.7" top="0.75"/>
  <pageSetup orientation="portrait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BF8F"/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0"/>
    <col customWidth="1" min="4" max="4" width="10.0"/>
    <col customWidth="1" min="5" max="5" width="12.63"/>
    <col customWidth="1" min="6" max="7" width="3.0"/>
    <col customWidth="1" min="8" max="10" width="7.75"/>
    <col customWidth="1" min="11" max="11" width="24.38"/>
    <col customWidth="1" min="12" max="12" width="12.0"/>
    <col customWidth="1" min="13" max="13" width="11.13"/>
    <col customWidth="1" min="14" max="14" width="9.88"/>
    <col customWidth="1" min="15" max="15" width="7.75"/>
    <col customWidth="1" min="16" max="26" width="14.38"/>
  </cols>
  <sheetData>
    <row r="1" ht="46.5" customHeight="1">
      <c r="A1" s="399" t="s">
        <v>1388</v>
      </c>
      <c r="B1" s="321"/>
      <c r="C1" s="321"/>
      <c r="D1" s="321"/>
      <c r="E1" s="321"/>
      <c r="F1" s="321"/>
      <c r="G1" s="402"/>
      <c r="H1" s="387"/>
      <c r="I1" s="387"/>
      <c r="J1" s="387"/>
      <c r="K1" s="387"/>
      <c r="L1" s="387"/>
      <c r="M1" s="387"/>
      <c r="N1" s="387"/>
      <c r="O1" s="387"/>
    </row>
    <row r="2" ht="18.0" customHeight="1">
      <c r="A2" s="388"/>
      <c r="B2" s="388"/>
      <c r="C2" s="388"/>
      <c r="D2" s="388"/>
      <c r="E2" s="389"/>
      <c r="F2" s="387"/>
      <c r="G2" s="387"/>
      <c r="H2" s="387"/>
      <c r="I2" s="387"/>
      <c r="J2" s="387"/>
      <c r="K2" s="387"/>
      <c r="L2" s="387"/>
      <c r="M2" s="387"/>
      <c r="N2" s="387"/>
      <c r="O2" s="387"/>
    </row>
    <row r="3" ht="6.75" customHeight="1">
      <c r="A3" s="388"/>
      <c r="B3" s="388"/>
      <c r="C3" s="388"/>
      <c r="D3" s="388"/>
      <c r="E3" s="389"/>
      <c r="F3" s="387"/>
      <c r="G3" s="387"/>
      <c r="H3" s="387"/>
      <c r="I3" s="387"/>
      <c r="J3" s="387"/>
      <c r="K3" s="387"/>
      <c r="L3" s="387"/>
      <c r="M3" s="387"/>
      <c r="N3" s="387"/>
      <c r="O3" s="387"/>
    </row>
    <row r="4" ht="15.0" customHeight="1">
      <c r="A4" s="322"/>
      <c r="B4" s="322"/>
      <c r="C4" s="322"/>
      <c r="D4" s="322"/>
      <c r="E4" s="323"/>
      <c r="F4" s="324"/>
      <c r="G4" s="324"/>
      <c r="H4" s="387"/>
      <c r="I4" s="388"/>
      <c r="J4" s="322"/>
      <c r="K4" s="322"/>
      <c r="L4" s="322"/>
      <c r="M4" s="322"/>
      <c r="N4" s="323"/>
      <c r="O4" s="324"/>
    </row>
    <row r="5" ht="4.5" customHeight="1">
      <c r="A5" s="322"/>
      <c r="B5" s="325"/>
      <c r="C5" s="322"/>
      <c r="D5" s="322"/>
      <c r="E5" s="323"/>
      <c r="F5" s="326"/>
      <c r="G5" s="326"/>
      <c r="H5" s="404"/>
      <c r="I5" s="388"/>
      <c r="J5" s="322"/>
      <c r="K5" s="325"/>
      <c r="L5" s="322"/>
      <c r="M5" s="322"/>
      <c r="N5" s="323"/>
      <c r="O5" s="326"/>
    </row>
    <row r="6" ht="18.0" customHeight="1">
      <c r="A6" s="322"/>
      <c r="B6" s="327" t="s">
        <v>931</v>
      </c>
      <c r="C6" s="328" t="s">
        <v>846</v>
      </c>
      <c r="D6" s="329"/>
      <c r="E6" s="323"/>
      <c r="F6" s="326"/>
      <c r="G6" s="326"/>
      <c r="H6" s="404"/>
      <c r="I6" s="388"/>
      <c r="J6" s="322"/>
      <c r="K6" s="327" t="s">
        <v>931</v>
      </c>
      <c r="L6" s="328" t="s">
        <v>851</v>
      </c>
      <c r="M6" s="329"/>
      <c r="N6" s="323"/>
      <c r="O6" s="326"/>
    </row>
    <row r="7" ht="4.5" customHeight="1">
      <c r="A7" s="322"/>
      <c r="B7" s="325"/>
      <c r="C7" s="322"/>
      <c r="D7" s="322"/>
      <c r="E7" s="323"/>
      <c r="F7" s="326"/>
      <c r="G7" s="326"/>
      <c r="H7" s="404"/>
      <c r="I7" s="388"/>
      <c r="J7" s="322"/>
      <c r="K7" s="325"/>
      <c r="L7" s="322"/>
      <c r="M7" s="322"/>
      <c r="N7" s="323"/>
      <c r="O7" s="326"/>
    </row>
    <row r="8" ht="18.0" customHeight="1">
      <c r="A8" s="322"/>
      <c r="B8" s="327" t="s">
        <v>935</v>
      </c>
      <c r="C8" s="331">
        <f>E8*90000</f>
        <v>720000</v>
      </c>
      <c r="D8" s="329"/>
      <c r="E8" s="394">
        <v>8.0</v>
      </c>
      <c r="F8" s="326"/>
      <c r="G8" s="326"/>
      <c r="H8" s="404"/>
      <c r="I8" s="388"/>
      <c r="J8" s="322"/>
      <c r="K8" s="327" t="s">
        <v>935</v>
      </c>
      <c r="L8" s="331">
        <f>N8*90000</f>
        <v>720000</v>
      </c>
      <c r="M8" s="329"/>
      <c r="N8" s="394">
        <v>8.0</v>
      </c>
      <c r="O8" s="326"/>
    </row>
    <row r="9" ht="4.5" customHeight="1">
      <c r="A9" s="322"/>
      <c r="B9" s="327"/>
      <c r="C9" s="332"/>
      <c r="D9" s="332"/>
      <c r="E9" s="323"/>
      <c r="F9" s="326"/>
      <c r="G9" s="326"/>
      <c r="H9" s="404"/>
      <c r="I9" s="388"/>
      <c r="J9" s="322"/>
      <c r="K9" s="327"/>
      <c r="L9" s="332"/>
      <c r="M9" s="332"/>
      <c r="N9" s="323"/>
      <c r="O9" s="326"/>
    </row>
    <row r="10" ht="18.0" customHeight="1">
      <c r="A10" s="322"/>
      <c r="B10" s="327" t="s">
        <v>939</v>
      </c>
      <c r="C10" s="333" t="str">
        <f>IF(SUM(E22,E37,E45)=0,"",SUM(E22,E37,E45))</f>
        <v>#REF!</v>
      </c>
      <c r="D10" s="321"/>
      <c r="E10" s="323" t="str">
        <f>C10/90000</f>
        <v>#REF!</v>
      </c>
      <c r="F10" s="326"/>
      <c r="G10" s="326"/>
      <c r="H10" s="404"/>
      <c r="I10" s="388"/>
      <c r="J10" s="322"/>
      <c r="K10" s="327" t="s">
        <v>939</v>
      </c>
      <c r="L10" s="333" t="str">
        <f>IF(SUM(N22,N37,N45)=0,"",SUM(N22,N37,N45))</f>
        <v>#REF!</v>
      </c>
      <c r="M10" s="321"/>
      <c r="N10" s="323" t="str">
        <f>L10/90000</f>
        <v>#REF!</v>
      </c>
      <c r="O10" s="326"/>
    </row>
    <row r="11" ht="4.5" customHeight="1">
      <c r="A11" s="322"/>
      <c r="B11" s="327"/>
      <c r="C11" s="334"/>
      <c r="D11" s="334"/>
      <c r="E11" s="323"/>
      <c r="F11" s="326"/>
      <c r="G11" s="326"/>
      <c r="H11" s="404"/>
      <c r="I11" s="388"/>
      <c r="J11" s="322"/>
      <c r="K11" s="327"/>
      <c r="L11" s="334"/>
      <c r="M11" s="334"/>
      <c r="N11" s="323"/>
      <c r="O11" s="326"/>
    </row>
    <row r="12" ht="18.0" customHeight="1">
      <c r="A12" s="322"/>
      <c r="B12" s="327" t="s">
        <v>946</v>
      </c>
      <c r="C12" s="335" t="str">
        <f>IF(C10="","",IF(ISBLANK(C8),"",C10/C8))</f>
        <v>#REF!</v>
      </c>
      <c r="D12" s="321"/>
      <c r="E12" s="323"/>
      <c r="F12" s="326"/>
      <c r="G12" s="326"/>
      <c r="H12" s="404"/>
      <c r="I12" s="388"/>
      <c r="J12" s="322"/>
      <c r="K12" s="327" t="s">
        <v>946</v>
      </c>
      <c r="L12" s="335" t="str">
        <f>IF(L10="","",IF(ISBLANK(L8),"",L10/L8))</f>
        <v>#REF!</v>
      </c>
      <c r="M12" s="321"/>
      <c r="N12" s="323"/>
      <c r="O12" s="326"/>
    </row>
    <row r="13" ht="4.5" customHeight="1">
      <c r="A13" s="322"/>
      <c r="B13" s="327"/>
      <c r="C13" s="334"/>
      <c r="D13" s="334"/>
      <c r="E13" s="323"/>
      <c r="F13" s="326"/>
      <c r="G13" s="326"/>
      <c r="H13" s="404"/>
      <c r="I13" s="388"/>
      <c r="J13" s="322"/>
      <c r="K13" s="327"/>
      <c r="L13" s="334"/>
      <c r="M13" s="334"/>
      <c r="N13" s="323"/>
      <c r="O13" s="326"/>
    </row>
    <row r="14" ht="18.0" customHeight="1">
      <c r="A14" s="322"/>
      <c r="B14" s="327" t="s">
        <v>950</v>
      </c>
      <c r="C14" s="333" t="str">
        <f>C8-C10</f>
        <v>#REF!</v>
      </c>
      <c r="D14" s="321"/>
      <c r="E14" s="323"/>
      <c r="F14" s="326"/>
      <c r="G14" s="326"/>
      <c r="H14" s="404"/>
      <c r="I14" s="388"/>
      <c r="J14" s="322"/>
      <c r="K14" s="327" t="s">
        <v>950</v>
      </c>
      <c r="L14" s="333" t="str">
        <f>L8-L10</f>
        <v>#REF!</v>
      </c>
      <c r="M14" s="321"/>
      <c r="N14" s="323"/>
      <c r="O14" s="326"/>
    </row>
    <row r="15" ht="15.0" customHeight="1">
      <c r="A15" s="322"/>
      <c r="B15" s="322"/>
      <c r="C15" s="322"/>
      <c r="D15" s="322"/>
      <c r="E15" s="323"/>
      <c r="F15" s="324"/>
      <c r="G15" s="324"/>
      <c r="H15" s="404"/>
      <c r="I15" s="388"/>
      <c r="J15" s="322"/>
      <c r="K15" s="322"/>
      <c r="L15" s="322"/>
      <c r="M15" s="322"/>
      <c r="N15" s="323"/>
      <c r="O15" s="324"/>
    </row>
    <row r="16" ht="12.75" customHeight="1">
      <c r="A16" s="322"/>
      <c r="B16" s="322"/>
      <c r="C16" s="322"/>
      <c r="D16" s="322"/>
      <c r="E16" s="337"/>
      <c r="F16" s="324"/>
      <c r="G16" s="324"/>
      <c r="H16" s="387"/>
      <c r="I16" s="388"/>
      <c r="J16" s="322"/>
      <c r="K16" s="322"/>
      <c r="L16" s="322"/>
      <c r="M16" s="322"/>
      <c r="N16" s="337"/>
      <c r="O16" s="324"/>
    </row>
    <row r="17" ht="12.75" customHeight="1">
      <c r="A17" s="322"/>
      <c r="B17" s="338" t="s">
        <v>951</v>
      </c>
      <c r="C17" s="339"/>
      <c r="D17" s="339"/>
      <c r="E17" s="339"/>
      <c r="F17" s="324"/>
      <c r="G17" s="324"/>
      <c r="H17" s="410"/>
      <c r="I17" s="388"/>
      <c r="J17" s="322"/>
      <c r="K17" s="338" t="s">
        <v>951</v>
      </c>
      <c r="L17" s="339"/>
      <c r="M17" s="339"/>
      <c r="N17" s="339"/>
      <c r="O17" s="324"/>
    </row>
    <row r="18" ht="12.75" customHeight="1">
      <c r="A18" s="322"/>
      <c r="B18" s="340" t="s">
        <v>953</v>
      </c>
      <c r="C18" s="341" t="s">
        <v>954</v>
      </c>
      <c r="D18" s="341" t="s">
        <v>955</v>
      </c>
      <c r="E18" s="341" t="s">
        <v>35</v>
      </c>
      <c r="F18" s="324"/>
      <c r="G18" s="324"/>
      <c r="H18" s="387"/>
      <c r="I18" s="388"/>
      <c r="J18" s="322"/>
      <c r="K18" s="340" t="s">
        <v>953</v>
      </c>
      <c r="L18" s="341" t="s">
        <v>954</v>
      </c>
      <c r="M18" s="341" t="s">
        <v>955</v>
      </c>
      <c r="N18" s="341" t="s">
        <v>35</v>
      </c>
      <c r="O18" s="324"/>
    </row>
    <row r="19" ht="12.75" customHeight="1">
      <c r="A19" s="322"/>
      <c r="B19" s="60" t="s">
        <v>703</v>
      </c>
      <c r="C19" s="342">
        <v>0.16</v>
      </c>
      <c r="D19" s="343">
        <f>'F&amp;B'!$F$229</f>
        <v>81000</v>
      </c>
      <c r="E19" s="67">
        <f t="shared" ref="E19:E21" si="1">IF(OR(ISBLANK(C19),ISBLANK(D19)),"",D19*C19)</f>
        <v>12960</v>
      </c>
      <c r="F19" s="324"/>
      <c r="G19" s="324"/>
      <c r="H19" s="387"/>
      <c r="I19" s="388"/>
      <c r="J19" s="322"/>
      <c r="K19" s="60" t="s">
        <v>703</v>
      </c>
      <c r="L19" s="342">
        <v>0.16</v>
      </c>
      <c r="M19" s="343">
        <f t="shared" ref="M19:M20" si="2">D19</f>
        <v>81000</v>
      </c>
      <c r="N19" s="67">
        <f t="shared" ref="N19:N21" si="3">IF(OR(ISBLANK(L19),ISBLANK(M19)),"",M19*L19)</f>
        <v>12960</v>
      </c>
      <c r="O19" s="324"/>
    </row>
    <row r="20" ht="12.75" customHeight="1">
      <c r="A20" s="322"/>
      <c r="B20" s="75" t="s">
        <v>1309</v>
      </c>
      <c r="C20" s="405">
        <v>0.1</v>
      </c>
      <c r="D20" s="371">
        <f>'F&amp;B'!$F$99/12</f>
        <v>63000</v>
      </c>
      <c r="E20" s="67">
        <f t="shared" si="1"/>
        <v>6300</v>
      </c>
      <c r="F20" s="324"/>
      <c r="G20" s="324"/>
      <c r="H20" s="387"/>
      <c r="I20" s="388"/>
      <c r="J20" s="322"/>
      <c r="K20" s="75" t="s">
        <v>850</v>
      </c>
      <c r="L20" s="405">
        <v>0.1</v>
      </c>
      <c r="M20" s="371">
        <f t="shared" si="2"/>
        <v>63000</v>
      </c>
      <c r="N20" s="67">
        <f t="shared" si="3"/>
        <v>6300</v>
      </c>
      <c r="O20" s="324"/>
    </row>
    <row r="21" ht="12.75" customHeight="1">
      <c r="A21" s="322"/>
      <c r="B21" s="87" t="s">
        <v>200</v>
      </c>
      <c r="C21" s="355">
        <v>1.0</v>
      </c>
      <c r="D21" s="400">
        <f>SAUCES!$D$92</f>
        <v>900.9230769</v>
      </c>
      <c r="E21" s="67">
        <f t="shared" si="1"/>
        <v>900.9230769</v>
      </c>
      <c r="F21" s="324"/>
      <c r="G21" s="324"/>
      <c r="H21" s="387"/>
      <c r="I21" s="388"/>
      <c r="J21" s="322"/>
      <c r="K21" s="87" t="s">
        <v>200</v>
      </c>
      <c r="L21" s="355">
        <v>1.0</v>
      </c>
      <c r="M21" s="400">
        <f>SAUCES!$D$92</f>
        <v>900.9230769</v>
      </c>
      <c r="N21" s="67">
        <f t="shared" si="3"/>
        <v>900.9230769</v>
      </c>
      <c r="O21" s="324"/>
    </row>
    <row r="22" ht="12.75" customHeight="1">
      <c r="A22" s="322"/>
      <c r="B22" s="338" t="s">
        <v>84</v>
      </c>
      <c r="C22" s="358"/>
      <c r="D22" s="358"/>
      <c r="E22" s="359">
        <f>IF(SUM(E19:E21)=0,"",SUM(E19:E21))</f>
        <v>20160.92308</v>
      </c>
      <c r="F22" s="324"/>
      <c r="G22" s="324"/>
      <c r="H22" s="387"/>
      <c r="I22" s="388"/>
      <c r="J22" s="322"/>
      <c r="K22" s="338" t="s">
        <v>84</v>
      </c>
      <c r="L22" s="358"/>
      <c r="M22" s="358"/>
      <c r="N22" s="359">
        <f>IF(SUM(N19:N21)=0,"",SUM(N19:N21))</f>
        <v>20160.92308</v>
      </c>
      <c r="O22" s="324"/>
    </row>
    <row r="23" ht="12.75" customHeight="1">
      <c r="A23" s="322"/>
      <c r="B23" s="360"/>
      <c r="C23" s="360"/>
      <c r="D23" s="360"/>
      <c r="E23" s="361"/>
      <c r="F23" s="324"/>
      <c r="G23" s="324"/>
      <c r="H23" s="387"/>
      <c r="I23" s="388"/>
      <c r="J23" s="322"/>
      <c r="K23" s="360"/>
      <c r="L23" s="360"/>
      <c r="M23" s="360"/>
      <c r="N23" s="361"/>
      <c r="O23" s="324"/>
    </row>
    <row r="24" ht="12.75" customHeight="1">
      <c r="A24" s="322"/>
      <c r="B24" s="362" t="s">
        <v>972</v>
      </c>
      <c r="C24" s="363"/>
      <c r="D24" s="363"/>
      <c r="E24" s="363"/>
      <c r="F24" s="324"/>
      <c r="G24" s="324"/>
      <c r="H24" s="387"/>
      <c r="I24" s="388"/>
      <c r="J24" s="322"/>
      <c r="K24" s="362" t="s">
        <v>972</v>
      </c>
      <c r="L24" s="363"/>
      <c r="M24" s="363"/>
      <c r="N24" s="363"/>
      <c r="O24" s="324"/>
    </row>
    <row r="25" ht="12.75" customHeight="1">
      <c r="A25" s="322"/>
      <c r="B25" s="365" t="s">
        <v>953</v>
      </c>
      <c r="C25" s="366" t="s">
        <v>3</v>
      </c>
      <c r="D25" s="366" t="s">
        <v>975</v>
      </c>
      <c r="E25" s="367" t="s">
        <v>35</v>
      </c>
      <c r="F25" s="324"/>
      <c r="G25" s="324"/>
      <c r="H25" s="387"/>
      <c r="I25" s="388"/>
      <c r="J25" s="322"/>
      <c r="K25" s="365" t="s">
        <v>953</v>
      </c>
      <c r="L25" s="366" t="s">
        <v>3</v>
      </c>
      <c r="M25" s="366" t="s">
        <v>975</v>
      </c>
      <c r="N25" s="367" t="s">
        <v>35</v>
      </c>
      <c r="O25" s="324"/>
    </row>
    <row r="26" ht="12.75" customHeight="1">
      <c r="A26" s="322"/>
      <c r="B26" s="368"/>
      <c r="C26" s="366"/>
      <c r="D26" s="366"/>
      <c r="E26" s="368"/>
      <c r="F26" s="324"/>
      <c r="G26" s="324"/>
      <c r="H26" s="387"/>
      <c r="I26" s="388"/>
      <c r="J26" s="322"/>
      <c r="K26" s="368"/>
      <c r="L26" s="366"/>
      <c r="M26" s="366"/>
      <c r="N26" s="368"/>
      <c r="O26" s="324"/>
    </row>
    <row r="27" ht="12.75" customHeight="1">
      <c r="A27" s="322"/>
      <c r="B27" s="60" t="s">
        <v>161</v>
      </c>
      <c r="C27" s="344">
        <v>0.03</v>
      </c>
      <c r="D27" s="343">
        <f>M73</f>
        <v>13500</v>
      </c>
      <c r="E27" s="67">
        <f t="shared" ref="E27:E36" si="4">D27*C27</f>
        <v>405</v>
      </c>
      <c r="F27" s="324"/>
      <c r="G27" s="324"/>
      <c r="H27" s="387"/>
      <c r="I27" s="388"/>
      <c r="J27" s="322"/>
      <c r="K27" s="60" t="s">
        <v>161</v>
      </c>
      <c r="L27" s="342">
        <v>0.01</v>
      </c>
      <c r="M27" s="343">
        <f>D27</f>
        <v>13500</v>
      </c>
      <c r="N27" s="67">
        <f t="shared" ref="N27:N36" si="5">M27*L27</f>
        <v>135</v>
      </c>
      <c r="O27" s="324"/>
    </row>
    <row r="28" ht="12.75" customHeight="1">
      <c r="A28" s="322"/>
      <c r="B28" s="75" t="s">
        <v>173</v>
      </c>
      <c r="C28" s="370">
        <v>0.05</v>
      </c>
      <c r="D28" s="371">
        <f>M72</f>
        <v>7200</v>
      </c>
      <c r="E28" s="67">
        <f t="shared" si="4"/>
        <v>360</v>
      </c>
      <c r="F28" s="324"/>
      <c r="G28" s="324"/>
      <c r="H28" s="387"/>
      <c r="I28" s="388"/>
      <c r="J28" s="322"/>
      <c r="K28" s="75" t="s">
        <v>1115</v>
      </c>
      <c r="L28" s="370">
        <v>0.03</v>
      </c>
      <c r="M28" s="371">
        <f>'F&amp;B'!$F$280</f>
        <v>2970</v>
      </c>
      <c r="N28" s="67">
        <f t="shared" si="5"/>
        <v>89.1</v>
      </c>
      <c r="O28" s="324"/>
    </row>
    <row r="29" ht="12.75" customHeight="1">
      <c r="A29" s="322"/>
      <c r="B29" s="228" t="s">
        <v>1151</v>
      </c>
      <c r="C29" s="405">
        <v>0.05</v>
      </c>
      <c r="D29" s="371">
        <f>'F&amp;B'!$F$277</f>
        <v>13500</v>
      </c>
      <c r="E29" s="67">
        <f t="shared" si="4"/>
        <v>675</v>
      </c>
      <c r="F29" s="324"/>
      <c r="G29" s="324"/>
      <c r="H29" s="387"/>
      <c r="I29" s="388"/>
      <c r="J29" s="322"/>
      <c r="K29" s="429" t="s">
        <v>1399</v>
      </c>
      <c r="L29" s="346">
        <v>0.06</v>
      </c>
      <c r="M29" s="371">
        <f>D30</f>
        <v>28809.52381</v>
      </c>
      <c r="N29" s="67">
        <f t="shared" si="5"/>
        <v>1728.571429</v>
      </c>
      <c r="O29" s="324"/>
    </row>
    <row r="30" ht="12.75" customHeight="1">
      <c r="A30" s="322"/>
      <c r="B30" s="429" t="s">
        <v>1400</v>
      </c>
      <c r="C30" s="346">
        <v>0.06</v>
      </c>
      <c r="D30" s="371">
        <f>M71</f>
        <v>28809.52381</v>
      </c>
      <c r="E30" s="67">
        <f t="shared" si="4"/>
        <v>1728.571429</v>
      </c>
      <c r="F30" s="324"/>
      <c r="G30" s="324"/>
      <c r="H30" s="387"/>
      <c r="I30" s="388"/>
      <c r="J30" s="322"/>
      <c r="K30" s="429"/>
      <c r="L30" s="346"/>
      <c r="M30" s="371"/>
      <c r="N30" s="67">
        <f t="shared" si="5"/>
        <v>0</v>
      </c>
      <c r="O30" s="324"/>
    </row>
    <row r="31" ht="12.75" customHeight="1">
      <c r="A31" s="322"/>
      <c r="B31" s="75"/>
      <c r="C31" s="346"/>
      <c r="D31" s="371"/>
      <c r="E31" s="67">
        <f t="shared" si="4"/>
        <v>0</v>
      </c>
      <c r="F31" s="324"/>
      <c r="G31" s="324"/>
      <c r="H31" s="387"/>
      <c r="I31" s="388"/>
      <c r="J31" s="322"/>
      <c r="K31" s="75"/>
      <c r="L31" s="346"/>
      <c r="M31" s="371"/>
      <c r="N31" s="67">
        <f t="shared" si="5"/>
        <v>0</v>
      </c>
      <c r="O31" s="324"/>
    </row>
    <row r="32" ht="12.75" customHeight="1">
      <c r="A32" s="322"/>
      <c r="B32" s="75"/>
      <c r="C32" s="346"/>
      <c r="D32" s="371"/>
      <c r="E32" s="67">
        <f t="shared" si="4"/>
        <v>0</v>
      </c>
      <c r="F32" s="324"/>
      <c r="G32" s="324"/>
      <c r="H32" s="387"/>
      <c r="I32" s="388"/>
      <c r="J32" s="322"/>
      <c r="K32" s="75"/>
      <c r="L32" s="346"/>
      <c r="M32" s="371"/>
      <c r="N32" s="67">
        <f t="shared" si="5"/>
        <v>0</v>
      </c>
      <c r="O32" s="324"/>
    </row>
    <row r="33" ht="12.75" customHeight="1">
      <c r="A33" s="322"/>
      <c r="B33" s="75"/>
      <c r="C33" s="342"/>
      <c r="D33" s="343"/>
      <c r="E33" s="67">
        <f t="shared" si="4"/>
        <v>0</v>
      </c>
      <c r="F33" s="324"/>
      <c r="G33" s="324"/>
      <c r="H33" s="387"/>
      <c r="I33" s="388"/>
      <c r="J33" s="322"/>
      <c r="K33" s="75"/>
      <c r="L33" s="342"/>
      <c r="M33" s="343"/>
      <c r="N33" s="67">
        <f t="shared" si="5"/>
        <v>0</v>
      </c>
      <c r="O33" s="324"/>
    </row>
    <row r="34" ht="12.75" customHeight="1">
      <c r="A34" s="322"/>
      <c r="B34" s="348"/>
      <c r="C34" s="346"/>
      <c r="D34" s="373"/>
      <c r="E34" s="67">
        <f t="shared" si="4"/>
        <v>0</v>
      </c>
      <c r="F34" s="324"/>
      <c r="G34" s="324"/>
      <c r="H34" s="387"/>
      <c r="I34" s="388"/>
      <c r="J34" s="322"/>
      <c r="K34" s="348"/>
      <c r="L34" s="346"/>
      <c r="M34" s="373"/>
      <c r="N34" s="67">
        <f t="shared" si="5"/>
        <v>0</v>
      </c>
      <c r="O34" s="324"/>
    </row>
    <row r="35" ht="12.75" customHeight="1">
      <c r="A35" s="322"/>
      <c r="B35" s="348"/>
      <c r="C35" s="346"/>
      <c r="D35" s="373"/>
      <c r="E35" s="67">
        <f t="shared" si="4"/>
        <v>0</v>
      </c>
      <c r="F35" s="324"/>
      <c r="G35" s="324"/>
      <c r="H35" s="387"/>
      <c r="I35" s="388"/>
      <c r="J35" s="322"/>
      <c r="K35" s="348"/>
      <c r="L35" s="346"/>
      <c r="M35" s="373"/>
      <c r="N35" s="67">
        <f t="shared" si="5"/>
        <v>0</v>
      </c>
      <c r="O35" s="324"/>
    </row>
    <row r="36" ht="12.75" customHeight="1">
      <c r="A36" s="322"/>
      <c r="B36" s="354"/>
      <c r="C36" s="355"/>
      <c r="D36" s="356"/>
      <c r="E36" s="67">
        <f t="shared" si="4"/>
        <v>0</v>
      </c>
      <c r="F36" s="324"/>
      <c r="G36" s="324"/>
      <c r="H36" s="387"/>
      <c r="I36" s="388"/>
      <c r="J36" s="322"/>
      <c r="K36" s="354"/>
      <c r="L36" s="355"/>
      <c r="M36" s="356"/>
      <c r="N36" s="67">
        <f t="shared" si="5"/>
        <v>0</v>
      </c>
      <c r="O36" s="324"/>
    </row>
    <row r="37" ht="12.75" customHeight="1">
      <c r="A37" s="322"/>
      <c r="B37" s="362" t="s">
        <v>84</v>
      </c>
      <c r="C37" s="374"/>
      <c r="D37" s="374"/>
      <c r="E37" s="375">
        <f>IF(SUM(E27:E36)=0,"",SUM(E27:E36))</f>
        <v>3168.571429</v>
      </c>
      <c r="F37" s="324"/>
      <c r="G37" s="324"/>
      <c r="H37" s="387"/>
      <c r="I37" s="388"/>
      <c r="J37" s="322"/>
      <c r="K37" s="362" t="s">
        <v>84</v>
      </c>
      <c r="L37" s="374"/>
      <c r="M37" s="374"/>
      <c r="N37" s="375">
        <f>IF(SUM(N27:N36)=0,"",SUM(N27:N36))</f>
        <v>1952.671429</v>
      </c>
      <c r="O37" s="324"/>
    </row>
    <row r="38" ht="12.75" customHeight="1">
      <c r="A38" s="322"/>
      <c r="B38" s="360"/>
      <c r="C38" s="360"/>
      <c r="D38" s="360"/>
      <c r="E38" s="361"/>
      <c r="F38" s="324"/>
      <c r="G38" s="324"/>
      <c r="H38" s="387"/>
      <c r="I38" s="388"/>
      <c r="J38" s="322"/>
      <c r="K38" s="360"/>
      <c r="L38" s="360"/>
      <c r="M38" s="360"/>
      <c r="N38" s="361"/>
      <c r="O38" s="324"/>
    </row>
    <row r="39" ht="12.75" customHeight="1">
      <c r="A39" s="322"/>
      <c r="B39" s="34" t="s">
        <v>17</v>
      </c>
      <c r="C39" s="35"/>
      <c r="D39" s="35"/>
      <c r="E39" s="35"/>
      <c r="F39" s="324"/>
      <c r="G39" s="324"/>
      <c r="H39" s="387"/>
      <c r="I39" s="388"/>
      <c r="J39" s="322"/>
      <c r="K39" s="34" t="s">
        <v>17</v>
      </c>
      <c r="L39" s="35"/>
      <c r="M39" s="35"/>
      <c r="N39" s="35"/>
      <c r="O39" s="324"/>
    </row>
    <row r="40" ht="12.75" customHeight="1">
      <c r="A40" s="322"/>
      <c r="B40" s="52" t="s">
        <v>42</v>
      </c>
      <c r="C40" s="54"/>
      <c r="D40" s="54"/>
      <c r="E40" s="56" t="s">
        <v>35</v>
      </c>
      <c r="F40" s="324"/>
      <c r="G40" s="324"/>
      <c r="H40" s="387"/>
      <c r="I40" s="388"/>
      <c r="J40" s="322"/>
      <c r="K40" s="52" t="s">
        <v>42</v>
      </c>
      <c r="L40" s="54"/>
      <c r="M40" s="54"/>
      <c r="N40" s="56" t="s">
        <v>35</v>
      </c>
      <c r="O40" s="324"/>
    </row>
    <row r="41" ht="12.75" customHeight="1">
      <c r="A41" s="322"/>
      <c r="B41" s="60" t="s">
        <v>40</v>
      </c>
      <c r="C41" s="343">
        <f>'UTL COST'!$B$3</f>
        <v>369000</v>
      </c>
      <c r="D41" s="379">
        <f>'UTL COST'!$C$3</f>
        <v>0.0075</v>
      </c>
      <c r="E41" s="67">
        <v>0.0</v>
      </c>
      <c r="F41" s="324"/>
      <c r="G41" s="324"/>
      <c r="H41" s="387"/>
      <c r="I41" s="388"/>
      <c r="J41" s="322"/>
      <c r="K41" s="60" t="s">
        <v>40</v>
      </c>
      <c r="L41" s="343">
        <f>'UTL COST'!$B$3</f>
        <v>369000</v>
      </c>
      <c r="M41" s="379">
        <f>'UTL COST'!$C$3</f>
        <v>0.0075</v>
      </c>
      <c r="N41" s="67">
        <v>0.0</v>
      </c>
      <c r="O41" s="324"/>
    </row>
    <row r="42" ht="12.75" customHeight="1">
      <c r="A42" s="322"/>
      <c r="B42" s="75" t="s">
        <v>51</v>
      </c>
      <c r="C42" s="371" t="str">
        <f>'UTL COST'!$B$4</f>
        <v>#REF!</v>
      </c>
      <c r="D42" s="382">
        <f>'UTL COST'!$C$4</f>
        <v>7000</v>
      </c>
      <c r="E42" s="76" t="str">
        <f>'UTL COST'!$D$4</f>
        <v>#REF!</v>
      </c>
      <c r="F42" s="324"/>
      <c r="G42" s="324"/>
      <c r="H42" s="387"/>
      <c r="I42" s="388"/>
      <c r="J42" s="322"/>
      <c r="K42" s="75" t="s">
        <v>51</v>
      </c>
      <c r="L42" s="371" t="str">
        <f>'UTL COST'!$B$4</f>
        <v>#REF!</v>
      </c>
      <c r="M42" s="382">
        <f>'UTL COST'!$C$4</f>
        <v>7000</v>
      </c>
      <c r="N42" s="76" t="str">
        <f>'UTL COST'!$D$4</f>
        <v>#REF!</v>
      </c>
      <c r="O42" s="324"/>
    </row>
    <row r="43" ht="12.75" customHeight="1">
      <c r="A43" s="322"/>
      <c r="B43" s="75" t="s">
        <v>59</v>
      </c>
      <c r="C43" s="371" t="str">
        <f>'UTL COST'!$B$5</f>
        <v>#REF!</v>
      </c>
      <c r="D43" s="382">
        <f>'UTL COST'!$C$5</f>
        <v>45000</v>
      </c>
      <c r="E43" s="76" t="str">
        <f>'UTL COST'!$D$5</f>
        <v>#REF!</v>
      </c>
      <c r="F43" s="324"/>
      <c r="G43" s="324"/>
      <c r="H43" s="387"/>
      <c r="I43" s="388"/>
      <c r="J43" s="322"/>
      <c r="K43" s="75" t="s">
        <v>59</v>
      </c>
      <c r="L43" s="371" t="str">
        <f>'UTL COST'!$B$5</f>
        <v>#REF!</v>
      </c>
      <c r="M43" s="382">
        <f>'UTL COST'!$C$5</f>
        <v>45000</v>
      </c>
      <c r="N43" s="76" t="str">
        <f>'UTL COST'!$D$5</f>
        <v>#REF!</v>
      </c>
      <c r="O43" s="324"/>
    </row>
    <row r="44" ht="12.75" customHeight="1">
      <c r="A44" s="322"/>
      <c r="B44" s="87" t="s">
        <v>78</v>
      </c>
      <c r="C44" s="371" t="str">
        <f>'UTL COST'!$B$6</f>
        <v>#REF!</v>
      </c>
      <c r="D44" s="383">
        <f>'UTL COST'!$C$6</f>
        <v>525</v>
      </c>
      <c r="E44" s="89">
        <v>0.1</v>
      </c>
      <c r="F44" s="324"/>
      <c r="G44" s="324"/>
      <c r="H44" s="387"/>
      <c r="I44" s="388"/>
      <c r="J44" s="322"/>
      <c r="K44" s="87" t="s">
        <v>78</v>
      </c>
      <c r="L44" s="371" t="str">
        <f>'UTL COST'!$B$6</f>
        <v>#REF!</v>
      </c>
      <c r="M44" s="383">
        <f>'UTL COST'!$C$6</f>
        <v>525</v>
      </c>
      <c r="N44" s="89">
        <v>0.1</v>
      </c>
      <c r="O44" s="324"/>
    </row>
    <row r="45" ht="12.75" customHeight="1">
      <c r="A45" s="322"/>
      <c r="B45" s="34" t="s">
        <v>84</v>
      </c>
      <c r="C45" s="102"/>
      <c r="D45" s="102"/>
      <c r="E45" s="104" t="str">
        <f>IF(SUM(E41:E44)=0,"",SUM(E41:E44))</f>
        <v>#REF!</v>
      </c>
      <c r="F45" s="324"/>
      <c r="G45" s="324"/>
      <c r="H45" s="387"/>
      <c r="I45" s="388"/>
      <c r="J45" s="322"/>
      <c r="K45" s="34" t="s">
        <v>84</v>
      </c>
      <c r="L45" s="102"/>
      <c r="M45" s="102"/>
      <c r="N45" s="104" t="str">
        <f>IF(SUM(N41:N44)=0,"",SUM(N41:N44))</f>
        <v>#REF!</v>
      </c>
      <c r="O45" s="324"/>
    </row>
    <row r="46" ht="12.75" customHeight="1">
      <c r="A46" s="322"/>
      <c r="B46" s="360"/>
      <c r="C46" s="360"/>
      <c r="D46" s="360"/>
      <c r="E46" s="361"/>
      <c r="F46" s="324"/>
      <c r="G46" s="324"/>
      <c r="H46" s="387"/>
      <c r="I46" s="388"/>
      <c r="J46" s="322"/>
      <c r="K46" s="360"/>
      <c r="L46" s="360"/>
      <c r="M46" s="360"/>
      <c r="N46" s="361"/>
      <c r="O46" s="324"/>
    </row>
    <row r="47" ht="12.75" customHeight="1">
      <c r="A47" s="387"/>
      <c r="B47" s="387"/>
      <c r="C47" s="387"/>
      <c r="D47" s="387"/>
      <c r="E47" s="418"/>
      <c r="F47" s="387"/>
      <c r="G47" s="387"/>
      <c r="H47" s="387"/>
      <c r="I47" s="387"/>
      <c r="J47" s="387"/>
      <c r="K47" s="387"/>
      <c r="L47" s="387"/>
      <c r="M47" s="387"/>
      <c r="N47" s="387"/>
      <c r="O47" s="387"/>
    </row>
    <row r="48" ht="12.75" customHeight="1">
      <c r="A48" s="322"/>
      <c r="B48" s="322"/>
      <c r="C48" s="322"/>
      <c r="D48" s="322"/>
      <c r="E48" s="323"/>
      <c r="F48" s="324"/>
      <c r="G48" s="324"/>
      <c r="H48" s="387"/>
      <c r="I48" s="388"/>
      <c r="J48" s="322"/>
      <c r="K48" s="322"/>
      <c r="L48" s="322"/>
      <c r="M48" s="322"/>
      <c r="N48" s="323"/>
      <c r="O48" s="324"/>
    </row>
    <row r="49" ht="12.75" customHeight="1">
      <c r="A49" s="322"/>
      <c r="B49" s="325"/>
      <c r="C49" s="322"/>
      <c r="D49" s="322"/>
      <c r="E49" s="323"/>
      <c r="F49" s="326"/>
      <c r="G49" s="326"/>
      <c r="H49" s="404"/>
      <c r="I49" s="388"/>
      <c r="J49" s="322"/>
      <c r="K49" s="325"/>
      <c r="L49" s="322"/>
      <c r="M49" s="322"/>
      <c r="N49" s="323"/>
      <c r="O49" s="326"/>
    </row>
    <row r="50" ht="12.75" customHeight="1">
      <c r="A50" s="322"/>
      <c r="B50" s="327" t="s">
        <v>931</v>
      </c>
      <c r="C50" s="328" t="s">
        <v>1410</v>
      </c>
      <c r="D50" s="329"/>
      <c r="E50" s="323"/>
      <c r="F50" s="326"/>
      <c r="G50" s="326"/>
      <c r="H50" s="404"/>
      <c r="I50" s="388"/>
      <c r="J50" s="322"/>
      <c r="K50" s="327" t="s">
        <v>931</v>
      </c>
      <c r="L50" s="328" t="s">
        <v>854</v>
      </c>
      <c r="M50" s="329"/>
      <c r="N50" s="323"/>
      <c r="O50" s="326"/>
    </row>
    <row r="51" ht="12.75" customHeight="1">
      <c r="A51" s="322"/>
      <c r="B51" s="325"/>
      <c r="C51" s="322"/>
      <c r="D51" s="322"/>
      <c r="E51" s="323"/>
      <c r="F51" s="326"/>
      <c r="G51" s="326"/>
      <c r="H51" s="404"/>
      <c r="I51" s="388"/>
      <c r="J51" s="322"/>
      <c r="K51" s="325"/>
      <c r="L51" s="322"/>
      <c r="M51" s="322"/>
      <c r="N51" s="323"/>
      <c r="O51" s="326"/>
    </row>
    <row r="52" ht="12.75" customHeight="1">
      <c r="A52" s="322"/>
      <c r="B52" s="327" t="s">
        <v>935</v>
      </c>
      <c r="C52" s="331">
        <v>70000.0</v>
      </c>
      <c r="D52" s="329"/>
      <c r="E52" s="323"/>
      <c r="F52" s="326"/>
      <c r="G52" s="326"/>
      <c r="H52" s="404"/>
      <c r="I52" s="388"/>
      <c r="J52" s="322"/>
      <c r="K52" s="327" t="s">
        <v>935</v>
      </c>
      <c r="L52" s="331">
        <v>120000.0</v>
      </c>
      <c r="M52" s="329"/>
      <c r="N52" s="323"/>
      <c r="O52" s="326"/>
    </row>
    <row r="53" ht="12.75" customHeight="1">
      <c r="A53" s="322"/>
      <c r="B53" s="327"/>
      <c r="C53" s="332"/>
      <c r="D53" s="332"/>
      <c r="E53" s="323"/>
      <c r="F53" s="326"/>
      <c r="G53" s="326"/>
      <c r="H53" s="404"/>
      <c r="I53" s="388"/>
      <c r="J53" s="322"/>
      <c r="K53" s="327"/>
      <c r="L53" s="332"/>
      <c r="M53" s="332"/>
      <c r="N53" s="323"/>
      <c r="O53" s="326"/>
    </row>
    <row r="54" ht="12.75" customHeight="1">
      <c r="A54" s="322"/>
      <c r="B54" s="327" t="s">
        <v>939</v>
      </c>
      <c r="C54" s="333" t="str">
        <f>IF(SUM(E66,E81,E89)=0,"",SUM(E66,E81,E89))</f>
        <v>#REF!</v>
      </c>
      <c r="D54" s="321"/>
      <c r="E54" s="323"/>
      <c r="F54" s="326"/>
      <c r="G54" s="326"/>
      <c r="H54" s="404"/>
      <c r="I54" s="388"/>
      <c r="J54" s="322"/>
      <c r="K54" s="327" t="s">
        <v>939</v>
      </c>
      <c r="L54" s="333" t="str">
        <f>IF(SUM(N66,N81,N89)=0,"",SUM(N66,N81,N89))</f>
        <v>#REF!</v>
      </c>
      <c r="M54" s="321"/>
      <c r="N54" s="323"/>
      <c r="O54" s="326"/>
    </row>
    <row r="55" ht="12.75" customHeight="1">
      <c r="A55" s="322"/>
      <c r="B55" s="327"/>
      <c r="C55" s="334"/>
      <c r="D55" s="334"/>
      <c r="E55" s="323"/>
      <c r="F55" s="326"/>
      <c r="G55" s="326"/>
      <c r="H55" s="404"/>
      <c r="I55" s="388"/>
      <c r="J55" s="322"/>
      <c r="K55" s="327"/>
      <c r="L55" s="334"/>
      <c r="M55" s="334"/>
      <c r="N55" s="323"/>
      <c r="O55" s="326"/>
    </row>
    <row r="56" ht="12.75" customHeight="1">
      <c r="A56" s="322"/>
      <c r="B56" s="327" t="s">
        <v>946</v>
      </c>
      <c r="C56" s="335" t="str">
        <f>IF(C54="","",IF(ISBLANK(C52),"",C54/C52))</f>
        <v>#REF!</v>
      </c>
      <c r="D56" s="321"/>
      <c r="E56" s="323"/>
      <c r="F56" s="326"/>
      <c r="G56" s="326"/>
      <c r="H56" s="404"/>
      <c r="I56" s="388"/>
      <c r="J56" s="322"/>
      <c r="K56" s="327" t="s">
        <v>946</v>
      </c>
      <c r="L56" s="335" t="str">
        <f>IF(L54="","",IF(ISBLANK(L52),"",L54/L52))</f>
        <v>#REF!</v>
      </c>
      <c r="M56" s="321"/>
      <c r="N56" s="323"/>
      <c r="O56" s="326"/>
    </row>
    <row r="57" ht="12.75" customHeight="1">
      <c r="A57" s="322"/>
      <c r="B57" s="327"/>
      <c r="C57" s="334"/>
      <c r="D57" s="334"/>
      <c r="E57" s="323"/>
      <c r="F57" s="326"/>
      <c r="G57" s="326"/>
      <c r="H57" s="404"/>
      <c r="I57" s="388"/>
      <c r="J57" s="322"/>
      <c r="K57" s="327"/>
      <c r="L57" s="334"/>
      <c r="M57" s="334"/>
      <c r="N57" s="323"/>
      <c r="O57" s="326"/>
    </row>
    <row r="58" ht="12.75" customHeight="1">
      <c r="A58" s="322"/>
      <c r="B58" s="327" t="s">
        <v>950</v>
      </c>
      <c r="C58" s="333" t="str">
        <f>C52-C54</f>
        <v>#REF!</v>
      </c>
      <c r="D58" s="321"/>
      <c r="E58" s="323"/>
      <c r="F58" s="326"/>
      <c r="G58" s="326"/>
      <c r="H58" s="404"/>
      <c r="I58" s="388"/>
      <c r="J58" s="322"/>
      <c r="K58" s="327" t="s">
        <v>950</v>
      </c>
      <c r="L58" s="333" t="str">
        <f>L52-L54</f>
        <v>#REF!</v>
      </c>
      <c r="M58" s="321"/>
      <c r="N58" s="323"/>
      <c r="O58" s="326"/>
    </row>
    <row r="59" ht="12.75" customHeight="1">
      <c r="A59" s="322"/>
      <c r="B59" s="322"/>
      <c r="C59" s="322"/>
      <c r="D59" s="322"/>
      <c r="E59" s="323"/>
      <c r="F59" s="324"/>
      <c r="G59" s="324"/>
      <c r="H59" s="404"/>
      <c r="I59" s="388"/>
      <c r="J59" s="322"/>
      <c r="K59" s="322"/>
      <c r="L59" s="322"/>
      <c r="M59" s="322"/>
      <c r="N59" s="323"/>
      <c r="O59" s="324"/>
    </row>
    <row r="60" ht="12.75" customHeight="1">
      <c r="A60" s="322"/>
      <c r="B60" s="322"/>
      <c r="C60" s="322"/>
      <c r="D60" s="322"/>
      <c r="E60" s="337"/>
      <c r="F60" s="324"/>
      <c r="G60" s="324"/>
      <c r="H60" s="387"/>
      <c r="I60" s="388"/>
      <c r="J60" s="322"/>
      <c r="K60" s="322"/>
      <c r="L60" s="322"/>
      <c r="M60" s="322"/>
      <c r="N60" s="337"/>
      <c r="O60" s="324"/>
    </row>
    <row r="61" ht="12.75" customHeight="1">
      <c r="A61" s="322"/>
      <c r="B61" s="338" t="s">
        <v>951</v>
      </c>
      <c r="C61" s="339"/>
      <c r="D61" s="339"/>
      <c r="E61" s="339"/>
      <c r="F61" s="324"/>
      <c r="G61" s="324"/>
      <c r="H61" s="410"/>
      <c r="I61" s="388"/>
      <c r="J61" s="322"/>
      <c r="K61" s="338" t="s">
        <v>951</v>
      </c>
      <c r="L61" s="339"/>
      <c r="M61" s="339"/>
      <c r="N61" s="339"/>
      <c r="O61" s="324"/>
    </row>
    <row r="62" ht="12.75" customHeight="1">
      <c r="A62" s="322"/>
      <c r="B62" s="340" t="s">
        <v>953</v>
      </c>
      <c r="C62" s="341" t="s">
        <v>954</v>
      </c>
      <c r="D62" s="341" t="s">
        <v>955</v>
      </c>
      <c r="E62" s="341" t="s">
        <v>35</v>
      </c>
      <c r="F62" s="324"/>
      <c r="G62" s="324"/>
      <c r="H62" s="387"/>
      <c r="I62" s="388"/>
      <c r="J62" s="322"/>
      <c r="K62" s="340" t="s">
        <v>953</v>
      </c>
      <c r="L62" s="341" t="s">
        <v>954</v>
      </c>
      <c r="M62" s="341" t="s">
        <v>955</v>
      </c>
      <c r="N62" s="341" t="s">
        <v>35</v>
      </c>
      <c r="O62" s="324"/>
    </row>
    <row r="63" ht="12.75" customHeight="1">
      <c r="A63" s="322"/>
      <c r="B63" s="60" t="s">
        <v>1315</v>
      </c>
      <c r="C63" s="342">
        <v>0.1</v>
      </c>
      <c r="D63" s="343">
        <f>'F&amp;B'!$F$209</f>
        <v>99000</v>
      </c>
      <c r="E63" s="67">
        <f t="shared" ref="E63:E65" si="6">IF(OR(ISBLANK(C63),ISBLANK(D63)),"",D63*C63)</f>
        <v>9900</v>
      </c>
      <c r="F63" s="324"/>
      <c r="G63" s="324"/>
      <c r="H63" s="387"/>
      <c r="I63" s="388"/>
      <c r="J63" s="322"/>
      <c r="K63" s="60" t="s">
        <v>1219</v>
      </c>
      <c r="L63" s="342">
        <v>0.15</v>
      </c>
      <c r="M63" s="343">
        <f>'F&amp;B'!$F$209</f>
        <v>99000</v>
      </c>
      <c r="N63" s="67">
        <f t="shared" ref="N63:N65" si="7">IF(OR(ISBLANK(L63),ISBLANK(M63)),"",M63*L63)</f>
        <v>14850</v>
      </c>
      <c r="O63" s="324"/>
    </row>
    <row r="64" ht="12.75" customHeight="1">
      <c r="A64" s="322"/>
      <c r="B64" s="75" t="s">
        <v>1385</v>
      </c>
      <c r="C64" s="370">
        <v>0.01</v>
      </c>
      <c r="D64" s="371">
        <f>'F&amp;B'!$F$35/3.01</f>
        <v>36179.40199</v>
      </c>
      <c r="E64" s="67">
        <f t="shared" si="6"/>
        <v>361.7940199</v>
      </c>
      <c r="F64" s="324"/>
      <c r="G64" s="324"/>
      <c r="H64" s="387"/>
      <c r="I64" s="388"/>
      <c r="J64" s="322"/>
      <c r="K64" s="87" t="s">
        <v>850</v>
      </c>
      <c r="L64" s="412">
        <v>0.08</v>
      </c>
      <c r="M64" s="408">
        <f>D20</f>
        <v>63000</v>
      </c>
      <c r="N64" s="89">
        <f t="shared" si="7"/>
        <v>5040</v>
      </c>
      <c r="O64" s="324"/>
    </row>
    <row r="65" ht="12.75" customHeight="1">
      <c r="A65" s="322"/>
      <c r="B65" s="87" t="s">
        <v>200</v>
      </c>
      <c r="C65" s="355">
        <v>1.0</v>
      </c>
      <c r="D65" s="400">
        <f>SAUCES!$D$92</f>
        <v>900.9230769</v>
      </c>
      <c r="E65" s="67">
        <f t="shared" si="6"/>
        <v>900.9230769</v>
      </c>
      <c r="F65" s="324"/>
      <c r="G65" s="324"/>
      <c r="H65" s="387"/>
      <c r="I65" s="388"/>
      <c r="J65" s="322"/>
      <c r="K65" s="87" t="s">
        <v>200</v>
      </c>
      <c r="L65" s="355">
        <v>1.0</v>
      </c>
      <c r="M65" s="400">
        <f>SAUCES!$D$92</f>
        <v>900.9230769</v>
      </c>
      <c r="N65" s="67">
        <f t="shared" si="7"/>
        <v>900.9230769</v>
      </c>
      <c r="O65" s="324"/>
    </row>
    <row r="66" ht="12.75" customHeight="1">
      <c r="A66" s="322"/>
      <c r="B66" s="338" t="s">
        <v>84</v>
      </c>
      <c r="C66" s="358"/>
      <c r="D66" s="358"/>
      <c r="E66" s="359">
        <f>IF(SUM(E63:E65)=0,"",SUM(E63:E65))</f>
        <v>11162.7171</v>
      </c>
      <c r="F66" s="324"/>
      <c r="G66" s="324"/>
      <c r="H66" s="387"/>
      <c r="I66" s="388"/>
      <c r="J66" s="322"/>
      <c r="K66" s="338" t="s">
        <v>84</v>
      </c>
      <c r="L66" s="358"/>
      <c r="M66" s="358"/>
      <c r="N66" s="359">
        <f>IF(SUM(N63:N65)=0,"",SUM(N63:N65))</f>
        <v>20790.92308</v>
      </c>
      <c r="O66" s="324"/>
    </row>
    <row r="67" ht="12.75" customHeight="1">
      <c r="A67" s="322"/>
      <c r="B67" s="360"/>
      <c r="C67" s="360"/>
      <c r="D67" s="360"/>
      <c r="E67" s="361"/>
      <c r="F67" s="324"/>
      <c r="G67" s="324"/>
      <c r="H67" s="387"/>
      <c r="I67" s="388"/>
      <c r="J67" s="322"/>
      <c r="K67" s="360"/>
      <c r="L67" s="360"/>
      <c r="M67" s="360"/>
      <c r="N67" s="361"/>
      <c r="O67" s="324"/>
    </row>
    <row r="68" ht="12.75" customHeight="1">
      <c r="A68" s="322"/>
      <c r="B68" s="362" t="s">
        <v>972</v>
      </c>
      <c r="C68" s="363"/>
      <c r="D68" s="363"/>
      <c r="E68" s="363"/>
      <c r="F68" s="324"/>
      <c r="G68" s="324"/>
      <c r="H68" s="387"/>
      <c r="I68" s="388"/>
      <c r="J68" s="322"/>
      <c r="K68" s="362" t="s">
        <v>972</v>
      </c>
      <c r="L68" s="363"/>
      <c r="M68" s="363"/>
      <c r="N68" s="363"/>
      <c r="O68" s="324"/>
    </row>
    <row r="69" ht="12.75" customHeight="1">
      <c r="A69" s="322"/>
      <c r="B69" s="365" t="s">
        <v>953</v>
      </c>
      <c r="C69" s="366" t="s">
        <v>3</v>
      </c>
      <c r="D69" s="366" t="s">
        <v>975</v>
      </c>
      <c r="E69" s="367" t="s">
        <v>35</v>
      </c>
      <c r="F69" s="324"/>
      <c r="G69" s="324"/>
      <c r="H69" s="387"/>
      <c r="I69" s="388"/>
      <c r="J69" s="322"/>
      <c r="K69" s="365" t="s">
        <v>953</v>
      </c>
      <c r="L69" s="366" t="s">
        <v>3</v>
      </c>
      <c r="M69" s="366" t="s">
        <v>975</v>
      </c>
      <c r="N69" s="367" t="s">
        <v>35</v>
      </c>
      <c r="O69" s="324"/>
    </row>
    <row r="70" ht="12.75" customHeight="1">
      <c r="A70" s="322"/>
      <c r="B70" s="368"/>
      <c r="C70" s="366"/>
      <c r="D70" s="366"/>
      <c r="E70" s="368"/>
      <c r="F70" s="324"/>
      <c r="G70" s="324"/>
      <c r="H70" s="387"/>
      <c r="I70" s="388"/>
      <c r="J70" s="322"/>
      <c r="K70" s="368"/>
      <c r="L70" s="366"/>
      <c r="M70" s="366"/>
      <c r="N70" s="368"/>
      <c r="O70" s="324"/>
    </row>
    <row r="71" ht="12.75" customHeight="1">
      <c r="A71" s="322"/>
      <c r="B71" s="60" t="s">
        <v>1033</v>
      </c>
      <c r="C71" s="342">
        <v>0.03</v>
      </c>
      <c r="D71" s="343">
        <f>'F&amp;B'!$F$278</f>
        <v>103500</v>
      </c>
      <c r="E71" s="67">
        <f t="shared" ref="E71:E80" si="8">D71*C71</f>
        <v>3105</v>
      </c>
      <c r="F71" s="324"/>
      <c r="G71" s="324"/>
      <c r="H71" s="387"/>
      <c r="I71" s="388"/>
      <c r="J71" s="322"/>
      <c r="K71" s="60" t="s">
        <v>562</v>
      </c>
      <c r="L71" s="342">
        <v>0.04</v>
      </c>
      <c r="M71" s="343">
        <f>'F&amp;B'!$F$250/3.78</f>
        <v>28809.52381</v>
      </c>
      <c r="N71" s="67">
        <f t="shared" ref="N71:N80" si="9">M71*L71</f>
        <v>1152.380952</v>
      </c>
      <c r="O71" s="324"/>
    </row>
    <row r="72" ht="12.75" customHeight="1">
      <c r="A72" s="322"/>
      <c r="B72" s="75" t="s">
        <v>214</v>
      </c>
      <c r="C72" s="370">
        <v>0.05</v>
      </c>
      <c r="D72" s="371">
        <f>'F&amp;B'!$F$290</f>
        <v>6300</v>
      </c>
      <c r="E72" s="67">
        <f t="shared" si="8"/>
        <v>315</v>
      </c>
      <c r="F72" s="324"/>
      <c r="G72" s="324"/>
      <c r="H72" s="387"/>
      <c r="I72" s="388"/>
      <c r="J72" s="322"/>
      <c r="K72" s="75" t="s">
        <v>1229</v>
      </c>
      <c r="L72" s="370">
        <v>0.06</v>
      </c>
      <c r="M72" s="371">
        <f>'F&amp;B'!$F$279</f>
        <v>7200</v>
      </c>
      <c r="N72" s="67">
        <f t="shared" si="9"/>
        <v>432</v>
      </c>
      <c r="O72" s="324"/>
    </row>
    <row r="73" ht="12.75" customHeight="1">
      <c r="A73" s="322"/>
      <c r="B73" s="75"/>
      <c r="C73" s="370"/>
      <c r="D73" s="463"/>
      <c r="E73" s="67">
        <f t="shared" si="8"/>
        <v>0</v>
      </c>
      <c r="F73" s="324"/>
      <c r="G73" s="324"/>
      <c r="H73" s="387"/>
      <c r="I73" s="388"/>
      <c r="J73" s="322"/>
      <c r="K73" s="75" t="s">
        <v>161</v>
      </c>
      <c r="L73" s="370">
        <v>0.01</v>
      </c>
      <c r="M73" s="371">
        <f>'F&amp;B'!$F$49/10</f>
        <v>13500</v>
      </c>
      <c r="N73" s="67">
        <f t="shared" si="9"/>
        <v>135</v>
      </c>
      <c r="O73" s="324"/>
    </row>
    <row r="74" ht="12.75" customHeight="1">
      <c r="A74" s="322"/>
      <c r="B74" s="75"/>
      <c r="C74" s="346"/>
      <c r="D74" s="371"/>
      <c r="E74" s="67">
        <f t="shared" si="8"/>
        <v>0</v>
      </c>
      <c r="F74" s="324"/>
      <c r="G74" s="324"/>
      <c r="H74" s="387"/>
      <c r="I74" s="388"/>
      <c r="J74" s="322"/>
      <c r="K74" s="75"/>
      <c r="L74" s="346"/>
      <c r="M74" s="371"/>
      <c r="N74" s="67">
        <f t="shared" si="9"/>
        <v>0</v>
      </c>
      <c r="O74" s="324"/>
    </row>
    <row r="75" ht="12.75" customHeight="1">
      <c r="A75" s="322"/>
      <c r="B75" s="75"/>
      <c r="C75" s="346"/>
      <c r="D75" s="371"/>
      <c r="E75" s="67">
        <f t="shared" si="8"/>
        <v>0</v>
      </c>
      <c r="F75" s="324"/>
      <c r="G75" s="324"/>
      <c r="H75" s="387"/>
      <c r="I75" s="388"/>
      <c r="J75" s="322"/>
      <c r="K75" s="75"/>
      <c r="L75" s="346"/>
      <c r="M75" s="371"/>
      <c r="N75" s="67">
        <f t="shared" si="9"/>
        <v>0</v>
      </c>
      <c r="O75" s="324"/>
    </row>
    <row r="76" ht="12.75" customHeight="1">
      <c r="A76" s="322"/>
      <c r="B76" s="75"/>
      <c r="C76" s="346"/>
      <c r="D76" s="371"/>
      <c r="E76" s="67">
        <f t="shared" si="8"/>
        <v>0</v>
      </c>
      <c r="F76" s="324"/>
      <c r="G76" s="324"/>
      <c r="H76" s="387"/>
      <c r="I76" s="388"/>
      <c r="J76" s="322"/>
      <c r="K76" s="75"/>
      <c r="L76" s="370"/>
      <c r="M76" s="371"/>
      <c r="N76" s="67">
        <f t="shared" si="9"/>
        <v>0</v>
      </c>
      <c r="O76" s="324"/>
    </row>
    <row r="77" ht="12.75" customHeight="1">
      <c r="A77" s="322"/>
      <c r="B77" s="75"/>
      <c r="C77" s="342"/>
      <c r="D77" s="343"/>
      <c r="E77" s="67">
        <f t="shared" si="8"/>
        <v>0</v>
      </c>
      <c r="F77" s="324"/>
      <c r="G77" s="324"/>
      <c r="H77" s="387"/>
      <c r="I77" s="388"/>
      <c r="J77" s="322"/>
      <c r="K77" s="75"/>
      <c r="L77" s="346"/>
      <c r="M77" s="371"/>
      <c r="N77" s="67">
        <f t="shared" si="9"/>
        <v>0</v>
      </c>
      <c r="O77" s="324"/>
    </row>
    <row r="78" ht="12.75" customHeight="1">
      <c r="A78" s="322"/>
      <c r="B78" s="348"/>
      <c r="C78" s="346"/>
      <c r="D78" s="373"/>
      <c r="E78" s="67">
        <f t="shared" si="8"/>
        <v>0</v>
      </c>
      <c r="F78" s="324"/>
      <c r="G78" s="324"/>
      <c r="H78" s="387"/>
      <c r="I78" s="388"/>
      <c r="J78" s="322"/>
      <c r="K78" s="75"/>
      <c r="L78" s="342"/>
      <c r="M78" s="343"/>
      <c r="N78" s="67">
        <f t="shared" si="9"/>
        <v>0</v>
      </c>
      <c r="O78" s="324"/>
    </row>
    <row r="79" ht="12.75" customHeight="1">
      <c r="A79" s="322"/>
      <c r="B79" s="348"/>
      <c r="C79" s="346"/>
      <c r="D79" s="373"/>
      <c r="E79" s="67">
        <f t="shared" si="8"/>
        <v>0</v>
      </c>
      <c r="F79" s="324"/>
      <c r="G79" s="324"/>
      <c r="H79" s="387"/>
      <c r="I79" s="388"/>
      <c r="J79" s="322"/>
      <c r="K79" s="348"/>
      <c r="L79" s="346"/>
      <c r="M79" s="373"/>
      <c r="N79" s="67">
        <f t="shared" si="9"/>
        <v>0</v>
      </c>
      <c r="O79" s="324"/>
    </row>
    <row r="80" ht="12.75" customHeight="1">
      <c r="A80" s="322"/>
      <c r="B80" s="354"/>
      <c r="C80" s="355"/>
      <c r="D80" s="356"/>
      <c r="E80" s="67">
        <f t="shared" si="8"/>
        <v>0</v>
      </c>
      <c r="F80" s="324"/>
      <c r="G80" s="324"/>
      <c r="H80" s="387"/>
      <c r="I80" s="388"/>
      <c r="J80" s="322"/>
      <c r="K80" s="354"/>
      <c r="L80" s="355"/>
      <c r="M80" s="356"/>
      <c r="N80" s="67">
        <f t="shared" si="9"/>
        <v>0</v>
      </c>
      <c r="O80" s="324"/>
    </row>
    <row r="81" ht="12.75" customHeight="1">
      <c r="A81" s="322"/>
      <c r="B81" s="362" t="s">
        <v>84</v>
      </c>
      <c r="C81" s="374"/>
      <c r="D81" s="374"/>
      <c r="E81" s="375">
        <f>IF(SUM(E71:E80)=0,"",SUM(E71:E80))</f>
        <v>3420</v>
      </c>
      <c r="F81" s="324"/>
      <c r="G81" s="324"/>
      <c r="H81" s="387"/>
      <c r="I81" s="388"/>
      <c r="J81" s="322"/>
      <c r="K81" s="362" t="s">
        <v>84</v>
      </c>
      <c r="L81" s="374"/>
      <c r="M81" s="374"/>
      <c r="N81" s="375">
        <f>IF(SUM(N71:N80)=0,"",SUM(N71:N80))</f>
        <v>1719.380952</v>
      </c>
      <c r="O81" s="324"/>
    </row>
    <row r="82" ht="12.75" customHeight="1">
      <c r="A82" s="322"/>
      <c r="B82" s="360"/>
      <c r="C82" s="360"/>
      <c r="D82" s="360"/>
      <c r="E82" s="361"/>
      <c r="F82" s="324"/>
      <c r="G82" s="324"/>
      <c r="H82" s="387"/>
      <c r="I82" s="388"/>
      <c r="J82" s="322"/>
      <c r="K82" s="360"/>
      <c r="L82" s="360"/>
      <c r="M82" s="360"/>
      <c r="N82" s="361"/>
      <c r="O82" s="324"/>
    </row>
    <row r="83" ht="12.75" customHeight="1">
      <c r="A83" s="322"/>
      <c r="B83" s="34" t="s">
        <v>17</v>
      </c>
      <c r="C83" s="35"/>
      <c r="D83" s="35"/>
      <c r="E83" s="35"/>
      <c r="F83" s="324"/>
      <c r="G83" s="324"/>
      <c r="H83" s="387"/>
      <c r="I83" s="388"/>
      <c r="J83" s="322"/>
      <c r="K83" s="34" t="s">
        <v>17</v>
      </c>
      <c r="L83" s="35"/>
      <c r="M83" s="35"/>
      <c r="N83" s="35"/>
      <c r="O83" s="324"/>
    </row>
    <row r="84" ht="12.75" customHeight="1">
      <c r="A84" s="322"/>
      <c r="B84" s="52" t="s">
        <v>42</v>
      </c>
      <c r="C84" s="54"/>
      <c r="D84" s="54"/>
      <c r="E84" s="56" t="s">
        <v>35</v>
      </c>
      <c r="F84" s="324"/>
      <c r="G84" s="324"/>
      <c r="H84" s="387"/>
      <c r="I84" s="388"/>
      <c r="J84" s="322"/>
      <c r="K84" s="52" t="s">
        <v>42</v>
      </c>
      <c r="L84" s="54"/>
      <c r="M84" s="54"/>
      <c r="N84" s="56" t="s">
        <v>35</v>
      </c>
      <c r="O84" s="324"/>
    </row>
    <row r="85" ht="12.75" customHeight="1">
      <c r="A85" s="322"/>
      <c r="B85" s="60" t="s">
        <v>40</v>
      </c>
      <c r="C85" s="343">
        <f>'UTL COST'!$B$3</f>
        <v>369000</v>
      </c>
      <c r="D85" s="379">
        <f>'UTL COST'!$C$3</f>
        <v>0.0075</v>
      </c>
      <c r="E85" s="67">
        <v>0.0</v>
      </c>
      <c r="F85" s="324"/>
      <c r="G85" s="324"/>
      <c r="H85" s="387"/>
      <c r="I85" s="388"/>
      <c r="J85" s="322"/>
      <c r="K85" s="60" t="s">
        <v>40</v>
      </c>
      <c r="L85" s="343">
        <f>'UTL COST'!$B$3</f>
        <v>369000</v>
      </c>
      <c r="M85" s="379">
        <f>'UTL COST'!$C$3</f>
        <v>0.0075</v>
      </c>
      <c r="N85" s="67">
        <v>0.0</v>
      </c>
      <c r="O85" s="324"/>
    </row>
    <row r="86" ht="12.75" customHeight="1">
      <c r="A86" s="322"/>
      <c r="B86" s="75" t="s">
        <v>51</v>
      </c>
      <c r="C86" s="371" t="str">
        <f>'UTL COST'!$B$4</f>
        <v>#REF!</v>
      </c>
      <c r="D86" s="382">
        <f>'UTL COST'!$C$4</f>
        <v>7000</v>
      </c>
      <c r="E86" s="76" t="str">
        <f>'UTL COST'!$D$4</f>
        <v>#REF!</v>
      </c>
      <c r="F86" s="324"/>
      <c r="G86" s="324"/>
      <c r="H86" s="387"/>
      <c r="I86" s="388"/>
      <c r="J86" s="322"/>
      <c r="K86" s="75" t="s">
        <v>51</v>
      </c>
      <c r="L86" s="371" t="str">
        <f>'UTL COST'!$B$4</f>
        <v>#REF!</v>
      </c>
      <c r="M86" s="382">
        <f>'UTL COST'!$C$4</f>
        <v>7000</v>
      </c>
      <c r="N86" s="76" t="str">
        <f>'UTL COST'!$D$4</f>
        <v>#REF!</v>
      </c>
      <c r="O86" s="324"/>
    </row>
    <row r="87" ht="12.75" customHeight="1">
      <c r="A87" s="322"/>
      <c r="B87" s="75" t="s">
        <v>59</v>
      </c>
      <c r="C87" s="371" t="str">
        <f>'UTL COST'!$B$5</f>
        <v>#REF!</v>
      </c>
      <c r="D87" s="382">
        <f>'UTL COST'!$C$5</f>
        <v>45000</v>
      </c>
      <c r="E87" s="76" t="str">
        <f>'UTL COST'!$D$5</f>
        <v>#REF!</v>
      </c>
      <c r="F87" s="324"/>
      <c r="G87" s="324"/>
      <c r="H87" s="387"/>
      <c r="I87" s="388"/>
      <c r="J87" s="322"/>
      <c r="K87" s="75" t="s">
        <v>59</v>
      </c>
      <c r="L87" s="371" t="str">
        <f>'UTL COST'!$B$5</f>
        <v>#REF!</v>
      </c>
      <c r="M87" s="382">
        <f>'UTL COST'!$C$5</f>
        <v>45000</v>
      </c>
      <c r="N87" s="76" t="str">
        <f>'UTL COST'!$D$5</f>
        <v>#REF!</v>
      </c>
      <c r="O87" s="324"/>
    </row>
    <row r="88" ht="12.75" customHeight="1">
      <c r="A88" s="322"/>
      <c r="B88" s="87" t="s">
        <v>78</v>
      </c>
      <c r="C88" s="371" t="str">
        <f>'UTL COST'!$B$6</f>
        <v>#REF!</v>
      </c>
      <c r="D88" s="383">
        <f>'UTL COST'!$C$6</f>
        <v>525</v>
      </c>
      <c r="E88" s="89">
        <v>0.1</v>
      </c>
      <c r="F88" s="324"/>
      <c r="G88" s="324"/>
      <c r="H88" s="387"/>
      <c r="I88" s="388"/>
      <c r="J88" s="322"/>
      <c r="K88" s="87" t="s">
        <v>78</v>
      </c>
      <c r="L88" s="371" t="str">
        <f>'UTL COST'!$B$6</f>
        <v>#REF!</v>
      </c>
      <c r="M88" s="383">
        <f>'UTL COST'!$C$6</f>
        <v>525</v>
      </c>
      <c r="N88" s="89">
        <v>0.1</v>
      </c>
      <c r="O88" s="324"/>
    </row>
    <row r="89" ht="12.75" customHeight="1">
      <c r="A89" s="322"/>
      <c r="B89" s="34" t="s">
        <v>84</v>
      </c>
      <c r="C89" s="102"/>
      <c r="D89" s="102"/>
      <c r="E89" s="104" t="str">
        <f>IF(SUM(E85:E88)=0,"",SUM(E85:E88))</f>
        <v>#REF!</v>
      </c>
      <c r="F89" s="324"/>
      <c r="G89" s="324"/>
      <c r="H89" s="387"/>
      <c r="I89" s="388"/>
      <c r="J89" s="322"/>
      <c r="K89" s="34" t="s">
        <v>84</v>
      </c>
      <c r="L89" s="102"/>
      <c r="M89" s="102"/>
      <c r="N89" s="104" t="str">
        <f>IF(SUM(N85:N88)=0,"",SUM(N85:N88))</f>
        <v>#REF!</v>
      </c>
      <c r="O89" s="324"/>
    </row>
    <row r="90" ht="12.75" customHeight="1">
      <c r="A90" s="322"/>
      <c r="B90" s="360"/>
      <c r="C90" s="360"/>
      <c r="D90" s="360"/>
      <c r="E90" s="361"/>
      <c r="F90" s="324"/>
      <c r="G90" s="324"/>
      <c r="H90" s="387"/>
      <c r="I90" s="388"/>
      <c r="J90" s="322"/>
      <c r="K90" s="360"/>
      <c r="L90" s="360"/>
      <c r="M90" s="360"/>
      <c r="N90" s="361"/>
      <c r="O90" s="324"/>
    </row>
    <row r="91" ht="12.75" customHeight="1">
      <c r="A91" s="388"/>
      <c r="B91" s="432"/>
      <c r="C91" s="432"/>
      <c r="D91" s="432"/>
      <c r="E91" s="433"/>
      <c r="F91" s="387"/>
      <c r="G91" s="387"/>
      <c r="H91" s="387"/>
      <c r="I91" s="388"/>
      <c r="J91" s="388"/>
      <c r="K91" s="432"/>
      <c r="L91" s="432"/>
      <c r="M91" s="432"/>
      <c r="N91" s="433"/>
      <c r="O91" s="387"/>
    </row>
    <row r="92" ht="12.75" customHeight="1">
      <c r="A92" s="387"/>
      <c r="B92" s="387"/>
      <c r="C92" s="387"/>
      <c r="D92" s="387"/>
      <c r="E92" s="418"/>
      <c r="F92" s="387"/>
      <c r="G92" s="387"/>
      <c r="H92" s="387"/>
      <c r="I92" s="387"/>
      <c r="J92" s="387"/>
      <c r="K92" s="387"/>
      <c r="L92" s="387"/>
      <c r="M92" s="387"/>
      <c r="N92" s="387"/>
      <c r="O92" s="387"/>
    </row>
    <row r="93" ht="12.75" customHeight="1">
      <c r="A93" s="322"/>
      <c r="B93" s="322"/>
      <c r="C93" s="322"/>
      <c r="D93" s="322"/>
      <c r="E93" s="323"/>
      <c r="F93" s="324"/>
      <c r="G93" s="324"/>
      <c r="H93" s="387"/>
      <c r="I93" s="388"/>
      <c r="J93" s="322"/>
      <c r="K93" s="322"/>
      <c r="L93" s="322"/>
      <c r="M93" s="322"/>
      <c r="N93" s="323"/>
      <c r="O93" s="324"/>
    </row>
    <row r="94" ht="12.75" customHeight="1">
      <c r="A94" s="322"/>
      <c r="B94" s="325"/>
      <c r="C94" s="322"/>
      <c r="D94" s="322"/>
      <c r="E94" s="323"/>
      <c r="F94" s="326"/>
      <c r="G94" s="326"/>
      <c r="H94" s="404"/>
      <c r="I94" s="388"/>
      <c r="J94" s="322"/>
      <c r="K94" s="325"/>
      <c r="L94" s="322"/>
      <c r="M94" s="322"/>
      <c r="N94" s="323"/>
      <c r="O94" s="326"/>
    </row>
    <row r="95" ht="12.75" customHeight="1">
      <c r="A95" s="322"/>
      <c r="B95" s="327" t="s">
        <v>931</v>
      </c>
      <c r="C95" s="328" t="s">
        <v>1432</v>
      </c>
      <c r="D95" s="329"/>
      <c r="E95" s="323"/>
      <c r="F95" s="326"/>
      <c r="G95" s="326"/>
      <c r="H95" s="404"/>
      <c r="I95" s="388"/>
      <c r="J95" s="322"/>
      <c r="K95" s="327" t="s">
        <v>931</v>
      </c>
      <c r="L95" s="328" t="s">
        <v>1433</v>
      </c>
      <c r="M95" s="329"/>
      <c r="N95" s="323"/>
      <c r="O95" s="326"/>
    </row>
    <row r="96" ht="12.75" customHeight="1">
      <c r="A96" s="322"/>
      <c r="B96" s="325"/>
      <c r="C96" s="322"/>
      <c r="D96" s="322"/>
      <c r="E96" s="323"/>
      <c r="F96" s="326"/>
      <c r="G96" s="326"/>
      <c r="H96" s="404"/>
      <c r="I96" s="388"/>
      <c r="J96" s="322"/>
      <c r="K96" s="325"/>
      <c r="L96" s="322"/>
      <c r="M96" s="322"/>
      <c r="N96" s="323"/>
      <c r="O96" s="326"/>
    </row>
    <row r="97" ht="12.75" customHeight="1">
      <c r="A97" s="322"/>
      <c r="B97" s="327" t="s">
        <v>935</v>
      </c>
      <c r="C97" s="331">
        <v>120000.0</v>
      </c>
      <c r="D97" s="329"/>
      <c r="E97" s="323"/>
      <c r="F97" s="326"/>
      <c r="G97" s="326"/>
      <c r="H97" s="404"/>
      <c r="I97" s="388"/>
      <c r="J97" s="322"/>
      <c r="K97" s="327" t="s">
        <v>935</v>
      </c>
      <c r="L97" s="331">
        <v>45000.0</v>
      </c>
      <c r="M97" s="329"/>
      <c r="N97" s="323"/>
      <c r="O97" s="326"/>
    </row>
    <row r="98" ht="12.75" customHeight="1">
      <c r="A98" s="322"/>
      <c r="B98" s="327"/>
      <c r="C98" s="332"/>
      <c r="D98" s="332"/>
      <c r="E98" s="323"/>
      <c r="F98" s="326"/>
      <c r="G98" s="326"/>
      <c r="H98" s="404"/>
      <c r="I98" s="388"/>
      <c r="J98" s="322"/>
      <c r="K98" s="327"/>
      <c r="L98" s="332"/>
      <c r="M98" s="332"/>
      <c r="N98" s="323"/>
      <c r="O98" s="326"/>
    </row>
    <row r="99" ht="12.75" customHeight="1">
      <c r="A99" s="322"/>
      <c r="B99" s="327" t="s">
        <v>939</v>
      </c>
      <c r="C99" s="333" t="str">
        <f>IF(SUM(E111,E126,E134)=0,"",SUM(E111,E126,E134))</f>
        <v>#REF!</v>
      </c>
      <c r="D99" s="321"/>
      <c r="E99" s="323"/>
      <c r="F99" s="326"/>
      <c r="G99" s="326"/>
      <c r="H99" s="404"/>
      <c r="I99" s="388"/>
      <c r="J99" s="322"/>
      <c r="K99" s="327" t="s">
        <v>939</v>
      </c>
      <c r="L99" s="333" t="str">
        <f>IF(SUM(N111,N126,N134)=0,"",SUM(N111,N126,N134))</f>
        <v>#REF!</v>
      </c>
      <c r="M99" s="321"/>
      <c r="N99" s="323"/>
      <c r="O99" s="326"/>
    </row>
    <row r="100" ht="12.75" customHeight="1">
      <c r="A100" s="322"/>
      <c r="B100" s="327"/>
      <c r="C100" s="334"/>
      <c r="D100" s="334"/>
      <c r="E100" s="323"/>
      <c r="F100" s="326"/>
      <c r="G100" s="326"/>
      <c r="H100" s="404"/>
      <c r="I100" s="388"/>
      <c r="J100" s="322"/>
      <c r="K100" s="327"/>
      <c r="L100" s="334"/>
      <c r="M100" s="334"/>
      <c r="N100" s="323"/>
      <c r="O100" s="326"/>
    </row>
    <row r="101" ht="12.75" customHeight="1">
      <c r="A101" s="322"/>
      <c r="B101" s="327" t="s">
        <v>946</v>
      </c>
      <c r="C101" s="335" t="str">
        <f>IF(C99="","",IF(ISBLANK(C97),"",C99/C97))</f>
        <v>#REF!</v>
      </c>
      <c r="D101" s="321"/>
      <c r="E101" s="323"/>
      <c r="F101" s="326"/>
      <c r="G101" s="326"/>
      <c r="H101" s="404"/>
      <c r="I101" s="388"/>
      <c r="J101" s="322"/>
      <c r="K101" s="327" t="s">
        <v>946</v>
      </c>
      <c r="L101" s="335" t="str">
        <f>IF(L99="","",IF(ISBLANK(L97),"",L99/L97))</f>
        <v>#REF!</v>
      </c>
      <c r="M101" s="321"/>
      <c r="N101" s="323"/>
      <c r="O101" s="326"/>
    </row>
    <row r="102" ht="12.75" customHeight="1">
      <c r="A102" s="322"/>
      <c r="B102" s="327"/>
      <c r="C102" s="334"/>
      <c r="D102" s="334"/>
      <c r="E102" s="323"/>
      <c r="F102" s="326"/>
      <c r="G102" s="326"/>
      <c r="H102" s="404"/>
      <c r="I102" s="388"/>
      <c r="J102" s="322"/>
      <c r="K102" s="327"/>
      <c r="L102" s="334"/>
      <c r="M102" s="334"/>
      <c r="N102" s="323"/>
      <c r="O102" s="326"/>
    </row>
    <row r="103" ht="12.75" customHeight="1">
      <c r="A103" s="322"/>
      <c r="B103" s="327" t="s">
        <v>950</v>
      </c>
      <c r="C103" s="333" t="str">
        <f>C97-C99</f>
        <v>#REF!</v>
      </c>
      <c r="D103" s="321"/>
      <c r="E103" s="323"/>
      <c r="F103" s="326"/>
      <c r="G103" s="326"/>
      <c r="H103" s="404"/>
      <c r="I103" s="388"/>
      <c r="J103" s="322"/>
      <c r="K103" s="327" t="s">
        <v>950</v>
      </c>
      <c r="L103" s="333" t="str">
        <f>L97-L99</f>
        <v>#REF!</v>
      </c>
      <c r="M103" s="321"/>
      <c r="N103" s="323"/>
      <c r="O103" s="326"/>
    </row>
    <row r="104" ht="12.75" customHeight="1">
      <c r="A104" s="322"/>
      <c r="B104" s="322"/>
      <c r="C104" s="322"/>
      <c r="D104" s="322"/>
      <c r="E104" s="323"/>
      <c r="F104" s="324"/>
      <c r="G104" s="324"/>
      <c r="H104" s="404"/>
      <c r="I104" s="388"/>
      <c r="J104" s="322"/>
      <c r="K104" s="322"/>
      <c r="L104" s="322"/>
      <c r="M104" s="322"/>
      <c r="N104" s="323"/>
      <c r="O104" s="324"/>
    </row>
    <row r="105" ht="12.75" customHeight="1">
      <c r="A105" s="322"/>
      <c r="B105" s="322"/>
      <c r="C105" s="322"/>
      <c r="D105" s="322"/>
      <c r="E105" s="337"/>
      <c r="F105" s="324"/>
      <c r="G105" s="324"/>
      <c r="H105" s="387"/>
      <c r="I105" s="388"/>
      <c r="J105" s="322"/>
      <c r="K105" s="322"/>
      <c r="L105" s="322"/>
      <c r="M105" s="322"/>
      <c r="N105" s="337"/>
      <c r="O105" s="324"/>
    </row>
    <row r="106" ht="12.75" customHeight="1">
      <c r="A106" s="322"/>
      <c r="B106" s="338" t="s">
        <v>951</v>
      </c>
      <c r="C106" s="339"/>
      <c r="D106" s="339"/>
      <c r="E106" s="339"/>
      <c r="F106" s="324"/>
      <c r="G106" s="324"/>
      <c r="H106" s="410"/>
      <c r="I106" s="388"/>
      <c r="J106" s="322"/>
      <c r="K106" s="338" t="s">
        <v>951</v>
      </c>
      <c r="L106" s="339"/>
      <c r="M106" s="339"/>
      <c r="N106" s="339"/>
      <c r="O106" s="324"/>
    </row>
    <row r="107" ht="12.75" customHeight="1">
      <c r="A107" s="322"/>
      <c r="B107" s="340" t="s">
        <v>953</v>
      </c>
      <c r="C107" s="341" t="s">
        <v>954</v>
      </c>
      <c r="D107" s="341" t="s">
        <v>955</v>
      </c>
      <c r="E107" s="341" t="s">
        <v>35</v>
      </c>
      <c r="F107" s="324"/>
      <c r="G107" s="324"/>
      <c r="H107" s="387"/>
      <c r="I107" s="388"/>
      <c r="J107" s="322"/>
      <c r="K107" s="340" t="s">
        <v>953</v>
      </c>
      <c r="L107" s="341" t="s">
        <v>954</v>
      </c>
      <c r="M107" s="341" t="s">
        <v>955</v>
      </c>
      <c r="N107" s="341" t="s">
        <v>35</v>
      </c>
      <c r="O107" s="324"/>
    </row>
    <row r="108" ht="12.75" customHeight="1">
      <c r="A108" s="322"/>
      <c r="B108" s="60" t="s">
        <v>747</v>
      </c>
      <c r="C108" s="342">
        <v>0.075</v>
      </c>
      <c r="D108" s="343">
        <v>220000.0</v>
      </c>
      <c r="E108" s="67">
        <f t="shared" ref="E108:E110" si="10">IF(OR(ISBLANK(C108),ISBLANK(D108)),"",D108*C108)</f>
        <v>16500</v>
      </c>
      <c r="F108" s="324"/>
      <c r="G108" s="324"/>
      <c r="H108" s="387"/>
      <c r="I108" s="388"/>
      <c r="J108" s="322"/>
      <c r="K108" s="60" t="s">
        <v>1033</v>
      </c>
      <c r="L108" s="342">
        <v>0.05</v>
      </c>
      <c r="M108" s="343">
        <f>D71</f>
        <v>103500</v>
      </c>
      <c r="N108" s="67">
        <f t="shared" ref="N108:N110" si="11">IF(OR(ISBLANK(L108),ISBLANK(M108)),"",M108*L108)</f>
        <v>5175</v>
      </c>
      <c r="O108" s="324"/>
    </row>
    <row r="109" ht="12.75" customHeight="1">
      <c r="A109" s="322"/>
      <c r="B109" s="75" t="s">
        <v>850</v>
      </c>
      <c r="C109" s="370">
        <v>0.08</v>
      </c>
      <c r="D109" s="371">
        <f>D20</f>
        <v>63000</v>
      </c>
      <c r="E109" s="67">
        <f t="shared" si="10"/>
        <v>5040</v>
      </c>
      <c r="F109" s="324"/>
      <c r="G109" s="324"/>
      <c r="H109" s="387"/>
      <c r="I109" s="388"/>
      <c r="J109" s="322"/>
      <c r="K109" s="75" t="s">
        <v>708</v>
      </c>
      <c r="L109" s="370">
        <v>0.05</v>
      </c>
      <c r="M109" s="371">
        <f>M64</f>
        <v>63000</v>
      </c>
      <c r="N109" s="67">
        <f t="shared" si="11"/>
        <v>3150</v>
      </c>
      <c r="O109" s="324"/>
    </row>
    <row r="110" ht="12.75" customHeight="1">
      <c r="A110" s="322"/>
      <c r="B110" s="87" t="s">
        <v>200</v>
      </c>
      <c r="C110" s="355">
        <v>1.0</v>
      </c>
      <c r="D110" s="400">
        <f>SAUCES!$D$92</f>
        <v>900.9230769</v>
      </c>
      <c r="E110" s="67">
        <f t="shared" si="10"/>
        <v>900.9230769</v>
      </c>
      <c r="F110" s="324"/>
      <c r="G110" s="324"/>
      <c r="H110" s="387"/>
      <c r="I110" s="388"/>
      <c r="J110" s="322"/>
      <c r="K110" s="87" t="s">
        <v>200</v>
      </c>
      <c r="L110" s="355">
        <v>1.0</v>
      </c>
      <c r="M110" s="400">
        <f>SAUCES!$D$92</f>
        <v>900.9230769</v>
      </c>
      <c r="N110" s="67">
        <f t="shared" si="11"/>
        <v>900.9230769</v>
      </c>
      <c r="O110" s="324"/>
    </row>
    <row r="111" ht="12.75" customHeight="1">
      <c r="A111" s="322"/>
      <c r="B111" s="338" t="s">
        <v>84</v>
      </c>
      <c r="C111" s="358"/>
      <c r="D111" s="358"/>
      <c r="E111" s="359">
        <f>IF(SUM(E108:E110)=0,"",SUM(E108:E110))</f>
        <v>22440.92308</v>
      </c>
      <c r="F111" s="324"/>
      <c r="G111" s="324"/>
      <c r="H111" s="387"/>
      <c r="I111" s="388"/>
      <c r="J111" s="322"/>
      <c r="K111" s="338" t="s">
        <v>84</v>
      </c>
      <c r="L111" s="358"/>
      <c r="M111" s="358"/>
      <c r="N111" s="359">
        <f>IF(SUM(N108:N110)=0,"",SUM(N108:N110))</f>
        <v>9225.923077</v>
      </c>
      <c r="O111" s="324"/>
    </row>
    <row r="112" ht="12.75" customHeight="1">
      <c r="A112" s="322"/>
      <c r="B112" s="360"/>
      <c r="C112" s="360"/>
      <c r="D112" s="360"/>
      <c r="E112" s="361"/>
      <c r="F112" s="324"/>
      <c r="G112" s="324"/>
      <c r="H112" s="387"/>
      <c r="I112" s="388"/>
      <c r="J112" s="322"/>
      <c r="K112" s="360"/>
      <c r="L112" s="360"/>
      <c r="M112" s="360"/>
      <c r="N112" s="361"/>
      <c r="O112" s="324"/>
    </row>
    <row r="113" ht="12.75" customHeight="1">
      <c r="A113" s="322"/>
      <c r="B113" s="362" t="s">
        <v>972</v>
      </c>
      <c r="C113" s="363"/>
      <c r="D113" s="363"/>
      <c r="E113" s="363"/>
      <c r="F113" s="324"/>
      <c r="G113" s="324"/>
      <c r="H113" s="387"/>
      <c r="I113" s="388"/>
      <c r="J113" s="322"/>
      <c r="K113" s="362" t="s">
        <v>972</v>
      </c>
      <c r="L113" s="363"/>
      <c r="M113" s="363"/>
      <c r="N113" s="363"/>
      <c r="O113" s="324"/>
    </row>
    <row r="114" ht="12.75" customHeight="1">
      <c r="A114" s="322"/>
      <c r="B114" s="365" t="s">
        <v>953</v>
      </c>
      <c r="C114" s="366" t="s">
        <v>3</v>
      </c>
      <c r="D114" s="366" t="s">
        <v>975</v>
      </c>
      <c r="E114" s="367" t="s">
        <v>35</v>
      </c>
      <c r="F114" s="324"/>
      <c r="G114" s="324"/>
      <c r="H114" s="387"/>
      <c r="I114" s="388"/>
      <c r="J114" s="322"/>
      <c r="K114" s="365" t="s">
        <v>953</v>
      </c>
      <c r="L114" s="366" t="s">
        <v>3</v>
      </c>
      <c r="M114" s="366" t="s">
        <v>975</v>
      </c>
      <c r="N114" s="367" t="s">
        <v>35</v>
      </c>
      <c r="O114" s="324"/>
    </row>
    <row r="115" ht="12.75" customHeight="1">
      <c r="A115" s="322"/>
      <c r="B115" s="368"/>
      <c r="C115" s="366"/>
      <c r="D115" s="366"/>
      <c r="E115" s="368"/>
      <c r="F115" s="324"/>
      <c r="G115" s="324"/>
      <c r="H115" s="387"/>
      <c r="I115" s="388"/>
      <c r="J115" s="322"/>
      <c r="K115" s="368"/>
      <c r="L115" s="366"/>
      <c r="M115" s="366"/>
      <c r="N115" s="368"/>
      <c r="O115" s="324"/>
    </row>
    <row r="116" ht="12.75" customHeight="1">
      <c r="A116" s="322"/>
      <c r="B116" s="60" t="s">
        <v>562</v>
      </c>
      <c r="C116" s="342">
        <v>0.05</v>
      </c>
      <c r="D116" s="343">
        <f t="shared" ref="D116:D118" si="12">M71</f>
        <v>28809.52381</v>
      </c>
      <c r="E116" s="67">
        <f t="shared" ref="E116:E125" si="13">D116*C116</f>
        <v>1440.47619</v>
      </c>
      <c r="F116" s="324"/>
      <c r="G116" s="324"/>
      <c r="H116" s="387"/>
      <c r="I116" s="388"/>
      <c r="J116" s="322"/>
      <c r="K116" s="60" t="s">
        <v>214</v>
      </c>
      <c r="L116" s="342">
        <v>0.05</v>
      </c>
      <c r="M116" s="343">
        <f>D72</f>
        <v>6300</v>
      </c>
      <c r="N116" s="67">
        <f t="shared" ref="N116:N125" si="14">M116*L116</f>
        <v>315</v>
      </c>
      <c r="O116" s="324"/>
    </row>
    <row r="117" ht="12.75" customHeight="1">
      <c r="A117" s="322"/>
      <c r="B117" s="75" t="s">
        <v>173</v>
      </c>
      <c r="C117" s="370">
        <v>0.06</v>
      </c>
      <c r="D117" s="371">
        <f t="shared" si="12"/>
        <v>7200</v>
      </c>
      <c r="E117" s="67">
        <f t="shared" si="13"/>
        <v>432</v>
      </c>
      <c r="F117" s="324"/>
      <c r="G117" s="324"/>
      <c r="H117" s="387"/>
      <c r="I117" s="388"/>
      <c r="J117" s="322"/>
      <c r="K117" s="75" t="s">
        <v>161</v>
      </c>
      <c r="L117" s="370">
        <v>0.01</v>
      </c>
      <c r="M117" s="371">
        <f>D118</f>
        <v>13500</v>
      </c>
      <c r="N117" s="67">
        <f t="shared" si="14"/>
        <v>135</v>
      </c>
      <c r="O117" s="324"/>
    </row>
    <row r="118" ht="12.75" customHeight="1">
      <c r="A118" s="322"/>
      <c r="B118" s="75" t="s">
        <v>161</v>
      </c>
      <c r="C118" s="370">
        <v>0.01</v>
      </c>
      <c r="D118" s="371">
        <f t="shared" si="12"/>
        <v>13500</v>
      </c>
      <c r="E118" s="67">
        <f t="shared" si="13"/>
        <v>135</v>
      </c>
      <c r="F118" s="324"/>
      <c r="G118" s="324"/>
      <c r="H118" s="387"/>
      <c r="I118" s="388"/>
      <c r="J118" s="322"/>
      <c r="K118" s="429" t="s">
        <v>1400</v>
      </c>
      <c r="L118" s="370">
        <v>0.06</v>
      </c>
      <c r="M118" s="371">
        <f>D30</f>
        <v>28809.52381</v>
      </c>
      <c r="N118" s="67">
        <f t="shared" si="14"/>
        <v>1728.571429</v>
      </c>
      <c r="O118" s="324"/>
    </row>
    <row r="119" ht="12.75" customHeight="1">
      <c r="A119" s="322"/>
      <c r="B119" s="75"/>
      <c r="C119" s="346"/>
      <c r="D119" s="371"/>
      <c r="E119" s="67">
        <f t="shared" si="13"/>
        <v>0</v>
      </c>
      <c r="F119" s="324"/>
      <c r="G119" s="324"/>
      <c r="H119" s="387"/>
      <c r="I119" s="388"/>
      <c r="J119" s="322"/>
      <c r="K119" s="75" t="s">
        <v>1439</v>
      </c>
      <c r="L119" s="346">
        <v>0.002</v>
      </c>
      <c r="M119" s="371"/>
      <c r="N119" s="67">
        <f t="shared" si="14"/>
        <v>0</v>
      </c>
      <c r="O119" s="324"/>
    </row>
    <row r="120" ht="12.75" customHeight="1">
      <c r="A120" s="322"/>
      <c r="B120" s="75"/>
      <c r="C120" s="370"/>
      <c r="D120" s="371"/>
      <c r="E120" s="67">
        <f t="shared" si="13"/>
        <v>0</v>
      </c>
      <c r="F120" s="324"/>
      <c r="G120" s="324"/>
      <c r="H120" s="387"/>
      <c r="I120" s="388"/>
      <c r="J120" s="322"/>
      <c r="K120" s="75"/>
      <c r="L120" s="370"/>
      <c r="M120" s="371"/>
      <c r="N120" s="67">
        <f t="shared" si="14"/>
        <v>0</v>
      </c>
      <c r="O120" s="324"/>
    </row>
    <row r="121" ht="12.75" customHeight="1">
      <c r="A121" s="322"/>
      <c r="B121" s="75"/>
      <c r="C121" s="342"/>
      <c r="D121" s="343"/>
      <c r="E121" s="67">
        <f t="shared" si="13"/>
        <v>0</v>
      </c>
      <c r="F121" s="324"/>
      <c r="G121" s="324"/>
      <c r="H121" s="387"/>
      <c r="I121" s="388"/>
      <c r="J121" s="322"/>
      <c r="K121" s="75"/>
      <c r="L121" s="346"/>
      <c r="M121" s="371"/>
      <c r="N121" s="67">
        <f t="shared" si="14"/>
        <v>0</v>
      </c>
      <c r="O121" s="324"/>
    </row>
    <row r="122" ht="12.75" customHeight="1">
      <c r="A122" s="322"/>
      <c r="B122" s="348"/>
      <c r="C122" s="346"/>
      <c r="D122" s="373"/>
      <c r="E122" s="67">
        <f t="shared" si="13"/>
        <v>0</v>
      </c>
      <c r="F122" s="324"/>
      <c r="G122" s="324"/>
      <c r="H122" s="387"/>
      <c r="I122" s="388"/>
      <c r="J122" s="322"/>
      <c r="K122" s="75"/>
      <c r="L122" s="342"/>
      <c r="M122" s="343"/>
      <c r="N122" s="67">
        <f t="shared" si="14"/>
        <v>0</v>
      </c>
      <c r="O122" s="324"/>
    </row>
    <row r="123" ht="12.75" customHeight="1">
      <c r="A123" s="322"/>
      <c r="B123" s="348"/>
      <c r="C123" s="346"/>
      <c r="D123" s="373"/>
      <c r="E123" s="67">
        <f t="shared" si="13"/>
        <v>0</v>
      </c>
      <c r="F123" s="324"/>
      <c r="G123" s="324"/>
      <c r="H123" s="387"/>
      <c r="I123" s="388"/>
      <c r="J123" s="322"/>
      <c r="K123" s="348"/>
      <c r="L123" s="346"/>
      <c r="M123" s="373"/>
      <c r="N123" s="67">
        <f t="shared" si="14"/>
        <v>0</v>
      </c>
      <c r="O123" s="324"/>
    </row>
    <row r="124" ht="12.75" customHeight="1">
      <c r="A124" s="322"/>
      <c r="B124" s="348"/>
      <c r="C124" s="346"/>
      <c r="D124" s="373"/>
      <c r="E124" s="67">
        <f t="shared" si="13"/>
        <v>0</v>
      </c>
      <c r="F124" s="324"/>
      <c r="G124" s="324"/>
      <c r="H124" s="387"/>
      <c r="I124" s="388"/>
      <c r="J124" s="322"/>
      <c r="K124" s="348"/>
      <c r="L124" s="346"/>
      <c r="M124" s="373"/>
      <c r="N124" s="67">
        <f t="shared" si="14"/>
        <v>0</v>
      </c>
      <c r="O124" s="324"/>
    </row>
    <row r="125" ht="12.75" customHeight="1">
      <c r="A125" s="322"/>
      <c r="B125" s="354"/>
      <c r="C125" s="355"/>
      <c r="D125" s="356"/>
      <c r="E125" s="67">
        <f t="shared" si="13"/>
        <v>0</v>
      </c>
      <c r="F125" s="324"/>
      <c r="G125" s="324"/>
      <c r="H125" s="387"/>
      <c r="I125" s="388"/>
      <c r="J125" s="322"/>
      <c r="K125" s="354"/>
      <c r="L125" s="355"/>
      <c r="M125" s="356"/>
      <c r="N125" s="67">
        <f t="shared" si="14"/>
        <v>0</v>
      </c>
      <c r="O125" s="324"/>
    </row>
    <row r="126" ht="12.75" customHeight="1">
      <c r="A126" s="322"/>
      <c r="B126" s="362" t="s">
        <v>84</v>
      </c>
      <c r="C126" s="374"/>
      <c r="D126" s="374"/>
      <c r="E126" s="375">
        <f>IF(SUM(E116:E125)=0,"",SUM(E116:E125))</f>
        <v>2007.47619</v>
      </c>
      <c r="F126" s="324"/>
      <c r="G126" s="324"/>
      <c r="H126" s="387"/>
      <c r="I126" s="388"/>
      <c r="J126" s="322"/>
      <c r="K126" s="362" t="s">
        <v>84</v>
      </c>
      <c r="L126" s="374"/>
      <c r="M126" s="374"/>
      <c r="N126" s="375">
        <f>IF(SUM(N116:N125)=0,"",SUM(N116:N125))</f>
        <v>2178.571429</v>
      </c>
      <c r="O126" s="324"/>
    </row>
    <row r="127" ht="12.75" customHeight="1">
      <c r="A127" s="322"/>
      <c r="B127" s="360"/>
      <c r="C127" s="360"/>
      <c r="D127" s="360"/>
      <c r="E127" s="361"/>
      <c r="F127" s="324"/>
      <c r="G127" s="324"/>
      <c r="H127" s="387"/>
      <c r="I127" s="388"/>
      <c r="J127" s="322"/>
      <c r="K127" s="360"/>
      <c r="L127" s="360"/>
      <c r="M127" s="360"/>
      <c r="N127" s="361"/>
      <c r="O127" s="324"/>
    </row>
    <row r="128" ht="12.75" customHeight="1">
      <c r="A128" s="322"/>
      <c r="B128" s="34" t="s">
        <v>17</v>
      </c>
      <c r="C128" s="35"/>
      <c r="D128" s="35"/>
      <c r="E128" s="35"/>
      <c r="F128" s="324"/>
      <c r="G128" s="324"/>
      <c r="H128" s="387"/>
      <c r="I128" s="388"/>
      <c r="J128" s="322"/>
      <c r="K128" s="34" t="s">
        <v>17</v>
      </c>
      <c r="L128" s="35"/>
      <c r="M128" s="35"/>
      <c r="N128" s="35"/>
      <c r="O128" s="324"/>
    </row>
    <row r="129" ht="12.75" customHeight="1">
      <c r="A129" s="322"/>
      <c r="B129" s="52" t="s">
        <v>42</v>
      </c>
      <c r="C129" s="54"/>
      <c r="D129" s="54"/>
      <c r="E129" s="56" t="s">
        <v>35</v>
      </c>
      <c r="F129" s="324"/>
      <c r="G129" s="324"/>
      <c r="H129" s="387"/>
      <c r="I129" s="388"/>
      <c r="J129" s="322"/>
      <c r="K129" s="52" t="s">
        <v>42</v>
      </c>
      <c r="L129" s="54"/>
      <c r="M129" s="54"/>
      <c r="N129" s="56" t="s">
        <v>35</v>
      </c>
      <c r="O129" s="324"/>
    </row>
    <row r="130" ht="12.75" customHeight="1">
      <c r="A130" s="322"/>
      <c r="B130" s="60" t="s">
        <v>40</v>
      </c>
      <c r="C130" s="343">
        <f>'UTL COST'!$B$3</f>
        <v>369000</v>
      </c>
      <c r="D130" s="379">
        <f>'UTL COST'!$C$3</f>
        <v>0.0075</v>
      </c>
      <c r="E130" s="67">
        <v>0.0</v>
      </c>
      <c r="F130" s="324"/>
      <c r="G130" s="324"/>
      <c r="H130" s="387"/>
      <c r="I130" s="388"/>
      <c r="J130" s="322"/>
      <c r="K130" s="60" t="s">
        <v>40</v>
      </c>
      <c r="L130" s="343">
        <f>'UTL COST'!$B$3</f>
        <v>369000</v>
      </c>
      <c r="M130" s="379">
        <f>'UTL COST'!$C$3</f>
        <v>0.0075</v>
      </c>
      <c r="N130" s="67">
        <v>0.0</v>
      </c>
      <c r="O130" s="324"/>
    </row>
    <row r="131" ht="12.75" customHeight="1">
      <c r="A131" s="322"/>
      <c r="B131" s="75" t="s">
        <v>51</v>
      </c>
      <c r="C131" s="371" t="str">
        <f>'UTL COST'!$B$4</f>
        <v>#REF!</v>
      </c>
      <c r="D131" s="382">
        <f>'UTL COST'!$C$4</f>
        <v>7000</v>
      </c>
      <c r="E131" s="76" t="str">
        <f>'UTL COST'!$D$4</f>
        <v>#REF!</v>
      </c>
      <c r="F131" s="324"/>
      <c r="G131" s="324"/>
      <c r="H131" s="387"/>
      <c r="I131" s="388"/>
      <c r="J131" s="322"/>
      <c r="K131" s="75" t="s">
        <v>51</v>
      </c>
      <c r="L131" s="371" t="str">
        <f>'UTL COST'!$B$4</f>
        <v>#REF!</v>
      </c>
      <c r="M131" s="382">
        <f>'UTL COST'!$C$4</f>
        <v>7000</v>
      </c>
      <c r="N131" s="76" t="str">
        <f>'UTL COST'!$D$4</f>
        <v>#REF!</v>
      </c>
      <c r="O131" s="324"/>
    </row>
    <row r="132" ht="12.75" customHeight="1">
      <c r="A132" s="322"/>
      <c r="B132" s="75" t="s">
        <v>59</v>
      </c>
      <c r="C132" s="371" t="str">
        <f>'UTL COST'!$B$5</f>
        <v>#REF!</v>
      </c>
      <c r="D132" s="382">
        <f>'UTL COST'!$C$5</f>
        <v>45000</v>
      </c>
      <c r="E132" s="76" t="str">
        <f>'UTL COST'!$D$5</f>
        <v>#REF!</v>
      </c>
      <c r="F132" s="324"/>
      <c r="G132" s="324"/>
      <c r="H132" s="387"/>
      <c r="I132" s="388"/>
      <c r="J132" s="322"/>
      <c r="K132" s="75" t="s">
        <v>59</v>
      </c>
      <c r="L132" s="371" t="str">
        <f>'UTL COST'!$B$5</f>
        <v>#REF!</v>
      </c>
      <c r="M132" s="382">
        <f>'UTL COST'!$C$5</f>
        <v>45000</v>
      </c>
      <c r="N132" s="76" t="str">
        <f>'UTL COST'!$D$5</f>
        <v>#REF!</v>
      </c>
      <c r="O132" s="324"/>
    </row>
    <row r="133" ht="12.75" customHeight="1">
      <c r="A133" s="322"/>
      <c r="B133" s="87" t="s">
        <v>78</v>
      </c>
      <c r="C133" s="371" t="str">
        <f>'UTL COST'!$B$6</f>
        <v>#REF!</v>
      </c>
      <c r="D133" s="383">
        <f>'UTL COST'!$C$6</f>
        <v>525</v>
      </c>
      <c r="E133" s="89">
        <v>0.1</v>
      </c>
      <c r="F133" s="324"/>
      <c r="G133" s="324"/>
      <c r="H133" s="387"/>
      <c r="I133" s="388"/>
      <c r="J133" s="322"/>
      <c r="K133" s="87" t="s">
        <v>78</v>
      </c>
      <c r="L133" s="371" t="str">
        <f>'UTL COST'!$B$6</f>
        <v>#REF!</v>
      </c>
      <c r="M133" s="383">
        <f>'UTL COST'!$C$6</f>
        <v>525</v>
      </c>
      <c r="N133" s="89">
        <v>0.1</v>
      </c>
      <c r="O133" s="324"/>
    </row>
    <row r="134" ht="12.75" customHeight="1">
      <c r="A134" s="322"/>
      <c r="B134" s="34" t="s">
        <v>84</v>
      </c>
      <c r="C134" s="102"/>
      <c r="D134" s="102"/>
      <c r="E134" s="104" t="str">
        <f>IF(SUM(E130:E133)=0,"",SUM(E130:E133))</f>
        <v>#REF!</v>
      </c>
      <c r="F134" s="324"/>
      <c r="G134" s="324"/>
      <c r="H134" s="387"/>
      <c r="I134" s="388"/>
      <c r="J134" s="322"/>
      <c r="K134" s="34" t="s">
        <v>84</v>
      </c>
      <c r="L134" s="102"/>
      <c r="M134" s="102"/>
      <c r="N134" s="104" t="str">
        <f>IF(SUM(N130:N133)=0,"",SUM(N130:N133))</f>
        <v>#REF!</v>
      </c>
      <c r="O134" s="324"/>
    </row>
    <row r="135" ht="12.75" customHeight="1">
      <c r="A135" s="322"/>
      <c r="B135" s="360"/>
      <c r="C135" s="360"/>
      <c r="D135" s="360"/>
      <c r="E135" s="361"/>
      <c r="F135" s="324"/>
      <c r="G135" s="324"/>
      <c r="H135" s="387"/>
      <c r="I135" s="388"/>
      <c r="J135" s="322"/>
      <c r="K135" s="360"/>
      <c r="L135" s="360"/>
      <c r="M135" s="360"/>
      <c r="N135" s="361"/>
      <c r="O135" s="324"/>
    </row>
    <row r="136" ht="12.75" customHeight="1">
      <c r="A136" s="387"/>
      <c r="B136" s="387"/>
      <c r="C136" s="387"/>
      <c r="D136" s="387"/>
      <c r="E136" s="418"/>
      <c r="F136" s="387"/>
      <c r="G136" s="387"/>
      <c r="H136" s="387"/>
      <c r="I136" s="387"/>
      <c r="J136" s="387"/>
      <c r="K136" s="387"/>
      <c r="L136" s="387"/>
      <c r="M136" s="387"/>
      <c r="N136" s="387"/>
      <c r="O136" s="387"/>
    </row>
    <row r="137" ht="12.75" customHeight="1">
      <c r="A137" s="388"/>
      <c r="B137" s="388"/>
      <c r="C137" s="388"/>
      <c r="D137" s="388"/>
      <c r="E137" s="389"/>
      <c r="F137" s="387"/>
      <c r="G137" s="387"/>
      <c r="H137" s="387"/>
      <c r="I137" s="388"/>
      <c r="J137" s="388"/>
      <c r="K137" s="388"/>
      <c r="L137" s="388"/>
      <c r="M137" s="388"/>
      <c r="N137" s="389"/>
      <c r="O137" s="387"/>
    </row>
    <row r="138" ht="12.75" customHeight="1">
      <c r="A138" s="388"/>
      <c r="B138" s="388"/>
      <c r="C138" s="388"/>
      <c r="D138" s="388"/>
      <c r="E138" s="389"/>
      <c r="F138" s="387"/>
      <c r="G138" s="387"/>
      <c r="H138" s="387"/>
      <c r="I138" s="388"/>
      <c r="J138" s="388"/>
      <c r="K138" s="388"/>
      <c r="L138" s="388"/>
      <c r="M138" s="388"/>
      <c r="N138" s="389"/>
      <c r="O138" s="387"/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L10:M10"/>
    <mergeCell ref="L12:M12"/>
    <mergeCell ref="A1:F1"/>
    <mergeCell ref="C6:D6"/>
    <mergeCell ref="L6:M6"/>
    <mergeCell ref="C8:D8"/>
    <mergeCell ref="L8:M8"/>
    <mergeCell ref="C10:D10"/>
    <mergeCell ref="C12:D12"/>
    <mergeCell ref="C14:D14"/>
    <mergeCell ref="L14:M14"/>
    <mergeCell ref="B25:B26"/>
    <mergeCell ref="E25:E26"/>
    <mergeCell ref="K25:K26"/>
    <mergeCell ref="N25:N26"/>
    <mergeCell ref="L50:M50"/>
    <mergeCell ref="C95:D95"/>
    <mergeCell ref="C97:D97"/>
    <mergeCell ref="C99:D99"/>
    <mergeCell ref="C101:D101"/>
    <mergeCell ref="C103:D103"/>
    <mergeCell ref="B114:B115"/>
    <mergeCell ref="E114:E115"/>
    <mergeCell ref="C50:D50"/>
    <mergeCell ref="C52:D52"/>
    <mergeCell ref="C54:D54"/>
    <mergeCell ref="C56:D56"/>
    <mergeCell ref="C58:D58"/>
    <mergeCell ref="B69:B70"/>
    <mergeCell ref="E69:E70"/>
    <mergeCell ref="L97:M97"/>
    <mergeCell ref="L99:M99"/>
    <mergeCell ref="L101:M101"/>
    <mergeCell ref="L103:M103"/>
    <mergeCell ref="K114:K115"/>
    <mergeCell ref="N114:N115"/>
    <mergeCell ref="L52:M52"/>
    <mergeCell ref="L54:M54"/>
    <mergeCell ref="L56:M56"/>
    <mergeCell ref="L58:M58"/>
    <mergeCell ref="K69:K70"/>
    <mergeCell ref="N69:N70"/>
    <mergeCell ref="L95:M95"/>
  </mergeCells>
  <printOptions/>
  <pageMargins bottom="0.75" footer="0.0" header="0.0" left="0.7" right="0.7" top="0.75"/>
  <pageSetup orientation="portrait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923C"/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2.0"/>
    <col customWidth="1" min="4" max="4" width="11.88"/>
    <col customWidth="1" min="5" max="5" width="12.63"/>
    <col customWidth="1" min="6" max="7" width="3.0"/>
    <col customWidth="1" min="8" max="10" width="7.75"/>
    <col customWidth="1" min="11" max="11" width="24.38"/>
    <col customWidth="1" min="12" max="12" width="12.0"/>
    <col customWidth="1" min="13" max="13" width="13.38"/>
    <col customWidth="1" min="14" max="14" width="11.13"/>
    <col customWidth="1" min="15" max="15" width="7.75"/>
    <col customWidth="1" min="16" max="26" width="14.38"/>
  </cols>
  <sheetData>
    <row r="1" ht="46.5" customHeight="1">
      <c r="A1" s="399" t="s">
        <v>1394</v>
      </c>
      <c r="B1" s="321"/>
      <c r="C1" s="321"/>
      <c r="D1" s="321"/>
      <c r="E1" s="321"/>
      <c r="F1" s="321"/>
      <c r="G1" s="402"/>
      <c r="H1" s="402"/>
      <c r="I1" s="402"/>
      <c r="J1" s="402"/>
      <c r="K1" s="402"/>
      <c r="L1" s="402"/>
      <c r="M1" s="402"/>
      <c r="N1" s="402"/>
      <c r="O1" s="402"/>
    </row>
    <row r="2" ht="18.0" customHeight="1">
      <c r="A2" s="388"/>
      <c r="B2" s="388"/>
      <c r="C2" s="388"/>
      <c r="D2" s="388"/>
      <c r="E2" s="389"/>
      <c r="F2" s="387"/>
      <c r="G2" s="387"/>
      <c r="H2" s="387"/>
      <c r="I2" s="387"/>
      <c r="J2" s="387"/>
      <c r="K2" s="387"/>
      <c r="L2" s="387"/>
      <c r="M2" s="387"/>
      <c r="N2" s="387"/>
      <c r="O2" s="387"/>
    </row>
    <row r="3" ht="6.75" customHeight="1">
      <c r="A3" s="388"/>
      <c r="B3" s="388"/>
      <c r="C3" s="388"/>
      <c r="D3" s="388"/>
      <c r="E3" s="389"/>
      <c r="F3" s="387"/>
      <c r="G3" s="387"/>
      <c r="H3" s="387"/>
      <c r="I3" s="387"/>
      <c r="J3" s="387"/>
      <c r="K3" s="387"/>
      <c r="L3" s="387"/>
      <c r="M3" s="387"/>
      <c r="N3" s="387"/>
      <c r="O3" s="387"/>
    </row>
    <row r="4" ht="15.0" customHeight="1">
      <c r="A4" s="322"/>
      <c r="B4" s="322"/>
      <c r="C4" s="322"/>
      <c r="D4" s="322"/>
      <c r="E4" s="323"/>
      <c r="F4" s="324"/>
      <c r="G4" s="324"/>
      <c r="H4" s="387"/>
      <c r="I4" s="388"/>
      <c r="J4" s="322"/>
      <c r="K4" s="322"/>
      <c r="L4" s="322"/>
      <c r="M4" s="322"/>
      <c r="N4" s="323"/>
      <c r="O4" s="324"/>
    </row>
    <row r="5" ht="4.5" customHeight="1">
      <c r="A5" s="322"/>
      <c r="B5" s="325"/>
      <c r="C5" s="322"/>
      <c r="D5" s="322"/>
      <c r="E5" s="323"/>
      <c r="F5" s="326"/>
      <c r="G5" s="326"/>
      <c r="H5" s="404"/>
      <c r="I5" s="388"/>
      <c r="J5" s="322"/>
      <c r="K5" s="325"/>
      <c r="L5" s="322"/>
      <c r="M5" s="322"/>
      <c r="N5" s="323"/>
      <c r="O5" s="326"/>
    </row>
    <row r="6" ht="18.0" customHeight="1">
      <c r="A6" s="322"/>
      <c r="B6" s="327" t="s">
        <v>931</v>
      </c>
      <c r="C6" s="330" t="s">
        <v>1395</v>
      </c>
      <c r="D6" s="329"/>
      <c r="E6" s="323"/>
      <c r="F6" s="326"/>
      <c r="G6" s="326"/>
      <c r="H6" s="404"/>
      <c r="I6" s="388"/>
      <c r="J6" s="322"/>
      <c r="K6" s="327" t="s">
        <v>931</v>
      </c>
      <c r="L6" s="328" t="s">
        <v>1396</v>
      </c>
      <c r="M6" s="329"/>
      <c r="N6" s="323"/>
      <c r="O6" s="326"/>
    </row>
    <row r="7" ht="4.5" customHeight="1">
      <c r="A7" s="322"/>
      <c r="B7" s="325"/>
      <c r="C7" s="322"/>
      <c r="D7" s="322"/>
      <c r="E7" s="323"/>
      <c r="F7" s="326"/>
      <c r="G7" s="326"/>
      <c r="H7" s="404"/>
      <c r="I7" s="388"/>
      <c r="J7" s="322"/>
      <c r="K7" s="325"/>
      <c r="L7" s="322"/>
      <c r="M7" s="322"/>
      <c r="N7" s="323"/>
      <c r="O7" s="326"/>
    </row>
    <row r="8" ht="18.0" customHeight="1">
      <c r="A8" s="322"/>
      <c r="B8" s="327" t="s">
        <v>935</v>
      </c>
      <c r="C8" s="440">
        <v>850000.0</v>
      </c>
      <c r="D8" s="329"/>
      <c r="E8" s="323">
        <f>C8/90000</f>
        <v>9.444444444</v>
      </c>
      <c r="F8" s="326"/>
      <c r="G8" s="326"/>
      <c r="H8" s="404"/>
      <c r="I8" s="388"/>
      <c r="J8" s="322"/>
      <c r="K8" s="327" t="s">
        <v>935</v>
      </c>
      <c r="L8" s="331">
        <v>115000.0</v>
      </c>
      <c r="M8" s="329"/>
      <c r="N8" s="323"/>
      <c r="O8" s="326"/>
    </row>
    <row r="9" ht="4.5" customHeight="1">
      <c r="A9" s="322"/>
      <c r="B9" s="327"/>
      <c r="C9" s="332"/>
      <c r="D9" s="332"/>
      <c r="E9" s="323"/>
      <c r="F9" s="326"/>
      <c r="G9" s="326"/>
      <c r="H9" s="404"/>
      <c r="I9" s="388"/>
      <c r="J9" s="322"/>
      <c r="K9" s="327"/>
      <c r="L9" s="332"/>
      <c r="M9" s="332"/>
      <c r="N9" s="323"/>
      <c r="O9" s="326"/>
    </row>
    <row r="10" ht="18.0" customHeight="1">
      <c r="A10" s="322"/>
      <c r="B10" s="327" t="s">
        <v>939</v>
      </c>
      <c r="C10" s="333" t="str">
        <f>IF(SUM(E22,E37,E45)=0,"",SUM(E22,E37,E45))</f>
        <v>#REF!</v>
      </c>
      <c r="D10" s="321"/>
      <c r="E10" s="323" t="str">
        <f>C10/90000</f>
        <v>#REF!</v>
      </c>
      <c r="F10" s="326"/>
      <c r="G10" s="326"/>
      <c r="H10" s="404"/>
      <c r="I10" s="388"/>
      <c r="J10" s="322"/>
      <c r="K10" s="327" t="s">
        <v>939</v>
      </c>
      <c r="L10" s="333" t="str">
        <f>IF(SUM(N22,N37,N45)=0,"",SUM(N22,N37,N45))</f>
        <v>#REF!</v>
      </c>
      <c r="M10" s="321"/>
      <c r="N10" s="323"/>
      <c r="O10" s="326"/>
    </row>
    <row r="11" ht="4.5" customHeight="1">
      <c r="A11" s="322"/>
      <c r="B11" s="327"/>
      <c r="C11" s="334"/>
      <c r="D11" s="334"/>
      <c r="E11" s="323"/>
      <c r="F11" s="326"/>
      <c r="G11" s="326"/>
      <c r="H11" s="404"/>
      <c r="I11" s="388"/>
      <c r="J11" s="322"/>
      <c r="K11" s="327"/>
      <c r="L11" s="334"/>
      <c r="M11" s="334"/>
      <c r="N11" s="323"/>
      <c r="O11" s="326"/>
    </row>
    <row r="12" ht="18.0" customHeight="1">
      <c r="A12" s="322"/>
      <c r="B12" s="327" t="s">
        <v>946</v>
      </c>
      <c r="C12" s="335" t="str">
        <f>IF(C10="","",IF(ISBLANK(C8),"",C10/C8))</f>
        <v>#REF!</v>
      </c>
      <c r="D12" s="321"/>
      <c r="E12" s="323"/>
      <c r="F12" s="326"/>
      <c r="G12" s="326"/>
      <c r="H12" s="404"/>
      <c r="I12" s="388"/>
      <c r="J12" s="322"/>
      <c r="K12" s="327" t="s">
        <v>946</v>
      </c>
      <c r="L12" s="335" t="str">
        <f>IF(L10="","",IF(ISBLANK(L8),"",L10/L8))</f>
        <v>#REF!</v>
      </c>
      <c r="M12" s="321"/>
      <c r="N12" s="323"/>
      <c r="O12" s="326"/>
    </row>
    <row r="13" ht="4.5" customHeight="1">
      <c r="A13" s="322"/>
      <c r="B13" s="327"/>
      <c r="C13" s="334"/>
      <c r="D13" s="334"/>
      <c r="E13" s="323"/>
      <c r="F13" s="326"/>
      <c r="G13" s="326"/>
      <c r="H13" s="404"/>
      <c r="I13" s="388"/>
      <c r="J13" s="322"/>
      <c r="K13" s="327"/>
      <c r="L13" s="334"/>
      <c r="M13" s="334"/>
      <c r="N13" s="323"/>
      <c r="O13" s="326"/>
    </row>
    <row r="14" ht="18.0" customHeight="1">
      <c r="A14" s="322"/>
      <c r="B14" s="327" t="s">
        <v>950</v>
      </c>
      <c r="C14" s="333" t="str">
        <f>C8-C10</f>
        <v>#REF!</v>
      </c>
      <c r="D14" s="321"/>
      <c r="E14" s="323"/>
      <c r="F14" s="326"/>
      <c r="G14" s="326"/>
      <c r="H14" s="404"/>
      <c r="I14" s="388"/>
      <c r="J14" s="322"/>
      <c r="K14" s="327" t="s">
        <v>950</v>
      </c>
      <c r="L14" s="333" t="str">
        <f>L8-L10</f>
        <v>#REF!</v>
      </c>
      <c r="M14" s="321"/>
      <c r="N14" s="323"/>
      <c r="O14" s="326"/>
    </row>
    <row r="15" ht="15.0" customHeight="1">
      <c r="A15" s="322"/>
      <c r="B15" s="322"/>
      <c r="C15" s="322"/>
      <c r="D15" s="322"/>
      <c r="E15" s="323"/>
      <c r="F15" s="324"/>
      <c r="G15" s="324"/>
      <c r="H15" s="404"/>
      <c r="I15" s="388"/>
      <c r="J15" s="322"/>
      <c r="K15" s="322"/>
      <c r="L15" s="322"/>
      <c r="M15" s="322"/>
      <c r="N15" s="323"/>
      <c r="O15" s="324"/>
    </row>
    <row r="16" ht="12.75" customHeight="1">
      <c r="A16" s="322"/>
      <c r="B16" s="322"/>
      <c r="C16" s="322"/>
      <c r="D16" s="322"/>
      <c r="E16" s="337"/>
      <c r="F16" s="324"/>
      <c r="G16" s="324"/>
      <c r="H16" s="387"/>
      <c r="I16" s="388"/>
      <c r="J16" s="322"/>
      <c r="K16" s="322"/>
      <c r="L16" s="322"/>
      <c r="M16" s="322"/>
      <c r="N16" s="337"/>
      <c r="O16" s="324"/>
    </row>
    <row r="17" ht="12.75" customHeight="1">
      <c r="A17" s="322"/>
      <c r="B17" s="338" t="s">
        <v>951</v>
      </c>
      <c r="C17" s="339"/>
      <c r="D17" s="339"/>
      <c r="E17" s="339"/>
      <c r="F17" s="324"/>
      <c r="G17" s="324"/>
      <c r="H17" s="410"/>
      <c r="I17" s="388"/>
      <c r="J17" s="322"/>
      <c r="K17" s="338" t="s">
        <v>951</v>
      </c>
      <c r="L17" s="339"/>
      <c r="M17" s="339"/>
      <c r="N17" s="339"/>
      <c r="O17" s="324"/>
    </row>
    <row r="18" ht="12.75" customHeight="1">
      <c r="A18" s="322"/>
      <c r="B18" s="340" t="s">
        <v>953</v>
      </c>
      <c r="C18" s="341" t="s">
        <v>954</v>
      </c>
      <c r="D18" s="341" t="s">
        <v>955</v>
      </c>
      <c r="E18" s="341" t="s">
        <v>35</v>
      </c>
      <c r="F18" s="324"/>
      <c r="G18" s="324"/>
      <c r="H18" s="387"/>
      <c r="I18" s="388"/>
      <c r="J18" s="322"/>
      <c r="K18" s="340" t="s">
        <v>953</v>
      </c>
      <c r="L18" s="341" t="s">
        <v>954</v>
      </c>
      <c r="M18" s="341" t="s">
        <v>955</v>
      </c>
      <c r="N18" s="341" t="s">
        <v>35</v>
      </c>
      <c r="O18" s="324"/>
    </row>
    <row r="19" ht="12.75" customHeight="1">
      <c r="A19" s="322"/>
      <c r="B19" s="60" t="s">
        <v>799</v>
      </c>
      <c r="C19" s="342">
        <v>1.0</v>
      </c>
      <c r="D19" s="343">
        <f>'F&amp;B'!$F$117</f>
        <v>18000</v>
      </c>
      <c r="E19" s="67">
        <f t="shared" ref="E19:E20" si="1">IF(OR(ISBLANK(C19),ISBLANK(D19)),"",D19*C19)</f>
        <v>18000</v>
      </c>
      <c r="F19" s="324"/>
      <c r="G19" s="324"/>
      <c r="H19" s="387"/>
      <c r="I19" s="388"/>
      <c r="J19" s="322"/>
      <c r="K19" s="60" t="s">
        <v>494</v>
      </c>
      <c r="L19" s="342">
        <v>1.0</v>
      </c>
      <c r="M19" s="343">
        <f>Prep!$J$64</f>
        <v>2138.95</v>
      </c>
      <c r="N19" s="67">
        <f t="shared" ref="N19:N21" si="2">IF(OR(ISBLANK(L19),ISBLANK(M19)),"",M19*L19)</f>
        <v>2138.95</v>
      </c>
      <c r="O19" s="324"/>
    </row>
    <row r="20" ht="12.75" customHeight="1">
      <c r="A20" s="322"/>
      <c r="B20" s="75" t="s">
        <v>1401</v>
      </c>
      <c r="C20" s="370">
        <v>1.0</v>
      </c>
      <c r="D20" s="371" t="str">
        <f>$L$54</f>
        <v>#REF!</v>
      </c>
      <c r="E20" s="67" t="str">
        <f t="shared" si="1"/>
        <v>#REF!</v>
      </c>
      <c r="F20" s="324"/>
      <c r="G20" s="324"/>
      <c r="H20" s="387"/>
      <c r="I20" s="388"/>
      <c r="J20" s="322"/>
      <c r="K20" s="75" t="s">
        <v>1402</v>
      </c>
      <c r="L20" s="370">
        <v>0.2</v>
      </c>
      <c r="M20" s="371">
        <f>'F&amp;B'!$F$116/13</f>
        <v>49846.15385</v>
      </c>
      <c r="N20" s="67">
        <f t="shared" si="2"/>
        <v>9969.230769</v>
      </c>
      <c r="O20" s="324"/>
    </row>
    <row r="21" ht="12.75" customHeight="1">
      <c r="A21" s="322"/>
      <c r="B21" s="87"/>
      <c r="C21" s="355"/>
      <c r="D21" s="356"/>
      <c r="E21" s="67"/>
      <c r="F21" s="324"/>
      <c r="G21" s="324"/>
      <c r="H21" s="387"/>
      <c r="I21" s="388"/>
      <c r="J21" s="322"/>
      <c r="K21" s="87" t="s">
        <v>925</v>
      </c>
      <c r="L21" s="412">
        <v>0.01</v>
      </c>
      <c r="M21" s="408">
        <f>'F&amp;B'!$F$124</f>
        <v>122400</v>
      </c>
      <c r="N21" s="67">
        <f t="shared" si="2"/>
        <v>1224</v>
      </c>
      <c r="O21" s="324"/>
    </row>
    <row r="22" ht="12.75" customHeight="1">
      <c r="A22" s="322"/>
      <c r="B22" s="338" t="s">
        <v>84</v>
      </c>
      <c r="C22" s="358"/>
      <c r="D22" s="358"/>
      <c r="E22" s="359" t="str">
        <f>IF(SUM(E19:E21)=0,"",SUM(E19:E21))</f>
        <v>#REF!</v>
      </c>
      <c r="F22" s="324"/>
      <c r="G22" s="324"/>
      <c r="H22" s="387"/>
      <c r="I22" s="388"/>
      <c r="J22" s="322"/>
      <c r="K22" s="338" t="s">
        <v>84</v>
      </c>
      <c r="L22" s="358"/>
      <c r="M22" s="358"/>
      <c r="N22" s="359">
        <f>IF(SUM(N19:N21)=0,"",SUM(N19:N21))</f>
        <v>13332.18077</v>
      </c>
      <c r="O22" s="324"/>
    </row>
    <row r="23" ht="12.75" customHeight="1">
      <c r="A23" s="322"/>
      <c r="B23" s="360"/>
      <c r="C23" s="360"/>
      <c r="D23" s="360"/>
      <c r="E23" s="361"/>
      <c r="F23" s="324"/>
      <c r="G23" s="324"/>
      <c r="H23" s="387"/>
      <c r="I23" s="388"/>
      <c r="J23" s="322"/>
      <c r="K23" s="360"/>
      <c r="L23" s="360"/>
      <c r="M23" s="360"/>
      <c r="N23" s="361"/>
      <c r="O23" s="324"/>
    </row>
    <row r="24" ht="12.75" customHeight="1">
      <c r="A24" s="322"/>
      <c r="B24" s="362" t="s">
        <v>972</v>
      </c>
      <c r="C24" s="363"/>
      <c r="D24" s="363"/>
      <c r="E24" s="363"/>
      <c r="F24" s="324"/>
      <c r="G24" s="324"/>
      <c r="H24" s="387"/>
      <c r="I24" s="388"/>
      <c r="J24" s="322"/>
      <c r="K24" s="362" t="s">
        <v>972</v>
      </c>
      <c r="L24" s="363"/>
      <c r="M24" s="363"/>
      <c r="N24" s="363"/>
      <c r="O24" s="324"/>
    </row>
    <row r="25" ht="12.75" customHeight="1">
      <c r="A25" s="322"/>
      <c r="B25" s="365" t="s">
        <v>953</v>
      </c>
      <c r="C25" s="366" t="s">
        <v>3</v>
      </c>
      <c r="D25" s="366" t="s">
        <v>975</v>
      </c>
      <c r="E25" s="367" t="s">
        <v>35</v>
      </c>
      <c r="F25" s="324"/>
      <c r="G25" s="324"/>
      <c r="H25" s="387"/>
      <c r="I25" s="388"/>
      <c r="J25" s="322"/>
      <c r="K25" s="365" t="s">
        <v>953</v>
      </c>
      <c r="L25" s="366" t="s">
        <v>3</v>
      </c>
      <c r="M25" s="366" t="s">
        <v>975</v>
      </c>
      <c r="N25" s="367" t="s">
        <v>35</v>
      </c>
      <c r="O25" s="324"/>
    </row>
    <row r="26" ht="12.75" customHeight="1">
      <c r="A26" s="322"/>
      <c r="B26" s="368"/>
      <c r="C26" s="366"/>
      <c r="D26" s="366"/>
      <c r="E26" s="368"/>
      <c r="F26" s="324"/>
      <c r="G26" s="324"/>
      <c r="H26" s="387"/>
      <c r="I26" s="388"/>
      <c r="J26" s="322"/>
      <c r="K26" s="368"/>
      <c r="L26" s="366"/>
      <c r="M26" s="366"/>
      <c r="N26" s="368"/>
      <c r="O26" s="324"/>
    </row>
    <row r="27" ht="12.75" customHeight="1">
      <c r="A27" s="322"/>
      <c r="B27" s="60"/>
      <c r="C27" s="342"/>
      <c r="D27" s="343"/>
      <c r="E27" s="67">
        <f t="shared" ref="E27:E36" si="3">D27*C27</f>
        <v>0</v>
      </c>
      <c r="F27" s="324"/>
      <c r="G27" s="324"/>
      <c r="H27" s="387"/>
      <c r="I27" s="388"/>
      <c r="J27" s="322"/>
      <c r="K27" s="60" t="s">
        <v>1405</v>
      </c>
      <c r="L27" s="342">
        <v>0.11</v>
      </c>
      <c r="M27" s="343">
        <f>'F&amp;B'!$F$299</f>
        <v>8100</v>
      </c>
      <c r="N27" s="67">
        <f t="shared" ref="N27:N36" si="4">M27*L27</f>
        <v>891</v>
      </c>
      <c r="O27" s="324"/>
    </row>
    <row r="28" ht="12.75" customHeight="1">
      <c r="A28" s="322"/>
      <c r="B28" s="75"/>
      <c r="C28" s="370"/>
      <c r="D28" s="371"/>
      <c r="E28" s="67">
        <f t="shared" si="3"/>
        <v>0</v>
      </c>
      <c r="F28" s="324"/>
      <c r="G28" s="324"/>
      <c r="H28" s="387"/>
      <c r="I28" s="388"/>
      <c r="J28" s="322"/>
      <c r="K28" s="75" t="s">
        <v>904</v>
      </c>
      <c r="L28" s="405">
        <v>0.04</v>
      </c>
      <c r="M28" s="371">
        <f>'F&amp;B'!$F$111/1.2</f>
        <v>56250</v>
      </c>
      <c r="N28" s="67">
        <f t="shared" si="4"/>
        <v>2250</v>
      </c>
      <c r="O28" s="324"/>
    </row>
    <row r="29" ht="12.75" customHeight="1">
      <c r="A29" s="322"/>
      <c r="B29" s="75"/>
      <c r="C29" s="370"/>
      <c r="D29" s="371"/>
      <c r="E29" s="67">
        <f t="shared" si="3"/>
        <v>0</v>
      </c>
      <c r="F29" s="324"/>
      <c r="G29" s="324"/>
      <c r="H29" s="387"/>
      <c r="I29" s="388"/>
      <c r="J29" s="322"/>
      <c r="K29" s="75"/>
      <c r="L29" s="370"/>
      <c r="M29" s="371"/>
      <c r="N29" s="67">
        <f t="shared" si="4"/>
        <v>0</v>
      </c>
      <c r="O29" s="324"/>
    </row>
    <row r="30" ht="12.75" customHeight="1">
      <c r="A30" s="322"/>
      <c r="B30" s="75"/>
      <c r="C30" s="346"/>
      <c r="D30" s="371"/>
      <c r="E30" s="67">
        <f t="shared" si="3"/>
        <v>0</v>
      </c>
      <c r="F30" s="324"/>
      <c r="G30" s="324"/>
      <c r="H30" s="387"/>
      <c r="I30" s="388"/>
      <c r="J30" s="322"/>
      <c r="K30" s="75"/>
      <c r="L30" s="370"/>
      <c r="M30" s="371"/>
      <c r="N30" s="67">
        <f t="shared" si="4"/>
        <v>0</v>
      </c>
      <c r="O30" s="324"/>
    </row>
    <row r="31" ht="12.75" customHeight="1">
      <c r="A31" s="322"/>
      <c r="B31" s="75"/>
      <c r="C31" s="346"/>
      <c r="D31" s="371"/>
      <c r="E31" s="67">
        <f t="shared" si="3"/>
        <v>0</v>
      </c>
      <c r="F31" s="324"/>
      <c r="G31" s="324"/>
      <c r="H31" s="387"/>
      <c r="I31" s="388"/>
      <c r="J31" s="322"/>
      <c r="K31" s="75"/>
      <c r="L31" s="370"/>
      <c r="M31" s="371"/>
      <c r="N31" s="67">
        <f t="shared" si="4"/>
        <v>0</v>
      </c>
      <c r="O31" s="324"/>
    </row>
    <row r="32" ht="12.75" customHeight="1">
      <c r="A32" s="322"/>
      <c r="B32" s="75"/>
      <c r="C32" s="346"/>
      <c r="D32" s="347"/>
      <c r="E32" s="67">
        <f t="shared" si="3"/>
        <v>0</v>
      </c>
      <c r="F32" s="324"/>
      <c r="G32" s="324"/>
      <c r="H32" s="387"/>
      <c r="I32" s="388"/>
      <c r="J32" s="322"/>
      <c r="K32" s="75"/>
      <c r="L32" s="370"/>
      <c r="M32" s="371"/>
      <c r="N32" s="67">
        <f t="shared" si="4"/>
        <v>0</v>
      </c>
      <c r="O32" s="324"/>
    </row>
    <row r="33" ht="12.75" customHeight="1">
      <c r="A33" s="322"/>
      <c r="B33" s="348"/>
      <c r="C33" s="346"/>
      <c r="D33" s="373"/>
      <c r="E33" s="67">
        <f t="shared" si="3"/>
        <v>0</v>
      </c>
      <c r="F33" s="324"/>
      <c r="G33" s="324"/>
      <c r="H33" s="387"/>
      <c r="I33" s="388"/>
      <c r="J33" s="322"/>
      <c r="K33" s="75"/>
      <c r="L33" s="370"/>
      <c r="M33" s="371"/>
      <c r="N33" s="67">
        <f t="shared" si="4"/>
        <v>0</v>
      </c>
      <c r="O33" s="324"/>
    </row>
    <row r="34" ht="12.75" customHeight="1">
      <c r="A34" s="322"/>
      <c r="B34" s="348"/>
      <c r="C34" s="346"/>
      <c r="D34" s="373"/>
      <c r="E34" s="67">
        <f t="shared" si="3"/>
        <v>0</v>
      </c>
      <c r="F34" s="324"/>
      <c r="G34" s="324"/>
      <c r="H34" s="387"/>
      <c r="I34" s="388"/>
      <c r="J34" s="322"/>
      <c r="K34" s="75"/>
      <c r="L34" s="370"/>
      <c r="M34" s="371"/>
      <c r="N34" s="67">
        <f t="shared" si="4"/>
        <v>0</v>
      </c>
      <c r="O34" s="324"/>
    </row>
    <row r="35" ht="12.75" customHeight="1">
      <c r="A35" s="322"/>
      <c r="B35" s="348"/>
      <c r="C35" s="346"/>
      <c r="D35" s="373"/>
      <c r="E35" s="67">
        <f t="shared" si="3"/>
        <v>0</v>
      </c>
      <c r="F35" s="324"/>
      <c r="G35" s="324"/>
      <c r="H35" s="387"/>
      <c r="I35" s="388"/>
      <c r="J35" s="322"/>
      <c r="K35" s="75"/>
      <c r="L35" s="370"/>
      <c r="M35" s="371"/>
      <c r="N35" s="67">
        <f t="shared" si="4"/>
        <v>0</v>
      </c>
      <c r="O35" s="324"/>
    </row>
    <row r="36" ht="12.75" customHeight="1">
      <c r="A36" s="322"/>
      <c r="B36" s="354"/>
      <c r="C36" s="355"/>
      <c r="D36" s="356"/>
      <c r="E36" s="67">
        <f t="shared" si="3"/>
        <v>0</v>
      </c>
      <c r="F36" s="324"/>
      <c r="G36" s="324"/>
      <c r="H36" s="387"/>
      <c r="I36" s="388"/>
      <c r="J36" s="322"/>
      <c r="K36" s="87"/>
      <c r="L36" s="412"/>
      <c r="M36" s="408"/>
      <c r="N36" s="67">
        <f t="shared" si="4"/>
        <v>0</v>
      </c>
      <c r="O36" s="324"/>
    </row>
    <row r="37" ht="12.75" customHeight="1">
      <c r="A37" s="322"/>
      <c r="B37" s="362" t="s">
        <v>84</v>
      </c>
      <c r="C37" s="374"/>
      <c r="D37" s="374"/>
      <c r="E37" s="375" t="str">
        <f>IF(SUM(E27:E36)=0,"",SUM(E27:E36))</f>
        <v/>
      </c>
      <c r="F37" s="324"/>
      <c r="G37" s="324"/>
      <c r="H37" s="387"/>
      <c r="I37" s="388"/>
      <c r="J37" s="322"/>
      <c r="K37" s="362" t="s">
        <v>84</v>
      </c>
      <c r="L37" s="374"/>
      <c r="M37" s="374"/>
      <c r="N37" s="375">
        <f>IF(SUM(N27:N36)=0,"",SUM(N27:N36))</f>
        <v>3141</v>
      </c>
      <c r="O37" s="324"/>
    </row>
    <row r="38" ht="12.75" customHeight="1">
      <c r="A38" s="322"/>
      <c r="B38" s="360"/>
      <c r="C38" s="360"/>
      <c r="D38" s="360"/>
      <c r="E38" s="361"/>
      <c r="F38" s="324"/>
      <c r="G38" s="324"/>
      <c r="H38" s="387"/>
      <c r="I38" s="388"/>
      <c r="J38" s="322"/>
      <c r="K38" s="360"/>
      <c r="L38" s="360"/>
      <c r="M38" s="360"/>
      <c r="N38" s="361"/>
      <c r="O38" s="324"/>
    </row>
    <row r="39" ht="12.75" customHeight="1">
      <c r="A39" s="322"/>
      <c r="B39" s="34" t="s">
        <v>17</v>
      </c>
      <c r="C39" s="35"/>
      <c r="D39" s="35"/>
      <c r="E39" s="35"/>
      <c r="F39" s="324"/>
      <c r="G39" s="324"/>
      <c r="H39" s="387"/>
      <c r="I39" s="388"/>
      <c r="J39" s="322"/>
      <c r="K39" s="34" t="s">
        <v>17</v>
      </c>
      <c r="L39" s="35"/>
      <c r="M39" s="35"/>
      <c r="N39" s="35"/>
      <c r="O39" s="324"/>
    </row>
    <row r="40" ht="12.75" customHeight="1">
      <c r="A40" s="322"/>
      <c r="B40" s="52" t="s">
        <v>42</v>
      </c>
      <c r="C40" s="54"/>
      <c r="D40" s="54"/>
      <c r="E40" s="56" t="s">
        <v>35</v>
      </c>
      <c r="F40" s="324"/>
      <c r="G40" s="324"/>
      <c r="H40" s="387"/>
      <c r="I40" s="388"/>
      <c r="J40" s="322"/>
      <c r="K40" s="52" t="s">
        <v>42</v>
      </c>
      <c r="L40" s="54"/>
      <c r="M40" s="54"/>
      <c r="N40" s="56" t="s">
        <v>35</v>
      </c>
      <c r="O40" s="324"/>
    </row>
    <row r="41" ht="12.75" customHeight="1">
      <c r="A41" s="322"/>
      <c r="B41" s="60" t="s">
        <v>40</v>
      </c>
      <c r="C41" s="343">
        <f>'UTL COST'!$B$3</f>
        <v>369000</v>
      </c>
      <c r="D41" s="379">
        <f>'UTL COST'!$C$3</f>
        <v>0.0075</v>
      </c>
      <c r="E41" s="67">
        <v>0.0</v>
      </c>
      <c r="F41" s="324"/>
      <c r="G41" s="324"/>
      <c r="H41" s="387"/>
      <c r="I41" s="388"/>
      <c r="J41" s="322"/>
      <c r="K41" s="60" t="s">
        <v>40</v>
      </c>
      <c r="L41" s="343">
        <f>'UTL COST'!$B$3</f>
        <v>369000</v>
      </c>
      <c r="M41" s="379">
        <f>'UTL COST'!$C$3</f>
        <v>0.0075</v>
      </c>
      <c r="N41" s="67">
        <v>0.0</v>
      </c>
      <c r="O41" s="324"/>
    </row>
    <row r="42" ht="12.75" customHeight="1">
      <c r="A42" s="322"/>
      <c r="B42" s="75" t="s">
        <v>51</v>
      </c>
      <c r="C42" s="371" t="str">
        <f>'UTL COST'!$B$4</f>
        <v>#REF!</v>
      </c>
      <c r="D42" s="382">
        <f>'UTL COST'!$C$4</f>
        <v>7000</v>
      </c>
      <c r="E42" s="76">
        <v>0.0</v>
      </c>
      <c r="F42" s="324"/>
      <c r="G42" s="324"/>
      <c r="H42" s="387"/>
      <c r="I42" s="388"/>
      <c r="J42" s="322"/>
      <c r="K42" s="75" t="s">
        <v>51</v>
      </c>
      <c r="L42" s="371" t="str">
        <f>'UTL COST'!$B$4</f>
        <v>#REF!</v>
      </c>
      <c r="M42" s="382">
        <f>'UTL COST'!$C$4</f>
        <v>7000</v>
      </c>
      <c r="N42" s="76">
        <v>0.0</v>
      </c>
      <c r="O42" s="324"/>
    </row>
    <row r="43" ht="12.75" customHeight="1">
      <c r="A43" s="322"/>
      <c r="B43" s="75" t="s">
        <v>59</v>
      </c>
      <c r="C43" s="371" t="str">
        <f>'UTL COST'!$B$5</f>
        <v>#REF!</v>
      </c>
      <c r="D43" s="382">
        <f>'UTL COST'!$C$5</f>
        <v>45000</v>
      </c>
      <c r="E43" s="76" t="str">
        <f>'UTL COST'!$D$5</f>
        <v>#REF!</v>
      </c>
      <c r="F43" s="324"/>
      <c r="G43" s="324"/>
      <c r="H43" s="387"/>
      <c r="I43" s="388"/>
      <c r="J43" s="322"/>
      <c r="K43" s="75" t="s">
        <v>59</v>
      </c>
      <c r="L43" s="371" t="str">
        <f>'UTL COST'!$B$5</f>
        <v>#REF!</v>
      </c>
      <c r="M43" s="382">
        <f>'UTL COST'!$C$5</f>
        <v>45000</v>
      </c>
      <c r="N43" s="76" t="str">
        <f>'UTL COST'!$D$5</f>
        <v>#REF!</v>
      </c>
      <c r="O43" s="324"/>
    </row>
    <row r="44" ht="12.75" customHeight="1">
      <c r="A44" s="322"/>
      <c r="B44" s="87" t="s">
        <v>78</v>
      </c>
      <c r="C44" s="371" t="str">
        <f>'UTL COST'!$B$6</f>
        <v>#REF!</v>
      </c>
      <c r="D44" s="383">
        <f>'UTL COST'!$C$6</f>
        <v>525</v>
      </c>
      <c r="E44" s="89">
        <v>0.1</v>
      </c>
      <c r="F44" s="324"/>
      <c r="G44" s="324"/>
      <c r="H44" s="387"/>
      <c r="I44" s="388"/>
      <c r="J44" s="322"/>
      <c r="K44" s="87" t="s">
        <v>78</v>
      </c>
      <c r="L44" s="371" t="str">
        <f>'UTL COST'!$B$6</f>
        <v>#REF!</v>
      </c>
      <c r="M44" s="383">
        <f>'UTL COST'!$C$6</f>
        <v>525</v>
      </c>
      <c r="N44" s="89">
        <v>0.1</v>
      </c>
      <c r="O44" s="324"/>
    </row>
    <row r="45" ht="12.75" customHeight="1">
      <c r="A45" s="322"/>
      <c r="B45" s="34" t="s">
        <v>84</v>
      </c>
      <c r="C45" s="102"/>
      <c r="D45" s="102"/>
      <c r="E45" s="104" t="str">
        <f>IF(SUM(E41:E44)=0,"",SUM(E41:E44))</f>
        <v>#REF!</v>
      </c>
      <c r="F45" s="324"/>
      <c r="G45" s="324"/>
      <c r="H45" s="387"/>
      <c r="I45" s="388"/>
      <c r="J45" s="322"/>
      <c r="K45" s="34" t="s">
        <v>84</v>
      </c>
      <c r="L45" s="102"/>
      <c r="M45" s="102"/>
      <c r="N45" s="104" t="str">
        <f>IF(SUM(N41:N44)=0,"",SUM(N41:N44))</f>
        <v>#REF!</v>
      </c>
      <c r="O45" s="324"/>
    </row>
    <row r="46" ht="12.75" customHeight="1">
      <c r="A46" s="322"/>
      <c r="B46" s="360"/>
      <c r="C46" s="360"/>
      <c r="D46" s="360"/>
      <c r="E46" s="361"/>
      <c r="F46" s="324"/>
      <c r="G46" s="324"/>
      <c r="H46" s="387"/>
      <c r="I46" s="388"/>
      <c r="J46" s="322"/>
      <c r="K46" s="360"/>
      <c r="L46" s="360"/>
      <c r="M46" s="360"/>
      <c r="N46" s="361"/>
      <c r="O46" s="324"/>
    </row>
    <row r="47" ht="12.75" customHeight="1">
      <c r="A47" s="387"/>
      <c r="B47" s="387"/>
      <c r="C47" s="387"/>
      <c r="D47" s="387"/>
      <c r="E47" s="418"/>
      <c r="F47" s="387"/>
      <c r="G47" s="387"/>
      <c r="H47" s="387"/>
      <c r="I47" s="387"/>
      <c r="J47" s="387"/>
      <c r="K47" s="387"/>
      <c r="L47" s="387"/>
      <c r="M47" s="387"/>
      <c r="N47" s="387"/>
      <c r="O47" s="387"/>
    </row>
    <row r="48" ht="12.75" customHeight="1">
      <c r="A48" s="322"/>
      <c r="B48" s="322"/>
      <c r="C48" s="322"/>
      <c r="D48" s="322"/>
      <c r="E48" s="323"/>
      <c r="F48" s="324"/>
      <c r="G48" s="324"/>
      <c r="H48" s="387"/>
      <c r="I48" s="388"/>
      <c r="J48" s="322"/>
      <c r="K48" s="322"/>
      <c r="L48" s="322"/>
      <c r="M48" s="322"/>
      <c r="N48" s="323"/>
      <c r="O48" s="324"/>
    </row>
    <row r="49" ht="12.75" customHeight="1">
      <c r="A49" s="322"/>
      <c r="B49" s="325"/>
      <c r="C49" s="322"/>
      <c r="D49" s="322"/>
      <c r="E49" s="323"/>
      <c r="F49" s="326"/>
      <c r="G49" s="326"/>
      <c r="H49" s="404"/>
      <c r="I49" s="388"/>
      <c r="J49" s="322"/>
      <c r="K49" s="325"/>
      <c r="L49" s="322"/>
      <c r="M49" s="322"/>
      <c r="N49" s="323"/>
      <c r="O49" s="326"/>
    </row>
    <row r="50" ht="12.75" customHeight="1">
      <c r="A50" s="322"/>
      <c r="B50" s="327" t="s">
        <v>931</v>
      </c>
      <c r="C50" s="328" t="s">
        <v>1415</v>
      </c>
      <c r="D50" s="329"/>
      <c r="E50" s="323"/>
      <c r="F50" s="326"/>
      <c r="G50" s="326"/>
      <c r="H50" s="404"/>
      <c r="I50" s="388"/>
      <c r="J50" s="322"/>
      <c r="K50" s="327" t="s">
        <v>931</v>
      </c>
      <c r="L50" s="328" t="s">
        <v>1417</v>
      </c>
      <c r="M50" s="329"/>
      <c r="N50" s="323"/>
      <c r="O50" s="326"/>
    </row>
    <row r="51" ht="12.75" customHeight="1">
      <c r="A51" s="322"/>
      <c r="B51" s="325"/>
      <c r="C51" s="322"/>
      <c r="D51" s="322"/>
      <c r="E51" s="323"/>
      <c r="F51" s="326"/>
      <c r="G51" s="326"/>
      <c r="H51" s="404"/>
      <c r="I51" s="388"/>
      <c r="J51" s="322"/>
      <c r="K51" s="325"/>
      <c r="L51" s="322"/>
      <c r="M51" s="322"/>
      <c r="N51" s="323"/>
      <c r="O51" s="326"/>
    </row>
    <row r="52" ht="12.75" customHeight="1">
      <c r="A52" s="322"/>
      <c r="B52" s="327" t="s">
        <v>935</v>
      </c>
      <c r="C52" s="331">
        <f>L52*3</f>
        <v>80001</v>
      </c>
      <c r="D52" s="329"/>
      <c r="E52" s="323"/>
      <c r="F52" s="326"/>
      <c r="G52" s="326"/>
      <c r="H52" s="404"/>
      <c r="I52" s="388"/>
      <c r="J52" s="322"/>
      <c r="K52" s="327" t="s">
        <v>935</v>
      </c>
      <c r="L52" s="331">
        <v>26667.0</v>
      </c>
      <c r="M52" s="329"/>
      <c r="N52" s="323"/>
      <c r="O52" s="326"/>
    </row>
    <row r="53" ht="12.75" customHeight="1">
      <c r="A53" s="322"/>
      <c r="B53" s="327"/>
      <c r="C53" s="332"/>
      <c r="D53" s="332"/>
      <c r="E53" s="323"/>
      <c r="F53" s="326"/>
      <c r="G53" s="326"/>
      <c r="H53" s="404"/>
      <c r="I53" s="388"/>
      <c r="J53" s="322"/>
      <c r="K53" s="327"/>
      <c r="L53" s="332"/>
      <c r="M53" s="332"/>
      <c r="N53" s="323"/>
      <c r="O53" s="326"/>
    </row>
    <row r="54" ht="12.75" customHeight="1">
      <c r="A54" s="322"/>
      <c r="B54" s="327" t="s">
        <v>939</v>
      </c>
      <c r="C54" s="333" t="str">
        <f>IF(SUM(E66,E81,E89)=0,"",SUM(E66,E81,E89))</f>
        <v>#REF!</v>
      </c>
      <c r="D54" s="321"/>
      <c r="E54" s="323"/>
      <c r="F54" s="326"/>
      <c r="G54" s="326"/>
      <c r="H54" s="404"/>
      <c r="I54" s="388"/>
      <c r="J54" s="322"/>
      <c r="K54" s="327" t="s">
        <v>939</v>
      </c>
      <c r="L54" s="333" t="str">
        <f>IF(SUM(N66,N81,N89)=0,"",SUM(N66,N81,N89))</f>
        <v>#REF!</v>
      </c>
      <c r="M54" s="321"/>
      <c r="N54" s="323"/>
      <c r="O54" s="326"/>
    </row>
    <row r="55" ht="12.75" customHeight="1">
      <c r="A55" s="322"/>
      <c r="B55" s="327"/>
      <c r="C55" s="334"/>
      <c r="D55" s="334"/>
      <c r="E55" s="323"/>
      <c r="F55" s="326"/>
      <c r="G55" s="326"/>
      <c r="H55" s="404"/>
      <c r="I55" s="388"/>
      <c r="J55" s="322"/>
      <c r="K55" s="327"/>
      <c r="L55" s="334"/>
      <c r="M55" s="334"/>
      <c r="N55" s="323"/>
      <c r="O55" s="326"/>
    </row>
    <row r="56" ht="12.75" customHeight="1">
      <c r="A56" s="322"/>
      <c r="B56" s="327" t="s">
        <v>946</v>
      </c>
      <c r="C56" s="335" t="str">
        <f>IF(C54="","",IF(ISBLANK(C52),"",C54/C52))</f>
        <v>#REF!</v>
      </c>
      <c r="D56" s="321"/>
      <c r="E56" s="323"/>
      <c r="F56" s="326"/>
      <c r="G56" s="326"/>
      <c r="H56" s="404"/>
      <c r="I56" s="388"/>
      <c r="J56" s="322"/>
      <c r="K56" s="327" t="s">
        <v>946</v>
      </c>
      <c r="L56" s="335" t="str">
        <f>IF(L54="","",IF(ISBLANK(L52),"",L54/L52))</f>
        <v>#REF!</v>
      </c>
      <c r="M56" s="321"/>
      <c r="N56" s="323"/>
      <c r="O56" s="326"/>
    </row>
    <row r="57" ht="12.75" customHeight="1">
      <c r="A57" s="322"/>
      <c r="B57" s="327"/>
      <c r="C57" s="334"/>
      <c r="D57" s="334"/>
      <c r="E57" s="323"/>
      <c r="F57" s="326"/>
      <c r="G57" s="326"/>
      <c r="H57" s="404"/>
      <c r="I57" s="388"/>
      <c r="J57" s="322"/>
      <c r="K57" s="327"/>
      <c r="L57" s="334"/>
      <c r="M57" s="334"/>
      <c r="N57" s="323"/>
      <c r="O57" s="326"/>
    </row>
    <row r="58" ht="12.75" customHeight="1">
      <c r="A58" s="322"/>
      <c r="B58" s="327" t="s">
        <v>950</v>
      </c>
      <c r="C58" s="333" t="str">
        <f>C52-C54</f>
        <v>#REF!</v>
      </c>
      <c r="D58" s="321"/>
      <c r="E58" s="323"/>
      <c r="F58" s="326"/>
      <c r="G58" s="326"/>
      <c r="H58" s="404"/>
      <c r="I58" s="388"/>
      <c r="J58" s="322"/>
      <c r="K58" s="327" t="s">
        <v>950</v>
      </c>
      <c r="L58" s="333" t="str">
        <f>L52-L54</f>
        <v>#REF!</v>
      </c>
      <c r="M58" s="321"/>
      <c r="N58" s="323"/>
      <c r="O58" s="326"/>
    </row>
    <row r="59" ht="12.75" customHeight="1">
      <c r="A59" s="322"/>
      <c r="B59" s="322"/>
      <c r="C59" s="322"/>
      <c r="D59" s="322"/>
      <c r="E59" s="323"/>
      <c r="F59" s="324"/>
      <c r="G59" s="324"/>
      <c r="H59" s="404"/>
      <c r="I59" s="388"/>
      <c r="J59" s="322"/>
      <c r="K59" s="322"/>
      <c r="L59" s="322"/>
      <c r="M59" s="322"/>
      <c r="N59" s="323"/>
      <c r="O59" s="324"/>
    </row>
    <row r="60" ht="12.75" customHeight="1">
      <c r="A60" s="322"/>
      <c r="B60" s="322"/>
      <c r="C60" s="322"/>
      <c r="D60" s="322"/>
      <c r="E60" s="337"/>
      <c r="F60" s="324"/>
      <c r="G60" s="324"/>
      <c r="H60" s="387"/>
      <c r="I60" s="388"/>
      <c r="J60" s="322"/>
      <c r="K60" s="322"/>
      <c r="L60" s="322"/>
      <c r="M60" s="322"/>
      <c r="N60" s="337"/>
      <c r="O60" s="324"/>
    </row>
    <row r="61" ht="12.75" customHeight="1">
      <c r="A61" s="322"/>
      <c r="B61" s="338" t="s">
        <v>951</v>
      </c>
      <c r="C61" s="339"/>
      <c r="D61" s="339"/>
      <c r="E61" s="339"/>
      <c r="F61" s="324"/>
      <c r="G61" s="324"/>
      <c r="H61" s="410"/>
      <c r="I61" s="388"/>
      <c r="J61" s="322"/>
      <c r="K61" s="338" t="s">
        <v>951</v>
      </c>
      <c r="L61" s="339"/>
      <c r="M61" s="339"/>
      <c r="N61" s="339"/>
      <c r="O61" s="324"/>
    </row>
    <row r="62" ht="12.75" customHeight="1">
      <c r="A62" s="322"/>
      <c r="B62" s="340" t="s">
        <v>953</v>
      </c>
      <c r="C62" s="341" t="s">
        <v>954</v>
      </c>
      <c r="D62" s="341" t="s">
        <v>955</v>
      </c>
      <c r="E62" s="341" t="s">
        <v>35</v>
      </c>
      <c r="F62" s="324"/>
      <c r="G62" s="324"/>
      <c r="H62" s="387"/>
      <c r="I62" s="388"/>
      <c r="J62" s="322"/>
      <c r="K62" s="340" t="s">
        <v>953</v>
      </c>
      <c r="L62" s="341" t="s">
        <v>954</v>
      </c>
      <c r="M62" s="341" t="s">
        <v>955</v>
      </c>
      <c r="N62" s="341" t="s">
        <v>35</v>
      </c>
      <c r="O62" s="324"/>
    </row>
    <row r="63" ht="12.75" customHeight="1">
      <c r="A63" s="322"/>
      <c r="B63" s="60" t="s">
        <v>1421</v>
      </c>
      <c r="C63" s="342">
        <v>3.0</v>
      </c>
      <c r="D63" s="343" t="str">
        <f>L54</f>
        <v>#REF!</v>
      </c>
      <c r="E63" s="67" t="str">
        <f t="shared" ref="E63:E65" si="5">IF(OR(ISBLANK(C63),ISBLANK(D63)),"",D63*C63)</f>
        <v>#REF!</v>
      </c>
      <c r="F63" s="324"/>
      <c r="G63" s="324"/>
      <c r="H63" s="387"/>
      <c r="I63" s="388"/>
      <c r="J63" s="322"/>
      <c r="K63" s="60" t="str">
        <f>B63</f>
        <v>Ice Cream Scoop 80 Grs</v>
      </c>
      <c r="L63" s="342">
        <v>0.1</v>
      </c>
      <c r="M63" s="343">
        <f>'F&amp;B'!$F$197</f>
        <v>51750</v>
      </c>
      <c r="N63" s="67">
        <f t="shared" ref="N63:N64" si="6">IF(OR(ISBLANK(L63),ISBLANK(M63)),"",M63*L63)</f>
        <v>5175</v>
      </c>
      <c r="O63" s="324"/>
    </row>
    <row r="64" ht="12.75" customHeight="1">
      <c r="A64" s="322"/>
      <c r="B64" s="75"/>
      <c r="C64" s="346"/>
      <c r="D64" s="371"/>
      <c r="E64" s="67" t="str">
        <f t="shared" si="5"/>
        <v/>
      </c>
      <c r="F64" s="324"/>
      <c r="G64" s="324"/>
      <c r="H64" s="387"/>
      <c r="I64" s="388"/>
      <c r="J64" s="322"/>
      <c r="K64" s="75"/>
      <c r="L64" s="346"/>
      <c r="M64" s="371"/>
      <c r="N64" s="67" t="str">
        <f t="shared" si="6"/>
        <v/>
      </c>
      <c r="O64" s="324"/>
    </row>
    <row r="65" ht="12.75" customHeight="1">
      <c r="A65" s="322"/>
      <c r="B65" s="87"/>
      <c r="C65" s="355"/>
      <c r="D65" s="352"/>
      <c r="E65" s="67" t="str">
        <f t="shared" si="5"/>
        <v/>
      </c>
      <c r="F65" s="324"/>
      <c r="G65" s="324"/>
      <c r="H65" s="387"/>
      <c r="I65" s="388"/>
      <c r="J65" s="322"/>
      <c r="K65" s="87"/>
      <c r="L65" s="355"/>
      <c r="M65" s="356"/>
      <c r="N65" s="67"/>
      <c r="O65" s="324"/>
    </row>
    <row r="66" ht="12.75" customHeight="1">
      <c r="A66" s="322"/>
      <c r="B66" s="338" t="s">
        <v>84</v>
      </c>
      <c r="C66" s="358"/>
      <c r="D66" s="358"/>
      <c r="E66" s="359" t="str">
        <f>IF(SUM(E63:E65)=0,"",SUM(E63:E65))</f>
        <v>#REF!</v>
      </c>
      <c r="F66" s="324"/>
      <c r="G66" s="324"/>
      <c r="H66" s="387"/>
      <c r="I66" s="388"/>
      <c r="J66" s="322"/>
      <c r="K66" s="338" t="s">
        <v>84</v>
      </c>
      <c r="L66" s="358"/>
      <c r="M66" s="358"/>
      <c r="N66" s="359">
        <f>IF(SUM(N63:N65)=0,"",SUM(N63:N65))</f>
        <v>5175</v>
      </c>
      <c r="O66" s="324"/>
    </row>
    <row r="67" ht="12.75" customHeight="1">
      <c r="A67" s="322"/>
      <c r="B67" s="360"/>
      <c r="C67" s="360"/>
      <c r="D67" s="360"/>
      <c r="E67" s="361"/>
      <c r="F67" s="324"/>
      <c r="G67" s="324"/>
      <c r="H67" s="387"/>
      <c r="I67" s="388"/>
      <c r="J67" s="322"/>
      <c r="K67" s="360"/>
      <c r="L67" s="360"/>
      <c r="M67" s="360"/>
      <c r="N67" s="361"/>
      <c r="O67" s="324"/>
    </row>
    <row r="68" ht="12.75" customHeight="1">
      <c r="A68" s="322"/>
      <c r="B68" s="362" t="s">
        <v>972</v>
      </c>
      <c r="C68" s="363"/>
      <c r="D68" s="363"/>
      <c r="E68" s="363"/>
      <c r="F68" s="324"/>
      <c r="G68" s="324"/>
      <c r="H68" s="387"/>
      <c r="I68" s="388"/>
      <c r="J68" s="322"/>
      <c r="K68" s="362" t="s">
        <v>972</v>
      </c>
      <c r="L68" s="363"/>
      <c r="M68" s="363"/>
      <c r="N68" s="363"/>
      <c r="O68" s="324"/>
    </row>
    <row r="69" ht="12.75" customHeight="1">
      <c r="A69" s="322"/>
      <c r="B69" s="365" t="s">
        <v>953</v>
      </c>
      <c r="C69" s="366" t="s">
        <v>3</v>
      </c>
      <c r="D69" s="366" t="s">
        <v>975</v>
      </c>
      <c r="E69" s="367" t="s">
        <v>35</v>
      </c>
      <c r="F69" s="324"/>
      <c r="G69" s="324"/>
      <c r="H69" s="387"/>
      <c r="I69" s="388"/>
      <c r="J69" s="322"/>
      <c r="K69" s="365" t="s">
        <v>953</v>
      </c>
      <c r="L69" s="366" t="s">
        <v>3</v>
      </c>
      <c r="M69" s="366" t="s">
        <v>975</v>
      </c>
      <c r="N69" s="367" t="s">
        <v>35</v>
      </c>
      <c r="O69" s="324"/>
    </row>
    <row r="70" ht="12.75" customHeight="1">
      <c r="A70" s="322"/>
      <c r="B70" s="368"/>
      <c r="C70" s="366"/>
      <c r="D70" s="366"/>
      <c r="E70" s="368"/>
      <c r="F70" s="324"/>
      <c r="G70" s="324"/>
      <c r="H70" s="387"/>
      <c r="I70" s="388"/>
      <c r="J70" s="322"/>
      <c r="K70" s="368"/>
      <c r="L70" s="366"/>
      <c r="M70" s="366"/>
      <c r="N70" s="368"/>
      <c r="O70" s="324"/>
    </row>
    <row r="71" ht="12.75" customHeight="1">
      <c r="A71" s="322"/>
      <c r="B71" s="60"/>
      <c r="C71" s="342"/>
      <c r="D71" s="343"/>
      <c r="E71" s="67">
        <f t="shared" ref="E71:E80" si="7">D71*C71</f>
        <v>0</v>
      </c>
      <c r="F71" s="324"/>
      <c r="G71" s="324"/>
      <c r="H71" s="387"/>
      <c r="I71" s="388"/>
      <c r="J71" s="322"/>
      <c r="K71" s="60"/>
      <c r="L71" s="342"/>
      <c r="M71" s="343"/>
      <c r="N71" s="67">
        <f t="shared" ref="N71:N80" si="8">M71*L71</f>
        <v>0</v>
      </c>
      <c r="O71" s="324"/>
    </row>
    <row r="72" ht="12.75" customHeight="1">
      <c r="A72" s="322"/>
      <c r="B72" s="75"/>
      <c r="C72" s="370"/>
      <c r="D72" s="371"/>
      <c r="E72" s="67">
        <f t="shared" si="7"/>
        <v>0</v>
      </c>
      <c r="F72" s="324"/>
      <c r="G72" s="324"/>
      <c r="H72" s="387"/>
      <c r="I72" s="388"/>
      <c r="J72" s="322"/>
      <c r="K72" s="75"/>
      <c r="L72" s="370"/>
      <c r="M72" s="371"/>
      <c r="N72" s="67">
        <f t="shared" si="8"/>
        <v>0</v>
      </c>
      <c r="O72" s="324"/>
    </row>
    <row r="73" ht="12.75" customHeight="1">
      <c r="A73" s="322"/>
      <c r="B73" s="75"/>
      <c r="C73" s="370"/>
      <c r="D73" s="371"/>
      <c r="E73" s="67">
        <f t="shared" si="7"/>
        <v>0</v>
      </c>
      <c r="F73" s="324"/>
      <c r="G73" s="324"/>
      <c r="H73" s="387"/>
      <c r="I73" s="388"/>
      <c r="J73" s="322"/>
      <c r="K73" s="75"/>
      <c r="L73" s="370"/>
      <c r="M73" s="371"/>
      <c r="N73" s="67">
        <f t="shared" si="8"/>
        <v>0</v>
      </c>
      <c r="O73" s="324"/>
    </row>
    <row r="74" ht="12.75" customHeight="1">
      <c r="A74" s="322"/>
      <c r="B74" s="75"/>
      <c r="C74" s="346"/>
      <c r="D74" s="371"/>
      <c r="E74" s="67">
        <f t="shared" si="7"/>
        <v>0</v>
      </c>
      <c r="F74" s="324"/>
      <c r="G74" s="324"/>
      <c r="H74" s="387"/>
      <c r="I74" s="388"/>
      <c r="J74" s="322"/>
      <c r="K74" s="75"/>
      <c r="L74" s="346"/>
      <c r="M74" s="371"/>
      <c r="N74" s="67">
        <f t="shared" si="8"/>
        <v>0</v>
      </c>
      <c r="O74" s="324"/>
    </row>
    <row r="75" ht="12.75" customHeight="1">
      <c r="A75" s="322"/>
      <c r="B75" s="75"/>
      <c r="C75" s="346"/>
      <c r="D75" s="371"/>
      <c r="E75" s="67">
        <f t="shared" si="7"/>
        <v>0</v>
      </c>
      <c r="F75" s="324"/>
      <c r="G75" s="324"/>
      <c r="H75" s="387"/>
      <c r="I75" s="388"/>
      <c r="J75" s="322"/>
      <c r="K75" s="75"/>
      <c r="L75" s="346"/>
      <c r="M75" s="371"/>
      <c r="N75" s="67">
        <f t="shared" si="8"/>
        <v>0</v>
      </c>
      <c r="O75" s="324"/>
    </row>
    <row r="76" ht="12.75" customHeight="1">
      <c r="A76" s="322"/>
      <c r="B76" s="75"/>
      <c r="C76" s="346"/>
      <c r="D76" s="373"/>
      <c r="E76" s="67">
        <f t="shared" si="7"/>
        <v>0</v>
      </c>
      <c r="F76" s="324"/>
      <c r="G76" s="324"/>
      <c r="H76" s="387"/>
      <c r="I76" s="388"/>
      <c r="J76" s="322"/>
      <c r="K76" s="75"/>
      <c r="L76" s="346"/>
      <c r="M76" s="373"/>
      <c r="N76" s="67">
        <f t="shared" si="8"/>
        <v>0</v>
      </c>
      <c r="O76" s="324"/>
    </row>
    <row r="77" ht="12.75" customHeight="1">
      <c r="A77" s="322"/>
      <c r="B77" s="348"/>
      <c r="C77" s="346"/>
      <c r="D77" s="373"/>
      <c r="E77" s="67">
        <f t="shared" si="7"/>
        <v>0</v>
      </c>
      <c r="F77" s="324"/>
      <c r="G77" s="324"/>
      <c r="H77" s="387"/>
      <c r="I77" s="388"/>
      <c r="J77" s="322"/>
      <c r="K77" s="348"/>
      <c r="L77" s="346"/>
      <c r="M77" s="373"/>
      <c r="N77" s="67">
        <f t="shared" si="8"/>
        <v>0</v>
      </c>
      <c r="O77" s="324"/>
    </row>
    <row r="78" ht="12.75" customHeight="1">
      <c r="A78" s="322"/>
      <c r="B78" s="348"/>
      <c r="C78" s="346"/>
      <c r="D78" s="373"/>
      <c r="E78" s="67">
        <f t="shared" si="7"/>
        <v>0</v>
      </c>
      <c r="F78" s="324"/>
      <c r="G78" s="324"/>
      <c r="H78" s="387"/>
      <c r="I78" s="388"/>
      <c r="J78" s="322"/>
      <c r="K78" s="348"/>
      <c r="L78" s="346"/>
      <c r="M78" s="373"/>
      <c r="N78" s="67">
        <f t="shared" si="8"/>
        <v>0</v>
      </c>
      <c r="O78" s="324"/>
    </row>
    <row r="79" ht="12.75" customHeight="1">
      <c r="A79" s="322"/>
      <c r="B79" s="348"/>
      <c r="C79" s="346"/>
      <c r="D79" s="373"/>
      <c r="E79" s="67">
        <f t="shared" si="7"/>
        <v>0</v>
      </c>
      <c r="F79" s="324"/>
      <c r="G79" s="324"/>
      <c r="H79" s="387"/>
      <c r="I79" s="388"/>
      <c r="J79" s="322"/>
      <c r="K79" s="348"/>
      <c r="L79" s="346"/>
      <c r="M79" s="373"/>
      <c r="N79" s="67">
        <f t="shared" si="8"/>
        <v>0</v>
      </c>
      <c r="O79" s="324"/>
    </row>
    <row r="80" ht="12.75" customHeight="1">
      <c r="A80" s="322"/>
      <c r="B80" s="354"/>
      <c r="C80" s="355"/>
      <c r="D80" s="356"/>
      <c r="E80" s="67">
        <f t="shared" si="7"/>
        <v>0</v>
      </c>
      <c r="F80" s="324"/>
      <c r="G80" s="324"/>
      <c r="H80" s="387"/>
      <c r="I80" s="388"/>
      <c r="J80" s="322"/>
      <c r="K80" s="354"/>
      <c r="L80" s="355"/>
      <c r="M80" s="356"/>
      <c r="N80" s="67">
        <f t="shared" si="8"/>
        <v>0</v>
      </c>
      <c r="O80" s="324"/>
    </row>
    <row r="81" ht="12.75" customHeight="1">
      <c r="A81" s="322"/>
      <c r="B81" s="362" t="s">
        <v>84</v>
      </c>
      <c r="C81" s="374"/>
      <c r="D81" s="374"/>
      <c r="E81" s="375" t="str">
        <f>IF(SUM(E71:E80)=0,"",SUM(E71:E80))</f>
        <v/>
      </c>
      <c r="F81" s="324"/>
      <c r="G81" s="324"/>
      <c r="H81" s="387"/>
      <c r="I81" s="388"/>
      <c r="J81" s="322"/>
      <c r="K81" s="362" t="s">
        <v>84</v>
      </c>
      <c r="L81" s="374"/>
      <c r="M81" s="374"/>
      <c r="N81" s="375" t="str">
        <f>IF(SUM(N71:N80)=0,"",SUM(N71:N80))</f>
        <v/>
      </c>
      <c r="O81" s="324"/>
    </row>
    <row r="82" ht="12.75" customHeight="1">
      <c r="A82" s="322"/>
      <c r="B82" s="360"/>
      <c r="C82" s="360"/>
      <c r="D82" s="360"/>
      <c r="E82" s="361"/>
      <c r="F82" s="324"/>
      <c r="G82" s="324"/>
      <c r="H82" s="387"/>
      <c r="I82" s="388"/>
      <c r="J82" s="322"/>
      <c r="K82" s="360"/>
      <c r="L82" s="360"/>
      <c r="M82" s="360"/>
      <c r="N82" s="361"/>
      <c r="O82" s="324"/>
    </row>
    <row r="83" ht="12.75" customHeight="1">
      <c r="A83" s="322"/>
      <c r="B83" s="34" t="s">
        <v>17</v>
      </c>
      <c r="C83" s="35"/>
      <c r="D83" s="35"/>
      <c r="E83" s="35"/>
      <c r="F83" s="324"/>
      <c r="G83" s="324"/>
      <c r="H83" s="387"/>
      <c r="I83" s="388"/>
      <c r="J83" s="322"/>
      <c r="K83" s="34" t="s">
        <v>17</v>
      </c>
      <c r="L83" s="35"/>
      <c r="M83" s="35"/>
      <c r="N83" s="35"/>
      <c r="O83" s="324"/>
    </row>
    <row r="84" ht="12.75" customHeight="1">
      <c r="A84" s="322"/>
      <c r="B84" s="52" t="s">
        <v>42</v>
      </c>
      <c r="C84" s="54"/>
      <c r="D84" s="54"/>
      <c r="E84" s="56" t="s">
        <v>35</v>
      </c>
      <c r="F84" s="324"/>
      <c r="G84" s="324"/>
      <c r="H84" s="387"/>
      <c r="I84" s="388"/>
      <c r="J84" s="322"/>
      <c r="K84" s="52" t="s">
        <v>42</v>
      </c>
      <c r="L84" s="54"/>
      <c r="M84" s="54"/>
      <c r="N84" s="56" t="s">
        <v>35</v>
      </c>
      <c r="O84" s="324"/>
    </row>
    <row r="85" ht="12.75" customHeight="1">
      <c r="A85" s="322"/>
      <c r="B85" s="60" t="s">
        <v>40</v>
      </c>
      <c r="C85" s="343">
        <f>'UTL COST'!$B$3</f>
        <v>369000</v>
      </c>
      <c r="D85" s="379">
        <f>'UTL COST'!$C$3</f>
        <v>0.0075</v>
      </c>
      <c r="E85" s="67">
        <v>0.0</v>
      </c>
      <c r="F85" s="324"/>
      <c r="G85" s="324"/>
      <c r="H85" s="387"/>
      <c r="I85" s="388"/>
      <c r="J85" s="322"/>
      <c r="K85" s="60" t="s">
        <v>40</v>
      </c>
      <c r="L85" s="343">
        <f>'UTL COST'!$B$3</f>
        <v>369000</v>
      </c>
      <c r="M85" s="379">
        <f>'UTL COST'!$C$3</f>
        <v>0.0075</v>
      </c>
      <c r="N85" s="67">
        <v>0.0</v>
      </c>
      <c r="O85" s="324"/>
    </row>
    <row r="86" ht="12.75" customHeight="1">
      <c r="A86" s="322"/>
      <c r="B86" s="75" t="s">
        <v>51</v>
      </c>
      <c r="C86" s="371" t="str">
        <f>'UTL COST'!$B$4</f>
        <v>#REF!</v>
      </c>
      <c r="D86" s="382">
        <f>'UTL COST'!$C$4</f>
        <v>7000</v>
      </c>
      <c r="E86" s="76">
        <v>0.0</v>
      </c>
      <c r="F86" s="324"/>
      <c r="G86" s="324"/>
      <c r="H86" s="387"/>
      <c r="I86" s="388"/>
      <c r="J86" s="322"/>
      <c r="K86" s="75" t="s">
        <v>51</v>
      </c>
      <c r="L86" s="371" t="str">
        <f>'UTL COST'!$B$4</f>
        <v>#REF!</v>
      </c>
      <c r="M86" s="382">
        <f>'UTL COST'!$C$4</f>
        <v>7000</v>
      </c>
      <c r="N86" s="76">
        <v>0.0</v>
      </c>
      <c r="O86" s="324"/>
    </row>
    <row r="87" ht="12.75" customHeight="1">
      <c r="A87" s="322"/>
      <c r="B87" s="75" t="s">
        <v>59</v>
      </c>
      <c r="C87" s="371" t="str">
        <f>'UTL COST'!$B$5</f>
        <v>#REF!</v>
      </c>
      <c r="D87" s="382">
        <f>'UTL COST'!$C$5</f>
        <v>45000</v>
      </c>
      <c r="E87" s="76" t="str">
        <f>'UTL COST'!$D$5</f>
        <v>#REF!</v>
      </c>
      <c r="F87" s="324"/>
      <c r="G87" s="324"/>
      <c r="H87" s="387"/>
      <c r="I87" s="388"/>
      <c r="J87" s="322"/>
      <c r="K87" s="75" t="s">
        <v>59</v>
      </c>
      <c r="L87" s="371" t="str">
        <f>'UTL COST'!$B$5</f>
        <v>#REF!</v>
      </c>
      <c r="M87" s="382">
        <f>'UTL COST'!$C$5</f>
        <v>45000</v>
      </c>
      <c r="N87" s="76" t="str">
        <f>'UTL COST'!$D$5</f>
        <v>#REF!</v>
      </c>
      <c r="O87" s="324"/>
    </row>
    <row r="88" ht="12.75" customHeight="1">
      <c r="A88" s="322"/>
      <c r="B88" s="87" t="s">
        <v>78</v>
      </c>
      <c r="C88" s="371" t="str">
        <f>'UTL COST'!$B$6</f>
        <v>#REF!</v>
      </c>
      <c r="D88" s="383">
        <f>'UTL COST'!$C$6</f>
        <v>525</v>
      </c>
      <c r="E88" s="89">
        <v>0.1</v>
      </c>
      <c r="F88" s="324"/>
      <c r="G88" s="324"/>
      <c r="H88" s="387"/>
      <c r="I88" s="388"/>
      <c r="J88" s="322"/>
      <c r="K88" s="87" t="s">
        <v>78</v>
      </c>
      <c r="L88" s="371" t="str">
        <f>'UTL COST'!$B$6</f>
        <v>#REF!</v>
      </c>
      <c r="M88" s="383">
        <f>'UTL COST'!$C$6</f>
        <v>525</v>
      </c>
      <c r="N88" s="89">
        <v>0.1</v>
      </c>
      <c r="O88" s="324"/>
    </row>
    <row r="89" ht="12.75" customHeight="1">
      <c r="A89" s="322"/>
      <c r="B89" s="34" t="s">
        <v>84</v>
      </c>
      <c r="C89" s="102"/>
      <c r="D89" s="102"/>
      <c r="E89" s="104" t="str">
        <f>IF(SUM(E85:E88)=0,"",SUM(E85:E88))</f>
        <v>#REF!</v>
      </c>
      <c r="F89" s="324"/>
      <c r="G89" s="324"/>
      <c r="H89" s="387"/>
      <c r="I89" s="388"/>
      <c r="J89" s="322"/>
      <c r="K89" s="34" t="s">
        <v>84</v>
      </c>
      <c r="L89" s="102"/>
      <c r="M89" s="102"/>
      <c r="N89" s="104" t="str">
        <f>IF(SUM(N85:N88)=0,"",SUM(N85:N88))</f>
        <v>#REF!</v>
      </c>
      <c r="O89" s="324"/>
    </row>
    <row r="90" ht="12.75" customHeight="1">
      <c r="A90" s="322"/>
      <c r="B90" s="360"/>
      <c r="C90" s="360"/>
      <c r="D90" s="360"/>
      <c r="E90" s="361"/>
      <c r="F90" s="324"/>
      <c r="G90" s="324"/>
      <c r="H90" s="387"/>
      <c r="I90" s="388"/>
      <c r="J90" s="322"/>
      <c r="K90" s="360"/>
      <c r="L90" s="360"/>
      <c r="M90" s="360"/>
      <c r="N90" s="361"/>
      <c r="O90" s="324"/>
    </row>
    <row r="91" ht="12.75" customHeight="1">
      <c r="A91" s="388"/>
      <c r="B91" s="432"/>
      <c r="C91" s="432"/>
      <c r="D91" s="432"/>
      <c r="E91" s="433"/>
      <c r="F91" s="387"/>
      <c r="G91" s="387"/>
      <c r="H91" s="387"/>
      <c r="I91" s="388"/>
      <c r="J91" s="387"/>
      <c r="K91" s="387"/>
      <c r="L91" s="387"/>
      <c r="M91" s="387"/>
      <c r="N91" s="387"/>
      <c r="O91" s="387"/>
    </row>
    <row r="92" ht="12.75" customHeight="1">
      <c r="A92" s="387"/>
      <c r="B92" s="387"/>
      <c r="C92" s="387"/>
      <c r="D92" s="387"/>
      <c r="E92" s="418"/>
      <c r="F92" s="387"/>
      <c r="G92" s="387"/>
      <c r="H92" s="387"/>
      <c r="I92" s="387"/>
      <c r="J92" s="387"/>
      <c r="K92" s="387"/>
      <c r="L92" s="387"/>
      <c r="M92" s="387"/>
      <c r="N92" s="387"/>
      <c r="O92" s="387"/>
    </row>
    <row r="93" ht="12.75" customHeight="1">
      <c r="A93" s="322"/>
      <c r="B93" s="322"/>
      <c r="C93" s="322"/>
      <c r="D93" s="322"/>
      <c r="E93" s="323"/>
      <c r="F93" s="324"/>
      <c r="G93" s="324"/>
      <c r="H93" s="387"/>
      <c r="I93" s="388"/>
      <c r="J93" s="322"/>
      <c r="K93" s="322"/>
      <c r="L93" s="322"/>
      <c r="M93" s="322"/>
      <c r="N93" s="323"/>
      <c r="O93" s="324"/>
    </row>
    <row r="94" ht="12.75" customHeight="1">
      <c r="A94" s="322"/>
      <c r="B94" s="325"/>
      <c r="C94" s="322"/>
      <c r="D94" s="322"/>
      <c r="E94" s="323"/>
      <c r="F94" s="326"/>
      <c r="G94" s="326"/>
      <c r="H94" s="404"/>
      <c r="I94" s="388"/>
      <c r="J94" s="322"/>
      <c r="K94" s="325"/>
      <c r="L94" s="322"/>
      <c r="M94" s="322"/>
      <c r="N94" s="323"/>
      <c r="O94" s="326"/>
    </row>
    <row r="95" ht="12.75" customHeight="1">
      <c r="A95" s="322"/>
      <c r="B95" s="327" t="s">
        <v>931</v>
      </c>
      <c r="C95" s="328" t="s">
        <v>807</v>
      </c>
      <c r="D95" s="329"/>
      <c r="E95" s="323"/>
      <c r="F95" s="326"/>
      <c r="G95" s="326"/>
      <c r="H95" s="404"/>
      <c r="I95" s="388"/>
      <c r="J95" s="322"/>
      <c r="K95" s="327" t="s">
        <v>931</v>
      </c>
      <c r="L95" s="328" t="s">
        <v>1428</v>
      </c>
      <c r="M95" s="329"/>
      <c r="N95" s="323"/>
      <c r="O95" s="326"/>
    </row>
    <row r="96" ht="12.75" customHeight="1">
      <c r="A96" s="322"/>
      <c r="B96" s="325"/>
      <c r="C96" s="322"/>
      <c r="D96" s="322"/>
      <c r="E96" s="323"/>
      <c r="F96" s="326"/>
      <c r="G96" s="326"/>
      <c r="H96" s="404"/>
      <c r="I96" s="388"/>
      <c r="J96" s="322"/>
      <c r="K96" s="325"/>
      <c r="L96" s="322"/>
      <c r="M96" s="322"/>
      <c r="N96" s="323"/>
      <c r="O96" s="326"/>
    </row>
    <row r="97" ht="12.75" customHeight="1">
      <c r="A97" s="322"/>
      <c r="B97" s="327" t="s">
        <v>935</v>
      </c>
      <c r="C97" s="331">
        <v>135000.0</v>
      </c>
      <c r="D97" s="329"/>
      <c r="E97" s="323"/>
      <c r="F97" s="326"/>
      <c r="G97" s="326"/>
      <c r="H97" s="404"/>
      <c r="I97" s="388"/>
      <c r="J97" s="322"/>
      <c r="K97" s="327" t="s">
        <v>935</v>
      </c>
      <c r="L97" s="331">
        <v>60000.0</v>
      </c>
      <c r="M97" s="329"/>
      <c r="N97" s="323"/>
      <c r="O97" s="326"/>
    </row>
    <row r="98" ht="12.75" customHeight="1">
      <c r="A98" s="322"/>
      <c r="B98" s="327"/>
      <c r="C98" s="332"/>
      <c r="D98" s="332"/>
      <c r="E98" s="323"/>
      <c r="F98" s="326"/>
      <c r="G98" s="326"/>
      <c r="H98" s="404"/>
      <c r="I98" s="388"/>
      <c r="J98" s="322"/>
      <c r="K98" s="327"/>
      <c r="L98" s="332"/>
      <c r="M98" s="332"/>
      <c r="N98" s="323"/>
      <c r="O98" s="326"/>
    </row>
    <row r="99" ht="12.75" customHeight="1">
      <c r="A99" s="322"/>
      <c r="B99" s="327" t="s">
        <v>939</v>
      </c>
      <c r="C99" s="333" t="str">
        <f>IF(SUM(E111,E126,E134)=0,"",SUM(E111,E126,E134))</f>
        <v>#REF!</v>
      </c>
      <c r="D99" s="321"/>
      <c r="E99" s="323"/>
      <c r="F99" s="326"/>
      <c r="G99" s="326"/>
      <c r="H99" s="404"/>
      <c r="I99" s="388"/>
      <c r="J99" s="322"/>
      <c r="K99" s="327" t="s">
        <v>939</v>
      </c>
      <c r="L99" s="333" t="str">
        <f>IF(SUM(N111,N126,N134)=0,"",SUM(N111,N126,N134))</f>
        <v>#REF!</v>
      </c>
      <c r="M99" s="321"/>
      <c r="N99" s="323"/>
      <c r="O99" s="326"/>
    </row>
    <row r="100" ht="12.75" customHeight="1">
      <c r="A100" s="322"/>
      <c r="B100" s="327"/>
      <c r="C100" s="334"/>
      <c r="D100" s="334"/>
      <c r="E100" s="323"/>
      <c r="F100" s="326"/>
      <c r="G100" s="326"/>
      <c r="H100" s="404"/>
      <c r="I100" s="388"/>
      <c r="J100" s="322"/>
      <c r="K100" s="327"/>
      <c r="L100" s="334"/>
      <c r="M100" s="334"/>
      <c r="N100" s="323"/>
      <c r="O100" s="326"/>
    </row>
    <row r="101" ht="12.75" customHeight="1">
      <c r="A101" s="322"/>
      <c r="B101" s="327" t="s">
        <v>946</v>
      </c>
      <c r="C101" s="335" t="str">
        <f>IF(C99="","",IF(ISBLANK(C97),"",C99/C97))</f>
        <v>#REF!</v>
      </c>
      <c r="D101" s="321"/>
      <c r="E101" s="323"/>
      <c r="F101" s="326"/>
      <c r="G101" s="326"/>
      <c r="H101" s="404"/>
      <c r="I101" s="388"/>
      <c r="J101" s="322"/>
      <c r="K101" s="327" t="s">
        <v>946</v>
      </c>
      <c r="L101" s="335" t="str">
        <f>IF(L99="","",IF(ISBLANK(L97),"",L99/L97))</f>
        <v>#REF!</v>
      </c>
      <c r="M101" s="321"/>
      <c r="N101" s="323"/>
      <c r="O101" s="326"/>
    </row>
    <row r="102" ht="12.75" customHeight="1">
      <c r="A102" s="322"/>
      <c r="B102" s="327"/>
      <c r="C102" s="334"/>
      <c r="D102" s="334"/>
      <c r="E102" s="323"/>
      <c r="F102" s="326"/>
      <c r="G102" s="326"/>
      <c r="H102" s="404"/>
      <c r="I102" s="388"/>
      <c r="J102" s="322"/>
      <c r="K102" s="327"/>
      <c r="L102" s="334"/>
      <c r="M102" s="334"/>
      <c r="N102" s="323"/>
      <c r="O102" s="326"/>
    </row>
    <row r="103" ht="12.75" customHeight="1">
      <c r="A103" s="322"/>
      <c r="B103" s="327" t="s">
        <v>950</v>
      </c>
      <c r="C103" s="333" t="str">
        <f>C97-C99</f>
        <v>#REF!</v>
      </c>
      <c r="D103" s="321"/>
      <c r="E103" s="323"/>
      <c r="F103" s="326"/>
      <c r="G103" s="326"/>
      <c r="H103" s="404"/>
      <c r="I103" s="388"/>
      <c r="J103" s="322"/>
      <c r="K103" s="327" t="s">
        <v>950</v>
      </c>
      <c r="L103" s="333" t="str">
        <f>L97-L99</f>
        <v>#REF!</v>
      </c>
      <c r="M103" s="321"/>
      <c r="N103" s="323"/>
      <c r="O103" s="326"/>
    </row>
    <row r="104" ht="12.75" customHeight="1">
      <c r="A104" s="322"/>
      <c r="B104" s="322"/>
      <c r="C104" s="322"/>
      <c r="D104" s="322"/>
      <c r="E104" s="323"/>
      <c r="F104" s="324"/>
      <c r="G104" s="324"/>
      <c r="H104" s="404"/>
      <c r="I104" s="388"/>
      <c r="J104" s="322"/>
      <c r="K104" s="322"/>
      <c r="L104" s="322"/>
      <c r="M104" s="322"/>
      <c r="N104" s="323"/>
      <c r="O104" s="324"/>
    </row>
    <row r="105" ht="12.75" customHeight="1">
      <c r="A105" s="322"/>
      <c r="B105" s="322"/>
      <c r="C105" s="322"/>
      <c r="D105" s="322"/>
      <c r="E105" s="337"/>
      <c r="F105" s="324"/>
      <c r="G105" s="324"/>
      <c r="H105" s="387"/>
      <c r="I105" s="388"/>
      <c r="J105" s="322"/>
      <c r="K105" s="322"/>
      <c r="L105" s="322"/>
      <c r="M105" s="322"/>
      <c r="N105" s="337"/>
      <c r="O105" s="324"/>
    </row>
    <row r="106" ht="12.75" customHeight="1">
      <c r="A106" s="322"/>
      <c r="B106" s="338" t="s">
        <v>951</v>
      </c>
      <c r="C106" s="339"/>
      <c r="D106" s="339"/>
      <c r="E106" s="339"/>
      <c r="F106" s="324"/>
      <c r="G106" s="324"/>
      <c r="H106" s="410"/>
      <c r="I106" s="388"/>
      <c r="J106" s="322"/>
      <c r="K106" s="338" t="s">
        <v>951</v>
      </c>
      <c r="L106" s="339"/>
      <c r="M106" s="339"/>
      <c r="N106" s="339"/>
      <c r="O106" s="324"/>
    </row>
    <row r="107" ht="12.75" customHeight="1">
      <c r="A107" s="322"/>
      <c r="B107" s="340" t="s">
        <v>953</v>
      </c>
      <c r="C107" s="341" t="s">
        <v>954</v>
      </c>
      <c r="D107" s="341" t="s">
        <v>955</v>
      </c>
      <c r="E107" s="341" t="s">
        <v>35</v>
      </c>
      <c r="F107" s="324"/>
      <c r="G107" s="324"/>
      <c r="H107" s="387"/>
      <c r="I107" s="388"/>
      <c r="J107" s="322"/>
      <c r="K107" s="340" t="s">
        <v>953</v>
      </c>
      <c r="L107" s="341" t="s">
        <v>954</v>
      </c>
      <c r="M107" s="341" t="s">
        <v>955</v>
      </c>
      <c r="N107" s="341" t="s">
        <v>35</v>
      </c>
      <c r="O107" s="324"/>
    </row>
    <row r="108" ht="12.75" customHeight="1">
      <c r="A108" s="322"/>
      <c r="B108" s="60" t="s">
        <v>489</v>
      </c>
      <c r="C108" s="342">
        <v>1.0</v>
      </c>
      <c r="D108" s="343">
        <f>Prep!$D$64</f>
        <v>5964.5532</v>
      </c>
      <c r="E108" s="67">
        <f t="shared" ref="E108:E110" si="9">IF(OR(ISBLANK(C108),ISBLANK(D108)),"",D108*C108)</f>
        <v>5964.5532</v>
      </c>
      <c r="F108" s="324"/>
      <c r="G108" s="324"/>
      <c r="H108" s="387">
        <f>E108/90000</f>
        <v>0.06627281333</v>
      </c>
      <c r="I108" s="388"/>
      <c r="J108" s="322"/>
      <c r="K108" s="60" t="s">
        <v>489</v>
      </c>
      <c r="L108" s="342">
        <v>1.0</v>
      </c>
      <c r="M108" s="343">
        <f>$D$108</f>
        <v>5964.5532</v>
      </c>
      <c r="N108" s="67">
        <f t="shared" ref="N108:N109" si="10">IF(OR(ISBLANK(L108),ISBLANK(M108)),"",M108*L108)</f>
        <v>5964.5532</v>
      </c>
      <c r="O108" s="324"/>
    </row>
    <row r="109" ht="12.75" customHeight="1">
      <c r="A109" s="322"/>
      <c r="B109" s="75" t="s">
        <v>1402</v>
      </c>
      <c r="C109" s="370">
        <v>0.2</v>
      </c>
      <c r="D109" s="371">
        <f>M20</f>
        <v>49846.15385</v>
      </c>
      <c r="E109" s="67">
        <f t="shared" si="9"/>
        <v>9969.230769</v>
      </c>
      <c r="F109" s="324"/>
      <c r="G109" s="324"/>
      <c r="H109" s="387"/>
      <c r="I109" s="388"/>
      <c r="J109" s="322"/>
      <c r="K109" s="75" t="s">
        <v>1434</v>
      </c>
      <c r="L109" s="346">
        <v>0.02</v>
      </c>
      <c r="M109" s="371">
        <f>'F&amp;B'!$F$139</f>
        <v>14220</v>
      </c>
      <c r="N109" s="67">
        <f t="shared" si="10"/>
        <v>284.4</v>
      </c>
      <c r="O109" s="324"/>
    </row>
    <row r="110" ht="12.75" customHeight="1">
      <c r="A110" s="322"/>
      <c r="B110" s="87" t="s">
        <v>1405</v>
      </c>
      <c r="C110" s="355">
        <v>0.1</v>
      </c>
      <c r="D110" s="352"/>
      <c r="E110" s="67" t="str">
        <f t="shared" si="9"/>
        <v/>
      </c>
      <c r="F110" s="324"/>
      <c r="G110" s="324"/>
      <c r="H110" s="387"/>
      <c r="I110" s="388"/>
      <c r="J110" s="322"/>
      <c r="K110" s="87"/>
      <c r="L110" s="355"/>
      <c r="M110" s="356"/>
      <c r="N110" s="67"/>
      <c r="O110" s="324"/>
    </row>
    <row r="111" ht="12.75" customHeight="1">
      <c r="A111" s="322"/>
      <c r="B111" s="338" t="s">
        <v>84</v>
      </c>
      <c r="C111" s="358"/>
      <c r="D111" s="358"/>
      <c r="E111" s="359">
        <f>IF(SUM(E108:E110)=0,"",SUM(E108:E110))</f>
        <v>15933.78397</v>
      </c>
      <c r="F111" s="324"/>
      <c r="G111" s="324"/>
      <c r="H111" s="387"/>
      <c r="I111" s="388"/>
      <c r="J111" s="322"/>
      <c r="K111" s="338" t="s">
        <v>84</v>
      </c>
      <c r="L111" s="358"/>
      <c r="M111" s="358"/>
      <c r="N111" s="359">
        <f>IF(SUM(N108:N110)=0,"",SUM(N108:N110))</f>
        <v>6248.9532</v>
      </c>
      <c r="O111" s="324"/>
    </row>
    <row r="112" ht="12.75" customHeight="1">
      <c r="A112" s="322"/>
      <c r="B112" s="360"/>
      <c r="C112" s="360"/>
      <c r="D112" s="360"/>
      <c r="E112" s="361"/>
      <c r="F112" s="324"/>
      <c r="G112" s="324"/>
      <c r="H112" s="387"/>
      <c r="I112" s="388"/>
      <c r="J112" s="322"/>
      <c r="K112" s="360"/>
      <c r="L112" s="360"/>
      <c r="M112" s="360"/>
      <c r="N112" s="361"/>
      <c r="O112" s="324"/>
    </row>
    <row r="113" ht="12.75" customHeight="1">
      <c r="A113" s="322"/>
      <c r="B113" s="362" t="s">
        <v>972</v>
      </c>
      <c r="C113" s="363"/>
      <c r="D113" s="363"/>
      <c r="E113" s="363"/>
      <c r="F113" s="324"/>
      <c r="G113" s="324"/>
      <c r="H113" s="387"/>
      <c r="I113" s="388"/>
      <c r="J113" s="322"/>
      <c r="K113" s="362" t="s">
        <v>972</v>
      </c>
      <c r="L113" s="363"/>
      <c r="M113" s="363"/>
      <c r="N113" s="363"/>
      <c r="O113" s="324"/>
    </row>
    <row r="114" ht="12.75" customHeight="1">
      <c r="A114" s="322"/>
      <c r="B114" s="365" t="s">
        <v>953</v>
      </c>
      <c r="C114" s="366" t="s">
        <v>3</v>
      </c>
      <c r="D114" s="366" t="s">
        <v>975</v>
      </c>
      <c r="E114" s="367" t="s">
        <v>35</v>
      </c>
      <c r="F114" s="324"/>
      <c r="G114" s="324"/>
      <c r="H114" s="387"/>
      <c r="I114" s="388"/>
      <c r="J114" s="322"/>
      <c r="K114" s="365" t="s">
        <v>953</v>
      </c>
      <c r="L114" s="366" t="s">
        <v>3</v>
      </c>
      <c r="M114" s="366" t="s">
        <v>975</v>
      </c>
      <c r="N114" s="367" t="s">
        <v>35</v>
      </c>
      <c r="O114" s="324"/>
    </row>
    <row r="115" ht="12.75" customHeight="1">
      <c r="A115" s="322"/>
      <c r="B115" s="368"/>
      <c r="C115" s="366"/>
      <c r="D115" s="366"/>
      <c r="E115" s="368"/>
      <c r="F115" s="324"/>
      <c r="G115" s="324"/>
      <c r="H115" s="387"/>
      <c r="I115" s="388"/>
      <c r="J115" s="322"/>
      <c r="K115" s="368"/>
      <c r="L115" s="366"/>
      <c r="M115" s="366"/>
      <c r="N115" s="368"/>
      <c r="O115" s="324"/>
    </row>
    <row r="116" ht="12.75" customHeight="1">
      <c r="A116" s="322"/>
      <c r="B116" s="60"/>
      <c r="C116" s="342"/>
      <c r="D116" s="343"/>
      <c r="E116" s="67">
        <f t="shared" ref="E116:E125" si="11">D116*C116</f>
        <v>0</v>
      </c>
      <c r="F116" s="324"/>
      <c r="G116" s="324"/>
      <c r="H116" s="387"/>
      <c r="I116" s="388"/>
      <c r="J116" s="322"/>
      <c r="K116" s="60"/>
      <c r="L116" s="342"/>
      <c r="M116" s="343"/>
      <c r="N116" s="67">
        <f t="shared" ref="N116:N125" si="12">M116*L116</f>
        <v>0</v>
      </c>
      <c r="O116" s="324"/>
    </row>
    <row r="117" ht="12.75" customHeight="1">
      <c r="A117" s="322"/>
      <c r="B117" s="75"/>
      <c r="C117" s="370"/>
      <c r="D117" s="371"/>
      <c r="E117" s="67">
        <f t="shared" si="11"/>
        <v>0</v>
      </c>
      <c r="F117" s="324"/>
      <c r="G117" s="324"/>
      <c r="H117" s="387"/>
      <c r="I117" s="388"/>
      <c r="J117" s="322"/>
      <c r="K117" s="75"/>
      <c r="L117" s="370"/>
      <c r="M117" s="371"/>
      <c r="N117" s="67">
        <f t="shared" si="12"/>
        <v>0</v>
      </c>
      <c r="O117" s="324"/>
    </row>
    <row r="118" ht="12.75" customHeight="1">
      <c r="A118" s="322"/>
      <c r="B118" s="75"/>
      <c r="C118" s="370"/>
      <c r="D118" s="371"/>
      <c r="E118" s="67">
        <f t="shared" si="11"/>
        <v>0</v>
      </c>
      <c r="F118" s="324"/>
      <c r="G118" s="324"/>
      <c r="H118" s="387"/>
      <c r="I118" s="388"/>
      <c r="J118" s="322"/>
      <c r="K118" s="75"/>
      <c r="L118" s="370"/>
      <c r="M118" s="371"/>
      <c r="N118" s="67">
        <f t="shared" si="12"/>
        <v>0</v>
      </c>
      <c r="O118" s="324"/>
    </row>
    <row r="119" ht="12.75" customHeight="1">
      <c r="A119" s="322"/>
      <c r="B119" s="75"/>
      <c r="C119" s="346"/>
      <c r="D119" s="371"/>
      <c r="E119" s="67">
        <f t="shared" si="11"/>
        <v>0</v>
      </c>
      <c r="F119" s="324"/>
      <c r="G119" s="324"/>
      <c r="H119" s="387"/>
      <c r="I119" s="388"/>
      <c r="J119" s="322"/>
      <c r="K119" s="75"/>
      <c r="L119" s="346"/>
      <c r="M119" s="371"/>
      <c r="N119" s="67">
        <f t="shared" si="12"/>
        <v>0</v>
      </c>
      <c r="O119" s="324"/>
    </row>
    <row r="120" ht="12.75" customHeight="1">
      <c r="A120" s="322"/>
      <c r="B120" s="75"/>
      <c r="C120" s="346"/>
      <c r="D120" s="371"/>
      <c r="E120" s="67">
        <f t="shared" si="11"/>
        <v>0</v>
      </c>
      <c r="F120" s="324"/>
      <c r="G120" s="324"/>
      <c r="H120" s="387"/>
      <c r="I120" s="388"/>
      <c r="J120" s="322"/>
      <c r="K120" s="75"/>
      <c r="L120" s="346"/>
      <c r="M120" s="371"/>
      <c r="N120" s="67">
        <f t="shared" si="12"/>
        <v>0</v>
      </c>
      <c r="O120" s="324"/>
    </row>
    <row r="121" ht="12.75" customHeight="1">
      <c r="A121" s="322"/>
      <c r="B121" s="75"/>
      <c r="C121" s="346"/>
      <c r="D121" s="373"/>
      <c r="E121" s="67">
        <f t="shared" si="11"/>
        <v>0</v>
      </c>
      <c r="F121" s="324"/>
      <c r="G121" s="324"/>
      <c r="H121" s="387"/>
      <c r="I121" s="388"/>
      <c r="J121" s="322"/>
      <c r="K121" s="75"/>
      <c r="L121" s="346"/>
      <c r="M121" s="373"/>
      <c r="N121" s="67">
        <f t="shared" si="12"/>
        <v>0</v>
      </c>
      <c r="O121" s="324"/>
    </row>
    <row r="122" ht="12.75" customHeight="1">
      <c r="A122" s="322"/>
      <c r="B122" s="348"/>
      <c r="C122" s="346"/>
      <c r="D122" s="373"/>
      <c r="E122" s="67">
        <f t="shared" si="11"/>
        <v>0</v>
      </c>
      <c r="F122" s="324"/>
      <c r="G122" s="324"/>
      <c r="H122" s="387"/>
      <c r="I122" s="388"/>
      <c r="J122" s="322"/>
      <c r="K122" s="348"/>
      <c r="L122" s="346"/>
      <c r="M122" s="373"/>
      <c r="N122" s="67">
        <f t="shared" si="12"/>
        <v>0</v>
      </c>
      <c r="O122" s="324"/>
    </row>
    <row r="123" ht="12.75" customHeight="1">
      <c r="A123" s="322"/>
      <c r="B123" s="348"/>
      <c r="C123" s="346"/>
      <c r="D123" s="373"/>
      <c r="E123" s="67">
        <f t="shared" si="11"/>
        <v>0</v>
      </c>
      <c r="F123" s="324"/>
      <c r="G123" s="324"/>
      <c r="H123" s="387"/>
      <c r="I123" s="388"/>
      <c r="J123" s="322"/>
      <c r="K123" s="348"/>
      <c r="L123" s="346"/>
      <c r="M123" s="373"/>
      <c r="N123" s="67">
        <f t="shared" si="12"/>
        <v>0</v>
      </c>
      <c r="O123" s="324"/>
    </row>
    <row r="124" ht="12.75" customHeight="1">
      <c r="A124" s="322"/>
      <c r="B124" s="348"/>
      <c r="C124" s="346"/>
      <c r="D124" s="373"/>
      <c r="E124" s="67">
        <f t="shared" si="11"/>
        <v>0</v>
      </c>
      <c r="F124" s="324"/>
      <c r="G124" s="324"/>
      <c r="H124" s="387"/>
      <c r="I124" s="388"/>
      <c r="J124" s="322"/>
      <c r="K124" s="348"/>
      <c r="L124" s="346"/>
      <c r="M124" s="373"/>
      <c r="N124" s="67">
        <f t="shared" si="12"/>
        <v>0</v>
      </c>
      <c r="O124" s="324"/>
    </row>
    <row r="125" ht="12.75" customHeight="1">
      <c r="A125" s="322"/>
      <c r="B125" s="354"/>
      <c r="C125" s="355"/>
      <c r="D125" s="356"/>
      <c r="E125" s="67">
        <f t="shared" si="11"/>
        <v>0</v>
      </c>
      <c r="F125" s="324"/>
      <c r="G125" s="324"/>
      <c r="H125" s="387"/>
      <c r="I125" s="388"/>
      <c r="J125" s="322"/>
      <c r="K125" s="354"/>
      <c r="L125" s="355"/>
      <c r="M125" s="356"/>
      <c r="N125" s="67">
        <f t="shared" si="12"/>
        <v>0</v>
      </c>
      <c r="O125" s="324"/>
    </row>
    <row r="126" ht="12.75" customHeight="1">
      <c r="A126" s="322"/>
      <c r="B126" s="362" t="s">
        <v>84</v>
      </c>
      <c r="C126" s="374"/>
      <c r="D126" s="374"/>
      <c r="E126" s="375" t="str">
        <f>IF(SUM(E116:E125)=0,"",SUM(E116:E125))</f>
        <v/>
      </c>
      <c r="F126" s="324"/>
      <c r="G126" s="324"/>
      <c r="H126" s="387"/>
      <c r="I126" s="388"/>
      <c r="J126" s="322"/>
      <c r="K126" s="362" t="s">
        <v>84</v>
      </c>
      <c r="L126" s="374"/>
      <c r="M126" s="374"/>
      <c r="N126" s="375" t="str">
        <f>IF(SUM(N116:N125)=0,"",SUM(N116:N125))</f>
        <v/>
      </c>
      <c r="O126" s="324"/>
    </row>
    <row r="127" ht="12.75" customHeight="1">
      <c r="A127" s="322"/>
      <c r="B127" s="360"/>
      <c r="C127" s="360"/>
      <c r="D127" s="360"/>
      <c r="E127" s="361"/>
      <c r="F127" s="324"/>
      <c r="G127" s="324"/>
      <c r="H127" s="387"/>
      <c r="I127" s="388"/>
      <c r="J127" s="322"/>
      <c r="K127" s="360"/>
      <c r="L127" s="360"/>
      <c r="M127" s="360"/>
      <c r="N127" s="361"/>
      <c r="O127" s="324"/>
    </row>
    <row r="128" ht="12.75" customHeight="1">
      <c r="A128" s="322"/>
      <c r="B128" s="34" t="s">
        <v>17</v>
      </c>
      <c r="C128" s="35"/>
      <c r="D128" s="35"/>
      <c r="E128" s="35"/>
      <c r="F128" s="324"/>
      <c r="G128" s="324"/>
      <c r="H128" s="387"/>
      <c r="I128" s="388"/>
      <c r="J128" s="322"/>
      <c r="K128" s="34" t="s">
        <v>17</v>
      </c>
      <c r="L128" s="35"/>
      <c r="M128" s="35"/>
      <c r="N128" s="35"/>
      <c r="O128" s="324"/>
    </row>
    <row r="129" ht="12.75" customHeight="1">
      <c r="A129" s="322"/>
      <c r="B129" s="52" t="s">
        <v>42</v>
      </c>
      <c r="C129" s="54"/>
      <c r="D129" s="54"/>
      <c r="E129" s="56" t="s">
        <v>35</v>
      </c>
      <c r="F129" s="324"/>
      <c r="G129" s="324"/>
      <c r="H129" s="387"/>
      <c r="I129" s="388"/>
      <c r="J129" s="322"/>
      <c r="K129" s="52" t="s">
        <v>42</v>
      </c>
      <c r="L129" s="54"/>
      <c r="M129" s="54"/>
      <c r="N129" s="56" t="s">
        <v>35</v>
      </c>
      <c r="O129" s="324"/>
    </row>
    <row r="130" ht="12.75" customHeight="1">
      <c r="A130" s="322"/>
      <c r="B130" s="60" t="s">
        <v>40</v>
      </c>
      <c r="C130" s="343">
        <f>'UTL COST'!$B$3</f>
        <v>369000</v>
      </c>
      <c r="D130" s="379">
        <f>'UTL COST'!$C$3</f>
        <v>0.0075</v>
      </c>
      <c r="E130" s="67">
        <v>0.0</v>
      </c>
      <c r="F130" s="324"/>
      <c r="G130" s="324"/>
      <c r="H130" s="387"/>
      <c r="I130" s="388"/>
      <c r="J130" s="322"/>
      <c r="K130" s="60" t="s">
        <v>40</v>
      </c>
      <c r="L130" s="343">
        <f>'UTL COST'!$B$3</f>
        <v>369000</v>
      </c>
      <c r="M130" s="379">
        <f>'UTL COST'!$C$3</f>
        <v>0.0075</v>
      </c>
      <c r="N130" s="67">
        <v>0.0</v>
      </c>
      <c r="O130" s="324"/>
    </row>
    <row r="131" ht="12.75" customHeight="1">
      <c r="A131" s="322"/>
      <c r="B131" s="75" t="s">
        <v>51</v>
      </c>
      <c r="C131" s="371" t="str">
        <f>'UTL COST'!$B$4</f>
        <v>#REF!</v>
      </c>
      <c r="D131" s="382">
        <f>'UTL COST'!$C$4</f>
        <v>7000</v>
      </c>
      <c r="E131" s="76">
        <v>0.0</v>
      </c>
      <c r="F131" s="324"/>
      <c r="G131" s="324"/>
      <c r="H131" s="387"/>
      <c r="I131" s="388"/>
      <c r="J131" s="322"/>
      <c r="K131" s="75" t="s">
        <v>51</v>
      </c>
      <c r="L131" s="371" t="str">
        <f>'UTL COST'!$B$4</f>
        <v>#REF!</v>
      </c>
      <c r="M131" s="382">
        <f>'UTL COST'!$C$4</f>
        <v>7000</v>
      </c>
      <c r="N131" s="76" t="str">
        <f>'UTL COST'!$D$4</f>
        <v>#REF!</v>
      </c>
      <c r="O131" s="324"/>
    </row>
    <row r="132" ht="12.75" customHeight="1">
      <c r="A132" s="322"/>
      <c r="B132" s="75" t="s">
        <v>59</v>
      </c>
      <c r="C132" s="371" t="str">
        <f>'UTL COST'!$B$5</f>
        <v>#REF!</v>
      </c>
      <c r="D132" s="382">
        <f>'UTL COST'!$C$5</f>
        <v>45000</v>
      </c>
      <c r="E132" s="76" t="str">
        <f>'UTL COST'!$D$5</f>
        <v>#REF!</v>
      </c>
      <c r="F132" s="324"/>
      <c r="G132" s="324"/>
      <c r="H132" s="387"/>
      <c r="I132" s="388"/>
      <c r="J132" s="322"/>
      <c r="K132" s="75" t="s">
        <v>59</v>
      </c>
      <c r="L132" s="371" t="str">
        <f>'UTL COST'!$B$5</f>
        <v>#REF!</v>
      </c>
      <c r="M132" s="382">
        <f>'UTL COST'!$C$5</f>
        <v>45000</v>
      </c>
      <c r="N132" s="76" t="str">
        <f>'UTL COST'!$D$5</f>
        <v>#REF!</v>
      </c>
      <c r="O132" s="324"/>
    </row>
    <row r="133" ht="12.75" customHeight="1">
      <c r="A133" s="322"/>
      <c r="B133" s="87" t="s">
        <v>78</v>
      </c>
      <c r="C133" s="371" t="str">
        <f>'UTL COST'!$B$6</f>
        <v>#REF!</v>
      </c>
      <c r="D133" s="383">
        <f>'UTL COST'!$C$6</f>
        <v>525</v>
      </c>
      <c r="E133" s="89">
        <v>0.1</v>
      </c>
      <c r="F133" s="324"/>
      <c r="G133" s="324"/>
      <c r="H133" s="387"/>
      <c r="I133" s="388"/>
      <c r="J133" s="322"/>
      <c r="K133" s="87" t="s">
        <v>78</v>
      </c>
      <c r="L133" s="371" t="str">
        <f>'UTL COST'!$B$6</f>
        <v>#REF!</v>
      </c>
      <c r="M133" s="383">
        <f>'UTL COST'!$C$6</f>
        <v>525</v>
      </c>
      <c r="N133" s="89">
        <v>0.1</v>
      </c>
      <c r="O133" s="324"/>
    </row>
    <row r="134" ht="12.75" customHeight="1">
      <c r="A134" s="322"/>
      <c r="B134" s="34" t="s">
        <v>84</v>
      </c>
      <c r="C134" s="102"/>
      <c r="D134" s="102"/>
      <c r="E134" s="104" t="str">
        <f>IF(SUM(E130:E133)=0,"",SUM(E130:E133))</f>
        <v>#REF!</v>
      </c>
      <c r="F134" s="324"/>
      <c r="G134" s="324"/>
      <c r="H134" s="387"/>
      <c r="I134" s="388"/>
      <c r="J134" s="322"/>
      <c r="K134" s="34" t="s">
        <v>84</v>
      </c>
      <c r="L134" s="102"/>
      <c r="M134" s="102"/>
      <c r="N134" s="104" t="str">
        <f>IF(SUM(N130:N133)=0,"",SUM(N130:N133))</f>
        <v>#REF!</v>
      </c>
      <c r="O134" s="324"/>
    </row>
    <row r="135" ht="12.75" customHeight="1">
      <c r="A135" s="322"/>
      <c r="B135" s="360"/>
      <c r="C135" s="360"/>
      <c r="D135" s="360"/>
      <c r="E135" s="361"/>
      <c r="F135" s="324"/>
      <c r="G135" s="324"/>
      <c r="H135" s="387"/>
      <c r="I135" s="388"/>
      <c r="J135" s="322"/>
      <c r="K135" s="360"/>
      <c r="L135" s="360"/>
      <c r="M135" s="360"/>
      <c r="N135" s="361"/>
      <c r="O135" s="324"/>
    </row>
    <row r="136" ht="12.75" customHeight="1">
      <c r="A136" s="387"/>
      <c r="B136" s="387"/>
      <c r="C136" s="387"/>
      <c r="D136" s="387"/>
      <c r="E136" s="418"/>
      <c r="F136" s="387"/>
      <c r="G136" s="387"/>
      <c r="H136" s="387"/>
      <c r="I136" s="387"/>
      <c r="J136" s="387"/>
      <c r="K136" s="387"/>
      <c r="L136" s="387"/>
      <c r="M136" s="387"/>
      <c r="N136" s="387"/>
      <c r="O136" s="387"/>
    </row>
    <row r="137" ht="12.75" customHeight="1">
      <c r="A137" s="387"/>
      <c r="B137" s="387"/>
      <c r="C137" s="387"/>
      <c r="D137" s="387"/>
      <c r="E137" s="418"/>
      <c r="F137" s="387"/>
      <c r="G137" s="387"/>
      <c r="H137" s="387"/>
      <c r="I137" s="387"/>
      <c r="J137" s="387"/>
      <c r="K137" s="387"/>
      <c r="L137" s="387"/>
      <c r="M137" s="387"/>
      <c r="N137" s="387"/>
      <c r="O137" s="387"/>
    </row>
    <row r="138" ht="12.75" customHeight="1">
      <c r="A138" s="322"/>
      <c r="B138" s="322"/>
      <c r="C138" s="322"/>
      <c r="D138" s="322"/>
      <c r="E138" s="323"/>
      <c r="F138" s="324"/>
      <c r="G138" s="324"/>
      <c r="H138" s="387"/>
      <c r="I138" s="387"/>
      <c r="J138" s="322"/>
      <c r="K138" s="322"/>
      <c r="L138" s="322"/>
      <c r="M138" s="322"/>
      <c r="N138" s="323"/>
      <c r="O138" s="324"/>
    </row>
    <row r="139" ht="12.75" customHeight="1">
      <c r="A139" s="322"/>
      <c r="B139" s="325"/>
      <c r="C139" s="322"/>
      <c r="D139" s="322"/>
      <c r="E139" s="323"/>
      <c r="F139" s="326"/>
      <c r="G139" s="326"/>
      <c r="H139" s="387"/>
      <c r="I139" s="387"/>
      <c r="J139" s="322"/>
      <c r="K139" s="325"/>
      <c r="L139" s="322"/>
      <c r="M139" s="322"/>
      <c r="N139" s="323"/>
      <c r="O139" s="326"/>
    </row>
    <row r="140" ht="12.75" customHeight="1">
      <c r="A140" s="322"/>
      <c r="B140" s="327" t="s">
        <v>931</v>
      </c>
      <c r="C140" s="328" t="s">
        <v>1437</v>
      </c>
      <c r="D140" s="329"/>
      <c r="E140" s="323"/>
      <c r="F140" s="326"/>
      <c r="G140" s="326"/>
      <c r="H140" s="387"/>
      <c r="I140" s="387"/>
      <c r="J140" s="322"/>
      <c r="K140" s="327" t="s">
        <v>931</v>
      </c>
      <c r="L140" s="328" t="s">
        <v>1438</v>
      </c>
      <c r="M140" s="329"/>
      <c r="N140" s="323"/>
      <c r="O140" s="326"/>
    </row>
    <row r="141" ht="12.75" customHeight="1">
      <c r="A141" s="322"/>
      <c r="B141" s="325"/>
      <c r="C141" s="322"/>
      <c r="D141" s="322"/>
      <c r="E141" s="323"/>
      <c r="F141" s="326"/>
      <c r="G141" s="326"/>
      <c r="H141" s="387"/>
      <c r="I141" s="387"/>
      <c r="J141" s="322"/>
      <c r="K141" s="325"/>
      <c r="L141" s="322"/>
      <c r="M141" s="322"/>
      <c r="N141" s="323"/>
      <c r="O141" s="326"/>
    </row>
    <row r="142" ht="12.75" customHeight="1">
      <c r="A142" s="322"/>
      <c r="B142" s="327" t="s">
        <v>935</v>
      </c>
      <c r="C142" s="331">
        <v>115000.0</v>
      </c>
      <c r="D142" s="329"/>
      <c r="E142" s="323"/>
      <c r="F142" s="326"/>
      <c r="G142" s="326"/>
      <c r="H142" s="387"/>
      <c r="I142" s="387"/>
      <c r="J142" s="322"/>
      <c r="K142" s="327" t="s">
        <v>935</v>
      </c>
      <c r="L142" s="331">
        <v>115000.0</v>
      </c>
      <c r="M142" s="329"/>
      <c r="N142" s="323"/>
      <c r="O142" s="326"/>
    </row>
    <row r="143" ht="12.75" customHeight="1">
      <c r="A143" s="322"/>
      <c r="B143" s="327"/>
      <c r="C143" s="332"/>
      <c r="D143" s="332"/>
      <c r="E143" s="323"/>
      <c r="F143" s="326"/>
      <c r="G143" s="326"/>
      <c r="H143" s="387"/>
      <c r="I143" s="387"/>
      <c r="J143" s="322"/>
      <c r="K143" s="327"/>
      <c r="L143" s="332"/>
      <c r="M143" s="332" t="str">
        <f>L144/90000</f>
        <v>#REF!</v>
      </c>
      <c r="N143" s="323"/>
      <c r="O143" s="326"/>
    </row>
    <row r="144" ht="12.75" customHeight="1">
      <c r="A144" s="322"/>
      <c r="B144" s="327" t="s">
        <v>939</v>
      </c>
      <c r="C144" s="333" t="str">
        <f>IF(SUM(E156,E171,E179)=0,"",SUM(E156,E171,E179))</f>
        <v>#REF!</v>
      </c>
      <c r="D144" s="321"/>
      <c r="E144" s="323"/>
      <c r="F144" s="326"/>
      <c r="G144" s="326"/>
      <c r="H144" s="387"/>
      <c r="I144" s="387"/>
      <c r="J144" s="322"/>
      <c r="K144" s="327" t="s">
        <v>939</v>
      </c>
      <c r="L144" s="333" t="str">
        <f>IF(SUM(N156,N171,N179)=0,"",SUM(N156,N171,N179))</f>
        <v>#REF!</v>
      </c>
      <c r="M144" s="321"/>
      <c r="N144" s="323"/>
      <c r="O144" s="326"/>
    </row>
    <row r="145" ht="12.75" customHeight="1">
      <c r="A145" s="322"/>
      <c r="B145" s="327"/>
      <c r="C145" s="334"/>
      <c r="D145" s="334"/>
      <c r="E145" s="323"/>
      <c r="F145" s="326"/>
      <c r="G145" s="326"/>
      <c r="H145" s="387"/>
      <c r="I145" s="387"/>
      <c r="J145" s="322"/>
      <c r="K145" s="327"/>
      <c r="L145" s="334"/>
      <c r="M145" s="334"/>
      <c r="N145" s="323"/>
      <c r="O145" s="326"/>
    </row>
    <row r="146" ht="12.75" customHeight="1">
      <c r="A146" s="322"/>
      <c r="B146" s="327" t="s">
        <v>946</v>
      </c>
      <c r="C146" s="335" t="str">
        <f>IF(C144="","",IF(ISBLANK(C142),"",C144/C142))</f>
        <v>#REF!</v>
      </c>
      <c r="D146" s="321"/>
      <c r="E146" s="323"/>
      <c r="F146" s="326"/>
      <c r="G146" s="326"/>
      <c r="H146" s="387"/>
      <c r="I146" s="387"/>
      <c r="J146" s="322"/>
      <c r="K146" s="327" t="s">
        <v>946</v>
      </c>
      <c r="L146" s="335" t="str">
        <f>IF(L144="","",IF(ISBLANK(L142),"",L144/L142))</f>
        <v>#REF!</v>
      </c>
      <c r="M146" s="321"/>
      <c r="N146" s="323"/>
      <c r="O146" s="326"/>
    </row>
    <row r="147" ht="12.75" customHeight="1">
      <c r="A147" s="322"/>
      <c r="B147" s="327"/>
      <c r="C147" s="334"/>
      <c r="D147" s="334"/>
      <c r="E147" s="323"/>
      <c r="F147" s="326"/>
      <c r="G147" s="326"/>
      <c r="H147" s="387"/>
      <c r="I147" s="387"/>
      <c r="J147" s="322"/>
      <c r="K147" s="327"/>
      <c r="L147" s="334"/>
      <c r="M147" s="334"/>
      <c r="N147" s="323"/>
      <c r="O147" s="326"/>
    </row>
    <row r="148" ht="12.75" customHeight="1">
      <c r="A148" s="322"/>
      <c r="B148" s="327" t="s">
        <v>950</v>
      </c>
      <c r="C148" s="333" t="str">
        <f>C142-C144</f>
        <v>#REF!</v>
      </c>
      <c r="D148" s="321"/>
      <c r="E148" s="323"/>
      <c r="F148" s="326"/>
      <c r="G148" s="326"/>
      <c r="H148" s="387"/>
      <c r="I148" s="387"/>
      <c r="J148" s="322"/>
      <c r="K148" s="327" t="s">
        <v>950</v>
      </c>
      <c r="L148" s="333" t="str">
        <f>L142-L144</f>
        <v>#REF!</v>
      </c>
      <c r="M148" s="321"/>
      <c r="N148" s="323"/>
      <c r="O148" s="326"/>
    </row>
    <row r="149" ht="12.75" customHeight="1">
      <c r="A149" s="322"/>
      <c r="B149" s="322"/>
      <c r="C149" s="322"/>
      <c r="D149" s="322"/>
      <c r="E149" s="323"/>
      <c r="F149" s="324"/>
      <c r="G149" s="324"/>
      <c r="H149" s="387"/>
      <c r="I149" s="387"/>
      <c r="J149" s="322"/>
      <c r="K149" s="322"/>
      <c r="L149" s="322"/>
      <c r="M149" s="322"/>
      <c r="N149" s="323"/>
      <c r="O149" s="324"/>
    </row>
    <row r="150" ht="12.75" customHeight="1">
      <c r="A150" s="322"/>
      <c r="B150" s="322"/>
      <c r="C150" s="322"/>
      <c r="D150" s="322"/>
      <c r="E150" s="337"/>
      <c r="F150" s="324"/>
      <c r="G150" s="324"/>
      <c r="H150" s="387"/>
      <c r="I150" s="387"/>
      <c r="J150" s="322"/>
      <c r="K150" s="322"/>
      <c r="L150" s="322"/>
      <c r="M150" s="322"/>
      <c r="N150" s="337"/>
      <c r="O150" s="324"/>
    </row>
    <row r="151" ht="12.75" customHeight="1">
      <c r="A151" s="322"/>
      <c r="B151" s="338" t="s">
        <v>951</v>
      </c>
      <c r="C151" s="339"/>
      <c r="D151" s="339"/>
      <c r="E151" s="339"/>
      <c r="F151" s="324"/>
      <c r="G151" s="324"/>
      <c r="H151" s="387"/>
      <c r="I151" s="387"/>
      <c r="J151" s="322"/>
      <c r="K151" s="338" t="s">
        <v>951</v>
      </c>
      <c r="L151" s="339"/>
      <c r="M151" s="339"/>
      <c r="N151" s="339"/>
      <c r="O151" s="324"/>
    </row>
    <row r="152" ht="12.75" customHeight="1">
      <c r="A152" s="322"/>
      <c r="B152" s="340" t="s">
        <v>953</v>
      </c>
      <c r="C152" s="341" t="s">
        <v>954</v>
      </c>
      <c r="D152" s="341" t="s">
        <v>955</v>
      </c>
      <c r="E152" s="341" t="s">
        <v>35</v>
      </c>
      <c r="F152" s="324"/>
      <c r="G152" s="324"/>
      <c r="H152" s="387"/>
      <c r="I152" s="387"/>
      <c r="J152" s="322"/>
      <c r="K152" s="340" t="s">
        <v>953</v>
      </c>
      <c r="L152" s="341" t="s">
        <v>954</v>
      </c>
      <c r="M152" s="341" t="s">
        <v>955</v>
      </c>
      <c r="N152" s="341" t="s">
        <v>35</v>
      </c>
      <c r="O152" s="324"/>
    </row>
    <row r="153" ht="12.75" customHeight="1">
      <c r="A153" s="322"/>
      <c r="B153" s="60" t="s">
        <v>494</v>
      </c>
      <c r="C153" s="342">
        <v>1.0</v>
      </c>
      <c r="D153" s="343">
        <f>Prep!$J$64</f>
        <v>2138.95</v>
      </c>
      <c r="E153" s="67">
        <f t="shared" ref="E153:E155" si="13">IF(OR(ISBLANK(C153),ISBLANK(D153)),"",D153*C153)</f>
        <v>2138.95</v>
      </c>
      <c r="F153" s="324"/>
      <c r="G153" s="324"/>
      <c r="H153" s="387">
        <f>E153/90000</f>
        <v>0.02376611111</v>
      </c>
      <c r="I153" s="387"/>
      <c r="J153" s="322"/>
      <c r="K153" s="60" t="s">
        <v>494</v>
      </c>
      <c r="L153" s="342">
        <v>1.0</v>
      </c>
      <c r="M153" s="343">
        <f>Prep!$J$64</f>
        <v>2138.95</v>
      </c>
      <c r="N153" s="67">
        <f t="shared" ref="N153:N155" si="14">IF(OR(ISBLANK(L153),ISBLANK(M153)),"",M153*L153)</f>
        <v>2138.95</v>
      </c>
      <c r="O153" s="324"/>
    </row>
    <row r="154" ht="12.75" customHeight="1">
      <c r="A154" s="322"/>
      <c r="B154" s="75" t="s">
        <v>366</v>
      </c>
      <c r="C154" s="370">
        <v>6.0</v>
      </c>
      <c r="D154" s="371">
        <f>'F&amp;B'!$F$110/8</f>
        <v>990</v>
      </c>
      <c r="E154" s="67">
        <f t="shared" si="13"/>
        <v>5940</v>
      </c>
      <c r="F154" s="324"/>
      <c r="G154" s="324"/>
      <c r="H154" s="387"/>
      <c r="I154" s="387"/>
      <c r="J154" s="322"/>
      <c r="K154" s="75" t="s">
        <v>1440</v>
      </c>
      <c r="L154" s="370">
        <v>0.2</v>
      </c>
      <c r="M154" s="371">
        <f>'F&amp;B'!$F$121/3</f>
        <v>93225</v>
      </c>
      <c r="N154" s="67">
        <f t="shared" si="14"/>
        <v>18645</v>
      </c>
      <c r="O154" s="324"/>
    </row>
    <row r="155" ht="12.75" customHeight="1">
      <c r="A155" s="322"/>
      <c r="B155" s="87" t="s">
        <v>925</v>
      </c>
      <c r="C155" s="412">
        <v>0.01</v>
      </c>
      <c r="D155" s="408">
        <f>'F&amp;B'!$F$124</f>
        <v>122400</v>
      </c>
      <c r="E155" s="67">
        <f t="shared" si="13"/>
        <v>1224</v>
      </c>
      <c r="F155" s="324"/>
      <c r="G155" s="324"/>
      <c r="H155" s="387"/>
      <c r="I155" s="387"/>
      <c r="J155" s="322"/>
      <c r="K155" s="87" t="s">
        <v>925</v>
      </c>
      <c r="L155" s="412">
        <v>0.01</v>
      </c>
      <c r="M155" s="408">
        <f>'F&amp;B'!$F$124</f>
        <v>122400</v>
      </c>
      <c r="N155" s="67">
        <f t="shared" si="14"/>
        <v>1224</v>
      </c>
      <c r="O155" s="324"/>
    </row>
    <row r="156" ht="12.75" customHeight="1">
      <c r="A156" s="322"/>
      <c r="B156" s="338" t="s">
        <v>84</v>
      </c>
      <c r="C156" s="358"/>
      <c r="D156" s="358"/>
      <c r="E156" s="359">
        <f>IF(SUM(E153:E155)=0,"",SUM(E153:E155))</f>
        <v>9302.95</v>
      </c>
      <c r="F156" s="324"/>
      <c r="G156" s="324"/>
      <c r="H156" s="387"/>
      <c r="I156" s="387"/>
      <c r="J156" s="322"/>
      <c r="K156" s="338" t="s">
        <v>84</v>
      </c>
      <c r="L156" s="358"/>
      <c r="M156" s="358"/>
      <c r="N156" s="359">
        <f>IF(SUM(N153:N155)=0,"",SUM(N153:N155))</f>
        <v>22007.95</v>
      </c>
      <c r="O156" s="324"/>
    </row>
    <row r="157" ht="12.75" customHeight="1">
      <c r="A157" s="322"/>
      <c r="B157" s="360"/>
      <c r="C157" s="360"/>
      <c r="D157" s="360"/>
      <c r="E157" s="361"/>
      <c r="F157" s="324"/>
      <c r="G157" s="324"/>
      <c r="H157" s="387"/>
      <c r="I157" s="387"/>
      <c r="J157" s="322"/>
      <c r="K157" s="360"/>
      <c r="L157" s="360"/>
      <c r="M157" s="360"/>
      <c r="N157" s="361"/>
      <c r="O157" s="324"/>
    </row>
    <row r="158" ht="12.75" customHeight="1">
      <c r="A158" s="322"/>
      <c r="B158" s="362" t="s">
        <v>972</v>
      </c>
      <c r="C158" s="363"/>
      <c r="D158" s="363"/>
      <c r="E158" s="363"/>
      <c r="F158" s="324"/>
      <c r="G158" s="324"/>
      <c r="H158" s="387"/>
      <c r="I158" s="387"/>
      <c r="J158" s="322"/>
      <c r="K158" s="362" t="s">
        <v>972</v>
      </c>
      <c r="L158" s="363"/>
      <c r="M158" s="363"/>
      <c r="N158" s="363"/>
      <c r="O158" s="324"/>
    </row>
    <row r="159" ht="12.75" customHeight="1">
      <c r="A159" s="322"/>
      <c r="B159" s="365" t="s">
        <v>953</v>
      </c>
      <c r="C159" s="366" t="s">
        <v>3</v>
      </c>
      <c r="D159" s="366" t="s">
        <v>975</v>
      </c>
      <c r="E159" s="367" t="s">
        <v>35</v>
      </c>
      <c r="F159" s="324"/>
      <c r="G159" s="324"/>
      <c r="H159" s="387"/>
      <c r="I159" s="387"/>
      <c r="J159" s="322"/>
      <c r="K159" s="365" t="s">
        <v>953</v>
      </c>
      <c r="L159" s="366" t="s">
        <v>3</v>
      </c>
      <c r="M159" s="366" t="s">
        <v>975</v>
      </c>
      <c r="N159" s="367" t="s">
        <v>35</v>
      </c>
      <c r="O159" s="324"/>
    </row>
    <row r="160" ht="12.75" customHeight="1">
      <c r="A160" s="322"/>
      <c r="B160" s="368"/>
      <c r="C160" s="366"/>
      <c r="D160" s="366"/>
      <c r="E160" s="368"/>
      <c r="F160" s="324"/>
      <c r="G160" s="324"/>
      <c r="H160" s="387"/>
      <c r="I160" s="387"/>
      <c r="J160" s="322"/>
      <c r="K160" s="368"/>
      <c r="L160" s="366"/>
      <c r="M160" s="366"/>
      <c r="N160" s="368"/>
      <c r="O160" s="324"/>
    </row>
    <row r="161" ht="12.75" customHeight="1">
      <c r="A161" s="322"/>
      <c r="B161" s="60" t="s">
        <v>1405</v>
      </c>
      <c r="C161" s="342">
        <v>0.11</v>
      </c>
      <c r="D161" s="343">
        <f>'F&amp;B'!$F$299</f>
        <v>8100</v>
      </c>
      <c r="E161" s="67"/>
      <c r="F161" s="324"/>
      <c r="G161" s="324"/>
      <c r="H161" s="387"/>
      <c r="I161" s="387"/>
      <c r="J161" s="322"/>
      <c r="K161" s="60" t="s">
        <v>1405</v>
      </c>
      <c r="L161" s="342">
        <v>0.11</v>
      </c>
      <c r="M161" s="343">
        <f>'F&amp;B'!$F$299</f>
        <v>8100</v>
      </c>
      <c r="N161" s="67">
        <f t="shared" ref="N161:N170" si="15">M161*L161</f>
        <v>891</v>
      </c>
      <c r="O161" s="324"/>
    </row>
    <row r="162" ht="12.75" customHeight="1">
      <c r="A162" s="322"/>
      <c r="B162" s="75"/>
      <c r="C162" s="370"/>
      <c r="D162" s="371"/>
      <c r="E162" s="67">
        <f t="shared" ref="E162:E170" si="16">D162*C162</f>
        <v>0</v>
      </c>
      <c r="F162" s="324"/>
      <c r="G162" s="324"/>
      <c r="H162" s="387"/>
      <c r="I162" s="387"/>
      <c r="J162" s="322"/>
      <c r="K162" s="75"/>
      <c r="L162" s="370"/>
      <c r="M162" s="371"/>
      <c r="N162" s="67">
        <f t="shared" si="15"/>
        <v>0</v>
      </c>
      <c r="O162" s="324"/>
    </row>
    <row r="163" ht="12.75" customHeight="1">
      <c r="A163" s="322"/>
      <c r="B163" s="75"/>
      <c r="C163" s="370"/>
      <c r="D163" s="371"/>
      <c r="E163" s="67">
        <f t="shared" si="16"/>
        <v>0</v>
      </c>
      <c r="F163" s="324"/>
      <c r="G163" s="324"/>
      <c r="H163" s="387"/>
      <c r="I163" s="387"/>
      <c r="J163" s="322"/>
      <c r="K163" s="75"/>
      <c r="L163" s="370"/>
      <c r="M163" s="371"/>
      <c r="N163" s="67">
        <f t="shared" si="15"/>
        <v>0</v>
      </c>
      <c r="O163" s="324"/>
    </row>
    <row r="164" ht="12.75" customHeight="1">
      <c r="A164" s="322"/>
      <c r="B164" s="75"/>
      <c r="C164" s="370"/>
      <c r="D164" s="371"/>
      <c r="E164" s="67">
        <f t="shared" si="16"/>
        <v>0</v>
      </c>
      <c r="F164" s="324"/>
      <c r="G164" s="324"/>
      <c r="H164" s="387"/>
      <c r="I164" s="387"/>
      <c r="J164" s="322"/>
      <c r="K164" s="75"/>
      <c r="L164" s="370"/>
      <c r="M164" s="371"/>
      <c r="N164" s="67">
        <f t="shared" si="15"/>
        <v>0</v>
      </c>
      <c r="O164" s="324"/>
    </row>
    <row r="165" ht="12.75" customHeight="1">
      <c r="A165" s="322"/>
      <c r="B165" s="75"/>
      <c r="C165" s="370"/>
      <c r="D165" s="371"/>
      <c r="E165" s="67">
        <f t="shared" si="16"/>
        <v>0</v>
      </c>
      <c r="F165" s="324"/>
      <c r="G165" s="324"/>
      <c r="H165" s="387"/>
      <c r="I165" s="387"/>
      <c r="J165" s="322"/>
      <c r="K165" s="75"/>
      <c r="L165" s="370"/>
      <c r="M165" s="371"/>
      <c r="N165" s="67">
        <f t="shared" si="15"/>
        <v>0</v>
      </c>
      <c r="O165" s="324"/>
    </row>
    <row r="166" ht="12.75" customHeight="1">
      <c r="A166" s="322"/>
      <c r="B166" s="75"/>
      <c r="C166" s="370"/>
      <c r="D166" s="371"/>
      <c r="E166" s="67">
        <f t="shared" si="16"/>
        <v>0</v>
      </c>
      <c r="F166" s="324"/>
      <c r="G166" s="324"/>
      <c r="H166" s="387"/>
      <c r="I166" s="387"/>
      <c r="J166" s="322"/>
      <c r="K166" s="75"/>
      <c r="L166" s="370"/>
      <c r="M166" s="371"/>
      <c r="N166" s="67">
        <f t="shared" si="15"/>
        <v>0</v>
      </c>
      <c r="O166" s="324"/>
    </row>
    <row r="167" ht="12.75" customHeight="1">
      <c r="A167" s="322"/>
      <c r="B167" s="75"/>
      <c r="C167" s="370"/>
      <c r="D167" s="371"/>
      <c r="E167" s="67">
        <f t="shared" si="16"/>
        <v>0</v>
      </c>
      <c r="F167" s="324"/>
      <c r="G167" s="324"/>
      <c r="H167" s="387"/>
      <c r="I167" s="387"/>
      <c r="J167" s="322"/>
      <c r="K167" s="75"/>
      <c r="L167" s="370"/>
      <c r="M167" s="371"/>
      <c r="N167" s="67">
        <f t="shared" si="15"/>
        <v>0</v>
      </c>
      <c r="O167" s="324"/>
    </row>
    <row r="168" ht="12.75" customHeight="1">
      <c r="A168" s="322"/>
      <c r="B168" s="75"/>
      <c r="C168" s="370"/>
      <c r="D168" s="371"/>
      <c r="E168" s="67">
        <f t="shared" si="16"/>
        <v>0</v>
      </c>
      <c r="F168" s="324"/>
      <c r="G168" s="324"/>
      <c r="H168" s="387"/>
      <c r="I168" s="387"/>
      <c r="J168" s="322"/>
      <c r="K168" s="75"/>
      <c r="L168" s="370"/>
      <c r="M168" s="371"/>
      <c r="N168" s="67">
        <f t="shared" si="15"/>
        <v>0</v>
      </c>
      <c r="O168" s="324"/>
    </row>
    <row r="169" ht="12.75" customHeight="1">
      <c r="A169" s="322"/>
      <c r="B169" s="75"/>
      <c r="C169" s="370"/>
      <c r="D169" s="371"/>
      <c r="E169" s="67">
        <f t="shared" si="16"/>
        <v>0</v>
      </c>
      <c r="F169" s="324"/>
      <c r="G169" s="324"/>
      <c r="H169" s="387"/>
      <c r="I169" s="387"/>
      <c r="J169" s="322"/>
      <c r="K169" s="75"/>
      <c r="L169" s="370"/>
      <c r="M169" s="371"/>
      <c r="N169" s="67">
        <f t="shared" si="15"/>
        <v>0</v>
      </c>
      <c r="O169" s="324"/>
    </row>
    <row r="170" ht="12.75" customHeight="1">
      <c r="A170" s="322"/>
      <c r="B170" s="87"/>
      <c r="C170" s="412"/>
      <c r="D170" s="408"/>
      <c r="E170" s="67">
        <f t="shared" si="16"/>
        <v>0</v>
      </c>
      <c r="F170" s="324"/>
      <c r="G170" s="324"/>
      <c r="H170" s="387"/>
      <c r="I170" s="387"/>
      <c r="J170" s="322"/>
      <c r="K170" s="87"/>
      <c r="L170" s="412"/>
      <c r="M170" s="408"/>
      <c r="N170" s="67">
        <f t="shared" si="15"/>
        <v>0</v>
      </c>
      <c r="O170" s="324"/>
    </row>
    <row r="171" ht="12.75" customHeight="1">
      <c r="A171" s="322"/>
      <c r="B171" s="362" t="s">
        <v>84</v>
      </c>
      <c r="C171" s="374"/>
      <c r="D171" s="374"/>
      <c r="E171" s="375" t="str">
        <f>IF(SUM(E161:E170)=0,"",SUM(E161:E170))</f>
        <v/>
      </c>
      <c r="F171" s="324"/>
      <c r="G171" s="324"/>
      <c r="H171" s="387"/>
      <c r="I171" s="387"/>
      <c r="J171" s="322"/>
      <c r="K171" s="362" t="s">
        <v>84</v>
      </c>
      <c r="L171" s="374"/>
      <c r="M171" s="374"/>
      <c r="N171" s="375">
        <f>IF(SUM(N161:N170)=0,"",SUM(N161:N170))</f>
        <v>891</v>
      </c>
      <c r="O171" s="324"/>
    </row>
    <row r="172" ht="12.75" customHeight="1">
      <c r="A172" s="322"/>
      <c r="B172" s="360"/>
      <c r="C172" s="360"/>
      <c r="D172" s="360"/>
      <c r="E172" s="361"/>
      <c r="F172" s="324"/>
      <c r="G172" s="324"/>
      <c r="H172" s="387"/>
      <c r="I172" s="387"/>
      <c r="J172" s="322"/>
      <c r="K172" s="360"/>
      <c r="L172" s="360"/>
      <c r="M172" s="360"/>
      <c r="N172" s="361"/>
      <c r="O172" s="324"/>
    </row>
    <row r="173" ht="12.75" customHeight="1">
      <c r="A173" s="322"/>
      <c r="B173" s="34" t="s">
        <v>17</v>
      </c>
      <c r="C173" s="35"/>
      <c r="D173" s="35"/>
      <c r="E173" s="35"/>
      <c r="F173" s="324"/>
      <c r="G173" s="324"/>
      <c r="H173" s="387"/>
      <c r="I173" s="387"/>
      <c r="J173" s="322"/>
      <c r="K173" s="34" t="s">
        <v>17</v>
      </c>
      <c r="L173" s="35"/>
      <c r="M173" s="35"/>
      <c r="N173" s="35"/>
      <c r="O173" s="324"/>
    </row>
    <row r="174" ht="12.75" customHeight="1">
      <c r="A174" s="322"/>
      <c r="B174" s="52" t="s">
        <v>42</v>
      </c>
      <c r="C174" s="54"/>
      <c r="D174" s="54"/>
      <c r="E174" s="56" t="s">
        <v>35</v>
      </c>
      <c r="F174" s="324"/>
      <c r="G174" s="324"/>
      <c r="H174" s="387"/>
      <c r="I174" s="387"/>
      <c r="J174" s="322"/>
      <c r="K174" s="52" t="s">
        <v>42</v>
      </c>
      <c r="L174" s="54"/>
      <c r="M174" s="54"/>
      <c r="N174" s="56" t="s">
        <v>35</v>
      </c>
      <c r="O174" s="324"/>
    </row>
    <row r="175" ht="12.75" customHeight="1">
      <c r="A175" s="322"/>
      <c r="B175" s="60" t="s">
        <v>40</v>
      </c>
      <c r="C175" s="343">
        <f>'UTL COST'!$B$3</f>
        <v>369000</v>
      </c>
      <c r="D175" s="379">
        <f>'UTL COST'!$C$3</f>
        <v>0.0075</v>
      </c>
      <c r="E175" s="67">
        <v>0.0</v>
      </c>
      <c r="F175" s="324"/>
      <c r="G175" s="324"/>
      <c r="H175" s="387"/>
      <c r="I175" s="387"/>
      <c r="J175" s="322"/>
      <c r="K175" s="60" t="s">
        <v>40</v>
      </c>
      <c r="L175" s="343">
        <f>'UTL COST'!$B$3</f>
        <v>369000</v>
      </c>
      <c r="M175" s="379">
        <f>'UTL COST'!$C$3</f>
        <v>0.0075</v>
      </c>
      <c r="N175" s="67">
        <v>0.0</v>
      </c>
      <c r="O175" s="324"/>
    </row>
    <row r="176" ht="12.75" customHeight="1">
      <c r="A176" s="322"/>
      <c r="B176" s="75" t="s">
        <v>51</v>
      </c>
      <c r="C176" s="371" t="str">
        <f>'UTL COST'!$B$4</f>
        <v>#REF!</v>
      </c>
      <c r="D176" s="382">
        <f>'UTL COST'!$C$4</f>
        <v>7000</v>
      </c>
      <c r="E176" s="76">
        <v>0.0</v>
      </c>
      <c r="F176" s="324"/>
      <c r="G176" s="324"/>
      <c r="H176" s="387"/>
      <c r="I176" s="387"/>
      <c r="J176" s="322"/>
      <c r="K176" s="75" t="s">
        <v>51</v>
      </c>
      <c r="L176" s="371" t="str">
        <f>'UTL COST'!$B$4</f>
        <v>#REF!</v>
      </c>
      <c r="M176" s="382">
        <f>'UTL COST'!$C$4</f>
        <v>7000</v>
      </c>
      <c r="N176" s="76">
        <v>0.0</v>
      </c>
      <c r="O176" s="324"/>
    </row>
    <row r="177" ht="12.75" customHeight="1">
      <c r="A177" s="322"/>
      <c r="B177" s="75" t="s">
        <v>59</v>
      </c>
      <c r="C177" s="371" t="str">
        <f>'UTL COST'!$B$5</f>
        <v>#REF!</v>
      </c>
      <c r="D177" s="382">
        <f>'UTL COST'!$C$5</f>
        <v>45000</v>
      </c>
      <c r="E177" s="76" t="str">
        <f>'UTL COST'!$D$5</f>
        <v>#REF!</v>
      </c>
      <c r="F177" s="324"/>
      <c r="G177" s="324"/>
      <c r="H177" s="387"/>
      <c r="I177" s="387"/>
      <c r="J177" s="322"/>
      <c r="K177" s="75" t="s">
        <v>59</v>
      </c>
      <c r="L177" s="371" t="str">
        <f>'UTL COST'!$B$5</f>
        <v>#REF!</v>
      </c>
      <c r="M177" s="382">
        <f>'UTL COST'!$C$5</f>
        <v>45000</v>
      </c>
      <c r="N177" s="76" t="str">
        <f>'UTL COST'!$D$5</f>
        <v>#REF!</v>
      </c>
      <c r="O177" s="324"/>
    </row>
    <row r="178" ht="12.75" customHeight="1">
      <c r="A178" s="322"/>
      <c r="B178" s="87" t="s">
        <v>78</v>
      </c>
      <c r="C178" s="371" t="str">
        <f>'UTL COST'!$B$6</f>
        <v>#REF!</v>
      </c>
      <c r="D178" s="383">
        <f>'UTL COST'!$C$6</f>
        <v>525</v>
      </c>
      <c r="E178" s="89">
        <v>0.1</v>
      </c>
      <c r="F178" s="324"/>
      <c r="G178" s="324"/>
      <c r="H178" s="387"/>
      <c r="I178" s="387"/>
      <c r="J178" s="322"/>
      <c r="K178" s="87" t="s">
        <v>78</v>
      </c>
      <c r="L178" s="371" t="str">
        <f>'UTL COST'!$B$6</f>
        <v>#REF!</v>
      </c>
      <c r="M178" s="383">
        <f>'UTL COST'!$C$6</f>
        <v>525</v>
      </c>
      <c r="N178" s="89">
        <v>0.1</v>
      </c>
      <c r="O178" s="324"/>
    </row>
    <row r="179" ht="12.75" customHeight="1">
      <c r="A179" s="322"/>
      <c r="B179" s="34" t="s">
        <v>84</v>
      </c>
      <c r="C179" s="102"/>
      <c r="D179" s="102"/>
      <c r="E179" s="104" t="str">
        <f>IF(SUM(E175:E178)=0,"",SUM(E175:E178))</f>
        <v>#REF!</v>
      </c>
      <c r="F179" s="324"/>
      <c r="G179" s="324"/>
      <c r="H179" s="387"/>
      <c r="I179" s="387"/>
      <c r="J179" s="322"/>
      <c r="K179" s="34" t="s">
        <v>84</v>
      </c>
      <c r="L179" s="102"/>
      <c r="M179" s="102"/>
      <c r="N179" s="104" t="str">
        <f>IF(SUM(N175:N178)=0,"",SUM(N175:N178))</f>
        <v>#REF!</v>
      </c>
      <c r="O179" s="324"/>
    </row>
    <row r="180" ht="12.75" customHeight="1">
      <c r="A180" s="322"/>
      <c r="B180" s="360"/>
      <c r="C180" s="360"/>
      <c r="D180" s="360"/>
      <c r="E180" s="361"/>
      <c r="F180" s="324"/>
      <c r="G180" s="324"/>
      <c r="H180" s="387"/>
      <c r="I180" s="387"/>
      <c r="J180" s="322"/>
      <c r="K180" s="360"/>
      <c r="L180" s="360"/>
      <c r="M180" s="360"/>
      <c r="N180" s="361"/>
      <c r="O180" s="324"/>
    </row>
    <row r="181" ht="12.75" customHeight="1">
      <c r="A181" s="387"/>
      <c r="B181" s="387"/>
      <c r="C181" s="387"/>
      <c r="D181" s="387"/>
      <c r="E181" s="387"/>
      <c r="F181" s="387"/>
      <c r="G181" s="387"/>
      <c r="H181" s="387"/>
      <c r="I181" s="387"/>
      <c r="J181" s="387"/>
      <c r="K181" s="387"/>
      <c r="L181" s="387"/>
      <c r="M181" s="387"/>
      <c r="N181" s="387"/>
      <c r="O181" s="387"/>
    </row>
    <row r="182" ht="12.75" customHeight="1">
      <c r="A182" s="322"/>
      <c r="B182" s="322"/>
      <c r="C182" s="322"/>
      <c r="D182" s="322"/>
      <c r="E182" s="323"/>
      <c r="F182" s="324"/>
      <c r="G182" s="387"/>
      <c r="H182" s="387"/>
      <c r="I182" s="387"/>
      <c r="J182" s="322"/>
      <c r="K182" s="322"/>
      <c r="L182" s="322"/>
      <c r="M182" s="322"/>
      <c r="N182" s="323"/>
      <c r="O182" s="324"/>
    </row>
    <row r="183" ht="12.75" customHeight="1">
      <c r="A183" s="322"/>
      <c r="B183" s="325"/>
      <c r="C183" s="322"/>
      <c r="D183" s="322"/>
      <c r="E183" s="323"/>
      <c r="F183" s="326"/>
      <c r="G183" s="387"/>
      <c r="H183" s="387"/>
      <c r="I183" s="387"/>
      <c r="J183" s="322"/>
      <c r="K183" s="325"/>
      <c r="L183" s="322"/>
      <c r="M183" s="322"/>
      <c r="N183" s="323"/>
      <c r="O183" s="326"/>
    </row>
    <row r="184" ht="12.75" customHeight="1">
      <c r="A184" s="322"/>
      <c r="B184" s="327" t="s">
        <v>931</v>
      </c>
      <c r="C184" s="328" t="s">
        <v>1417</v>
      </c>
      <c r="D184" s="329"/>
      <c r="E184" s="323"/>
      <c r="F184" s="326"/>
      <c r="G184" s="387"/>
      <c r="H184" s="387"/>
      <c r="I184" s="387"/>
      <c r="J184" s="322"/>
      <c r="K184" s="327" t="s">
        <v>931</v>
      </c>
      <c r="L184" s="328" t="s">
        <v>1417</v>
      </c>
      <c r="M184" s="329"/>
      <c r="N184" s="323"/>
      <c r="O184" s="326"/>
    </row>
    <row r="185" ht="12.75" customHeight="1">
      <c r="A185" s="322"/>
      <c r="B185" s="325"/>
      <c r="C185" s="322"/>
      <c r="D185" s="322"/>
      <c r="E185" s="323"/>
      <c r="F185" s="326"/>
      <c r="G185" s="387"/>
      <c r="H185" s="387"/>
      <c r="I185" s="387"/>
      <c r="J185" s="322"/>
      <c r="K185" s="325"/>
      <c r="L185" s="322"/>
      <c r="M185" s="322"/>
      <c r="N185" s="323"/>
      <c r="O185" s="326"/>
    </row>
    <row r="186" ht="12.75" customHeight="1">
      <c r="A186" s="322"/>
      <c r="B186" s="327" t="s">
        <v>935</v>
      </c>
      <c r="C186" s="331">
        <v>26667.0</v>
      </c>
      <c r="D186" s="329"/>
      <c r="E186" s="323"/>
      <c r="F186" s="326"/>
      <c r="G186" s="387"/>
      <c r="H186" s="387"/>
      <c r="I186" s="387"/>
      <c r="J186" s="322"/>
      <c r="K186" s="327" t="s">
        <v>935</v>
      </c>
      <c r="L186" s="331">
        <v>26667.0</v>
      </c>
      <c r="M186" s="329"/>
      <c r="N186" s="323"/>
      <c r="O186" s="326"/>
    </row>
    <row r="187" ht="12.75" customHeight="1">
      <c r="A187" s="322"/>
      <c r="B187" s="327"/>
      <c r="C187" s="332"/>
      <c r="D187" s="332"/>
      <c r="E187" s="323"/>
      <c r="F187" s="326"/>
      <c r="G187" s="387"/>
      <c r="H187" s="387"/>
      <c r="I187" s="387"/>
      <c r="J187" s="322"/>
      <c r="K187" s="327"/>
      <c r="L187" s="332"/>
      <c r="M187" s="332"/>
      <c r="N187" s="323"/>
      <c r="O187" s="326"/>
    </row>
    <row r="188" ht="12.75" customHeight="1">
      <c r="A188" s="322"/>
      <c r="B188" s="327" t="s">
        <v>939</v>
      </c>
      <c r="C188" s="333" t="str">
        <f>IF(SUM(E200,E215,E223)=0,"",SUM(E200,E215,E223))</f>
        <v>#REF!</v>
      </c>
      <c r="D188" s="321"/>
      <c r="E188" s="323"/>
      <c r="F188" s="326"/>
      <c r="G188" s="387"/>
      <c r="H188" s="387"/>
      <c r="I188" s="387"/>
      <c r="J188" s="322"/>
      <c r="K188" s="327" t="s">
        <v>939</v>
      </c>
      <c r="L188" s="333" t="str">
        <f>IF(SUM(N200,N215,N223)=0,"",SUM(N200,N215,N223))</f>
        <v>#REF!</v>
      </c>
      <c r="M188" s="321"/>
      <c r="N188" s="323"/>
      <c r="O188" s="326"/>
    </row>
    <row r="189" ht="12.75" customHeight="1">
      <c r="A189" s="322"/>
      <c r="B189" s="327"/>
      <c r="C189" s="334"/>
      <c r="D189" s="334"/>
      <c r="E189" s="323"/>
      <c r="F189" s="326"/>
      <c r="G189" s="387"/>
      <c r="H189" s="387"/>
      <c r="I189" s="387"/>
      <c r="J189" s="322"/>
      <c r="K189" s="327"/>
      <c r="L189" s="334"/>
      <c r="M189" s="334"/>
      <c r="N189" s="323"/>
      <c r="O189" s="326"/>
    </row>
    <row r="190" ht="12.75" customHeight="1">
      <c r="A190" s="322"/>
      <c r="B190" s="327" t="s">
        <v>946</v>
      </c>
      <c r="C190" s="335" t="str">
        <f>IF(C188="","",IF(ISBLANK(C186),"",C188/C186))</f>
        <v>#REF!</v>
      </c>
      <c r="D190" s="321"/>
      <c r="E190" s="323"/>
      <c r="F190" s="326"/>
      <c r="G190" s="387"/>
      <c r="H190" s="387"/>
      <c r="I190" s="387"/>
      <c r="J190" s="322"/>
      <c r="K190" s="327" t="s">
        <v>946</v>
      </c>
      <c r="L190" s="335" t="str">
        <f>IF(L188="","",IF(ISBLANK(L186),"",L188/L186))</f>
        <v>#REF!</v>
      </c>
      <c r="M190" s="321"/>
      <c r="N190" s="323"/>
      <c r="O190" s="326"/>
    </row>
    <row r="191" ht="12.75" customHeight="1">
      <c r="A191" s="322"/>
      <c r="B191" s="327"/>
      <c r="C191" s="334"/>
      <c r="D191" s="334"/>
      <c r="E191" s="323"/>
      <c r="F191" s="326"/>
      <c r="G191" s="387"/>
      <c r="H191" s="387"/>
      <c r="I191" s="387"/>
      <c r="J191" s="322"/>
      <c r="K191" s="327"/>
      <c r="L191" s="334"/>
      <c r="M191" s="334"/>
      <c r="N191" s="323"/>
      <c r="O191" s="326"/>
    </row>
    <row r="192" ht="12.75" customHeight="1">
      <c r="A192" s="322"/>
      <c r="B192" s="327" t="s">
        <v>950</v>
      </c>
      <c r="C192" s="333" t="str">
        <f>C186-C188</f>
        <v>#REF!</v>
      </c>
      <c r="D192" s="321"/>
      <c r="E192" s="323"/>
      <c r="F192" s="326"/>
      <c r="G192" s="387"/>
      <c r="H192" s="387"/>
      <c r="I192" s="387"/>
      <c r="J192" s="322"/>
      <c r="K192" s="327" t="s">
        <v>950</v>
      </c>
      <c r="L192" s="333" t="str">
        <f>L186-L188</f>
        <v>#REF!</v>
      </c>
      <c r="M192" s="321"/>
      <c r="N192" s="323"/>
      <c r="O192" s="326"/>
    </row>
    <row r="193" ht="12.75" customHeight="1">
      <c r="A193" s="322"/>
      <c r="B193" s="322"/>
      <c r="C193" s="322"/>
      <c r="D193" s="322"/>
      <c r="E193" s="323"/>
      <c r="F193" s="324"/>
      <c r="G193" s="387"/>
      <c r="H193" s="387"/>
      <c r="I193" s="387"/>
      <c r="J193" s="322"/>
      <c r="K193" s="322"/>
      <c r="L193" s="322"/>
      <c r="M193" s="322"/>
      <c r="N193" s="323"/>
      <c r="O193" s="324"/>
    </row>
    <row r="194" ht="12.75" customHeight="1">
      <c r="A194" s="322"/>
      <c r="B194" s="322"/>
      <c r="C194" s="322"/>
      <c r="D194" s="322"/>
      <c r="E194" s="337"/>
      <c r="F194" s="324"/>
      <c r="G194" s="387"/>
      <c r="H194" s="387"/>
      <c r="I194" s="387"/>
      <c r="J194" s="322"/>
      <c r="K194" s="322"/>
      <c r="L194" s="322"/>
      <c r="M194" s="322"/>
      <c r="N194" s="337"/>
      <c r="O194" s="324"/>
    </row>
    <row r="195" ht="12.75" customHeight="1">
      <c r="A195" s="322"/>
      <c r="B195" s="338" t="s">
        <v>951</v>
      </c>
      <c r="C195" s="339"/>
      <c r="D195" s="339"/>
      <c r="E195" s="339"/>
      <c r="F195" s="324"/>
      <c r="G195" s="387"/>
      <c r="H195" s="387"/>
      <c r="I195" s="387"/>
      <c r="J195" s="322"/>
      <c r="K195" s="338" t="s">
        <v>951</v>
      </c>
      <c r="L195" s="339"/>
      <c r="M195" s="339"/>
      <c r="N195" s="339"/>
      <c r="O195" s="324"/>
    </row>
    <row r="196" ht="12.75" customHeight="1">
      <c r="A196" s="322"/>
      <c r="B196" s="340" t="s">
        <v>953</v>
      </c>
      <c r="C196" s="341" t="s">
        <v>954</v>
      </c>
      <c r="D196" s="341" t="s">
        <v>955</v>
      </c>
      <c r="E196" s="341" t="s">
        <v>35</v>
      </c>
      <c r="F196" s="324"/>
      <c r="G196" s="387"/>
      <c r="H196" s="387"/>
      <c r="I196" s="387"/>
      <c r="J196" s="322"/>
      <c r="K196" s="340" t="s">
        <v>953</v>
      </c>
      <c r="L196" s="341" t="s">
        <v>954</v>
      </c>
      <c r="M196" s="341" t="s">
        <v>955</v>
      </c>
      <c r="N196" s="341" t="s">
        <v>35</v>
      </c>
      <c r="O196" s="324"/>
    </row>
    <row r="197" ht="12.75" customHeight="1">
      <c r="A197" s="322"/>
      <c r="B197" s="60" t="s">
        <v>804</v>
      </c>
      <c r="C197" s="342">
        <v>0.06</v>
      </c>
      <c r="D197" s="343">
        <f>'F&amp;B'!$F$197</f>
        <v>51750</v>
      </c>
      <c r="E197" s="67">
        <f t="shared" ref="E197:E198" si="17">IF(OR(ISBLANK(C197),ISBLANK(D197)),"",D197*C197)</f>
        <v>3105</v>
      </c>
      <c r="F197" s="324"/>
      <c r="G197" s="387"/>
      <c r="H197" s="387"/>
      <c r="I197" s="387"/>
      <c r="J197" s="322"/>
      <c r="K197" s="60" t="str">
        <f>B197</f>
        <v>Ice Cream</v>
      </c>
      <c r="L197" s="342">
        <v>0.06</v>
      </c>
      <c r="M197" s="343">
        <f>'F&amp;B'!$F$197</f>
        <v>51750</v>
      </c>
      <c r="N197" s="67">
        <f t="shared" ref="N197:N198" si="18">IF(OR(ISBLANK(L197),ISBLANK(M197)),"",M197*L197)</f>
        <v>3105</v>
      </c>
      <c r="O197" s="324"/>
    </row>
    <row r="198" ht="12.75" customHeight="1">
      <c r="A198" s="322"/>
      <c r="B198" s="75"/>
      <c r="C198" s="346"/>
      <c r="D198" s="371"/>
      <c r="E198" s="67" t="str">
        <f t="shared" si="17"/>
        <v/>
      </c>
      <c r="F198" s="324"/>
      <c r="G198" s="387"/>
      <c r="H198" s="387"/>
      <c r="I198" s="387"/>
      <c r="J198" s="322"/>
      <c r="K198" s="75"/>
      <c r="L198" s="346"/>
      <c r="M198" s="371"/>
      <c r="N198" s="67" t="str">
        <f t="shared" si="18"/>
        <v/>
      </c>
      <c r="O198" s="324"/>
    </row>
    <row r="199" ht="12.75" customHeight="1">
      <c r="A199" s="322"/>
      <c r="B199" s="87"/>
      <c r="C199" s="355"/>
      <c r="D199" s="356"/>
      <c r="E199" s="67"/>
      <c r="F199" s="324"/>
      <c r="G199" s="387"/>
      <c r="H199" s="387"/>
      <c r="I199" s="387"/>
      <c r="J199" s="322"/>
      <c r="K199" s="87"/>
      <c r="L199" s="355"/>
      <c r="M199" s="356"/>
      <c r="N199" s="67"/>
      <c r="O199" s="324"/>
    </row>
    <row r="200" ht="12.75" customHeight="1">
      <c r="A200" s="322"/>
      <c r="B200" s="338" t="s">
        <v>84</v>
      </c>
      <c r="C200" s="358"/>
      <c r="D200" s="358"/>
      <c r="E200" s="359">
        <f>IF(SUM(E197:E199)=0,"",SUM(E197:E199))</f>
        <v>3105</v>
      </c>
      <c r="F200" s="324"/>
      <c r="G200" s="387"/>
      <c r="H200" s="387"/>
      <c r="I200" s="387"/>
      <c r="J200" s="322"/>
      <c r="K200" s="338" t="s">
        <v>84</v>
      </c>
      <c r="L200" s="358"/>
      <c r="M200" s="358"/>
      <c r="N200" s="359">
        <f>IF(SUM(N197:N199)=0,"",SUM(N197:N199))</f>
        <v>3105</v>
      </c>
      <c r="O200" s="324"/>
    </row>
    <row r="201" ht="12.75" customHeight="1">
      <c r="A201" s="322"/>
      <c r="B201" s="360"/>
      <c r="C201" s="360"/>
      <c r="D201" s="360"/>
      <c r="E201" s="361"/>
      <c r="F201" s="324"/>
      <c r="G201" s="387"/>
      <c r="H201" s="387"/>
      <c r="I201" s="387"/>
      <c r="J201" s="322"/>
      <c r="K201" s="360"/>
      <c r="L201" s="360"/>
      <c r="M201" s="360"/>
      <c r="N201" s="361"/>
      <c r="O201" s="324"/>
    </row>
    <row r="202" ht="12.75" customHeight="1">
      <c r="A202" s="322"/>
      <c r="B202" s="362" t="s">
        <v>972</v>
      </c>
      <c r="C202" s="363"/>
      <c r="D202" s="363"/>
      <c r="E202" s="363"/>
      <c r="F202" s="324"/>
      <c r="G202" s="387"/>
      <c r="H202" s="387"/>
      <c r="I202" s="387"/>
      <c r="J202" s="322"/>
      <c r="K202" s="362" t="s">
        <v>972</v>
      </c>
      <c r="L202" s="363"/>
      <c r="M202" s="363"/>
      <c r="N202" s="363"/>
      <c r="O202" s="324"/>
    </row>
    <row r="203" ht="12.75" customHeight="1">
      <c r="A203" s="322"/>
      <c r="B203" s="365" t="s">
        <v>953</v>
      </c>
      <c r="C203" s="366" t="s">
        <v>3</v>
      </c>
      <c r="D203" s="366" t="s">
        <v>975</v>
      </c>
      <c r="E203" s="367" t="s">
        <v>35</v>
      </c>
      <c r="F203" s="324"/>
      <c r="G203" s="387"/>
      <c r="H203" s="387"/>
      <c r="I203" s="387"/>
      <c r="J203" s="322"/>
      <c r="K203" s="365" t="s">
        <v>953</v>
      </c>
      <c r="L203" s="366" t="s">
        <v>3</v>
      </c>
      <c r="M203" s="366" t="s">
        <v>975</v>
      </c>
      <c r="N203" s="367" t="s">
        <v>35</v>
      </c>
      <c r="O203" s="324"/>
    </row>
    <row r="204" ht="12.75" customHeight="1">
      <c r="A204" s="322"/>
      <c r="B204" s="368"/>
      <c r="C204" s="366"/>
      <c r="D204" s="366"/>
      <c r="E204" s="368"/>
      <c r="F204" s="324"/>
      <c r="G204" s="387"/>
      <c r="H204" s="387"/>
      <c r="I204" s="387"/>
      <c r="J204" s="322"/>
      <c r="K204" s="368"/>
      <c r="L204" s="366"/>
      <c r="M204" s="366"/>
      <c r="N204" s="368"/>
      <c r="O204" s="324"/>
    </row>
    <row r="205" ht="12.75" customHeight="1">
      <c r="A205" s="322"/>
      <c r="B205" s="60"/>
      <c r="C205" s="342"/>
      <c r="D205" s="343"/>
      <c r="E205" s="67">
        <f t="shared" ref="E205:E214" si="19">D205*C205</f>
        <v>0</v>
      </c>
      <c r="F205" s="324"/>
      <c r="G205" s="387"/>
      <c r="H205" s="387"/>
      <c r="I205" s="387"/>
      <c r="J205" s="322"/>
      <c r="K205" s="60"/>
      <c r="L205" s="342"/>
      <c r="M205" s="343"/>
      <c r="N205" s="67">
        <f t="shared" ref="N205:N214" si="20">M205*L205</f>
        <v>0</v>
      </c>
      <c r="O205" s="324"/>
    </row>
    <row r="206" ht="12.75" customHeight="1">
      <c r="A206" s="322"/>
      <c r="B206" s="75"/>
      <c r="C206" s="370"/>
      <c r="D206" s="371"/>
      <c r="E206" s="67">
        <f t="shared" si="19"/>
        <v>0</v>
      </c>
      <c r="F206" s="324"/>
      <c r="G206" s="387"/>
      <c r="H206" s="387"/>
      <c r="I206" s="387"/>
      <c r="J206" s="322"/>
      <c r="K206" s="75"/>
      <c r="L206" s="370"/>
      <c r="M206" s="371"/>
      <c r="N206" s="67">
        <f t="shared" si="20"/>
        <v>0</v>
      </c>
      <c r="O206" s="324"/>
    </row>
    <row r="207" ht="12.75" customHeight="1">
      <c r="A207" s="322"/>
      <c r="B207" s="75"/>
      <c r="C207" s="370"/>
      <c r="D207" s="371"/>
      <c r="E207" s="67">
        <f t="shared" si="19"/>
        <v>0</v>
      </c>
      <c r="F207" s="324"/>
      <c r="G207" s="387"/>
      <c r="H207" s="387"/>
      <c r="I207" s="387"/>
      <c r="J207" s="322"/>
      <c r="K207" s="75"/>
      <c r="L207" s="370"/>
      <c r="M207" s="371"/>
      <c r="N207" s="67">
        <f t="shared" si="20"/>
        <v>0</v>
      </c>
      <c r="O207" s="324"/>
    </row>
    <row r="208" ht="12.75" customHeight="1">
      <c r="A208" s="322"/>
      <c r="B208" s="75"/>
      <c r="C208" s="346"/>
      <c r="D208" s="371"/>
      <c r="E208" s="67">
        <f t="shared" si="19"/>
        <v>0</v>
      </c>
      <c r="F208" s="324"/>
      <c r="G208" s="387"/>
      <c r="H208" s="387"/>
      <c r="I208" s="387"/>
      <c r="J208" s="322"/>
      <c r="K208" s="75"/>
      <c r="L208" s="346"/>
      <c r="M208" s="371"/>
      <c r="N208" s="67">
        <f t="shared" si="20"/>
        <v>0</v>
      </c>
      <c r="O208" s="324"/>
    </row>
    <row r="209" ht="12.75" customHeight="1">
      <c r="A209" s="322"/>
      <c r="B209" s="75"/>
      <c r="C209" s="346"/>
      <c r="D209" s="371"/>
      <c r="E209" s="67">
        <f t="shared" si="19"/>
        <v>0</v>
      </c>
      <c r="F209" s="324"/>
      <c r="G209" s="387"/>
      <c r="H209" s="387"/>
      <c r="I209" s="387"/>
      <c r="J209" s="322"/>
      <c r="K209" s="75"/>
      <c r="L209" s="346"/>
      <c r="M209" s="371"/>
      <c r="N209" s="67">
        <f t="shared" si="20"/>
        <v>0</v>
      </c>
      <c r="O209" s="324"/>
    </row>
    <row r="210" ht="12.75" customHeight="1">
      <c r="A210" s="322"/>
      <c r="B210" s="75"/>
      <c r="C210" s="346"/>
      <c r="D210" s="373"/>
      <c r="E210" s="67">
        <f t="shared" si="19"/>
        <v>0</v>
      </c>
      <c r="F210" s="324"/>
      <c r="G210" s="387"/>
      <c r="H210" s="387"/>
      <c r="I210" s="387"/>
      <c r="J210" s="322"/>
      <c r="K210" s="75"/>
      <c r="L210" s="346"/>
      <c r="M210" s="373"/>
      <c r="N210" s="67">
        <f t="shared" si="20"/>
        <v>0</v>
      </c>
      <c r="O210" s="324"/>
    </row>
    <row r="211" ht="12.75" customHeight="1">
      <c r="A211" s="322"/>
      <c r="B211" s="348"/>
      <c r="C211" s="346"/>
      <c r="D211" s="373"/>
      <c r="E211" s="67">
        <f t="shared" si="19"/>
        <v>0</v>
      </c>
      <c r="F211" s="324"/>
      <c r="G211" s="387"/>
      <c r="H211" s="387"/>
      <c r="I211" s="387"/>
      <c r="J211" s="322"/>
      <c r="K211" s="348"/>
      <c r="L211" s="346"/>
      <c r="M211" s="373"/>
      <c r="N211" s="67">
        <f t="shared" si="20"/>
        <v>0</v>
      </c>
      <c r="O211" s="324"/>
    </row>
    <row r="212" ht="12.75" customHeight="1">
      <c r="A212" s="322"/>
      <c r="B212" s="348"/>
      <c r="C212" s="346"/>
      <c r="D212" s="373"/>
      <c r="E212" s="67">
        <f t="shared" si="19"/>
        <v>0</v>
      </c>
      <c r="F212" s="324"/>
      <c r="G212" s="387"/>
      <c r="H212" s="387"/>
      <c r="I212" s="387"/>
      <c r="J212" s="322"/>
      <c r="K212" s="348"/>
      <c r="L212" s="346"/>
      <c r="M212" s="373"/>
      <c r="N212" s="67">
        <f t="shared" si="20"/>
        <v>0</v>
      </c>
      <c r="O212" s="324"/>
    </row>
    <row r="213" ht="12.75" customHeight="1">
      <c r="A213" s="322"/>
      <c r="B213" s="348"/>
      <c r="C213" s="346"/>
      <c r="D213" s="373"/>
      <c r="E213" s="67">
        <f t="shared" si="19"/>
        <v>0</v>
      </c>
      <c r="F213" s="324"/>
      <c r="G213" s="387"/>
      <c r="H213" s="387"/>
      <c r="I213" s="387"/>
      <c r="J213" s="322"/>
      <c r="K213" s="348"/>
      <c r="L213" s="346"/>
      <c r="M213" s="373"/>
      <c r="N213" s="67">
        <f t="shared" si="20"/>
        <v>0</v>
      </c>
      <c r="O213" s="324"/>
    </row>
    <row r="214" ht="12.75" customHeight="1">
      <c r="A214" s="322"/>
      <c r="B214" s="354"/>
      <c r="C214" s="355"/>
      <c r="D214" s="356"/>
      <c r="E214" s="67">
        <f t="shared" si="19"/>
        <v>0</v>
      </c>
      <c r="F214" s="324"/>
      <c r="G214" s="387"/>
      <c r="H214" s="387"/>
      <c r="I214" s="387"/>
      <c r="J214" s="322"/>
      <c r="K214" s="354"/>
      <c r="L214" s="355"/>
      <c r="M214" s="356"/>
      <c r="N214" s="67">
        <f t="shared" si="20"/>
        <v>0</v>
      </c>
      <c r="O214" s="324"/>
    </row>
    <row r="215" ht="12.75" customHeight="1">
      <c r="A215" s="322"/>
      <c r="B215" s="362" t="s">
        <v>84</v>
      </c>
      <c r="C215" s="374"/>
      <c r="D215" s="374"/>
      <c r="E215" s="375" t="str">
        <f>IF(SUM(E205:E214)=0,"",SUM(E205:E214))</f>
        <v/>
      </c>
      <c r="F215" s="324"/>
      <c r="G215" s="387"/>
      <c r="H215" s="387"/>
      <c r="I215" s="387"/>
      <c r="J215" s="322"/>
      <c r="K215" s="362" t="s">
        <v>84</v>
      </c>
      <c r="L215" s="374"/>
      <c r="M215" s="374"/>
      <c r="N215" s="375" t="str">
        <f>IF(SUM(N205:N214)=0,"",SUM(N205:N214))</f>
        <v/>
      </c>
      <c r="O215" s="324"/>
    </row>
    <row r="216" ht="12.75" customHeight="1">
      <c r="A216" s="322"/>
      <c r="B216" s="360"/>
      <c r="C216" s="360"/>
      <c r="D216" s="360"/>
      <c r="E216" s="361"/>
      <c r="F216" s="324"/>
      <c r="G216" s="387"/>
      <c r="H216" s="387"/>
      <c r="I216" s="387"/>
      <c r="J216" s="322"/>
      <c r="K216" s="360"/>
      <c r="L216" s="360"/>
      <c r="M216" s="360"/>
      <c r="N216" s="361"/>
      <c r="O216" s="324"/>
    </row>
    <row r="217" ht="12.75" customHeight="1">
      <c r="A217" s="322"/>
      <c r="B217" s="34" t="s">
        <v>17</v>
      </c>
      <c r="C217" s="35"/>
      <c r="D217" s="35"/>
      <c r="E217" s="35"/>
      <c r="F217" s="324"/>
      <c r="G217" s="387"/>
      <c r="H217" s="387"/>
      <c r="I217" s="387"/>
      <c r="J217" s="322"/>
      <c r="K217" s="34" t="s">
        <v>17</v>
      </c>
      <c r="L217" s="35"/>
      <c r="M217" s="35"/>
      <c r="N217" s="35"/>
      <c r="O217" s="324"/>
    </row>
    <row r="218" ht="12.75" customHeight="1">
      <c r="A218" s="322"/>
      <c r="B218" s="52" t="s">
        <v>42</v>
      </c>
      <c r="C218" s="54"/>
      <c r="D218" s="54"/>
      <c r="E218" s="56" t="s">
        <v>35</v>
      </c>
      <c r="F218" s="324"/>
      <c r="G218" s="387"/>
      <c r="H218" s="387"/>
      <c r="I218" s="387"/>
      <c r="J218" s="322"/>
      <c r="K218" s="52" t="s">
        <v>42</v>
      </c>
      <c r="L218" s="54"/>
      <c r="M218" s="54"/>
      <c r="N218" s="56" t="s">
        <v>35</v>
      </c>
      <c r="O218" s="324"/>
    </row>
    <row r="219" ht="12.75" customHeight="1">
      <c r="A219" s="322"/>
      <c r="B219" s="60" t="s">
        <v>40</v>
      </c>
      <c r="C219" s="343">
        <f>'UTL COST'!$B$3</f>
        <v>369000</v>
      </c>
      <c r="D219" s="379">
        <f>'UTL COST'!$C$3</f>
        <v>0.0075</v>
      </c>
      <c r="E219" s="67">
        <v>0.0</v>
      </c>
      <c r="F219" s="324"/>
      <c r="G219" s="387"/>
      <c r="H219" s="387"/>
      <c r="I219" s="387"/>
      <c r="J219" s="322"/>
      <c r="K219" s="60" t="s">
        <v>40</v>
      </c>
      <c r="L219" s="343">
        <f>'UTL COST'!$B$3</f>
        <v>369000</v>
      </c>
      <c r="M219" s="379">
        <f>'UTL COST'!$C$3</f>
        <v>0.0075</v>
      </c>
      <c r="N219" s="67">
        <v>0.0</v>
      </c>
      <c r="O219" s="324"/>
    </row>
    <row r="220" ht="12.75" customHeight="1">
      <c r="A220" s="322"/>
      <c r="B220" s="75" t="s">
        <v>51</v>
      </c>
      <c r="C220" s="371" t="str">
        <f>'UTL COST'!$B$4</f>
        <v>#REF!</v>
      </c>
      <c r="D220" s="382">
        <f>'UTL COST'!$C$4</f>
        <v>7000</v>
      </c>
      <c r="E220" s="76">
        <v>0.0</v>
      </c>
      <c r="F220" s="324"/>
      <c r="G220" s="387"/>
      <c r="H220" s="387"/>
      <c r="I220" s="387"/>
      <c r="J220" s="322"/>
      <c r="K220" s="75" t="s">
        <v>51</v>
      </c>
      <c r="L220" s="371" t="str">
        <f>'UTL COST'!$B$4</f>
        <v>#REF!</v>
      </c>
      <c r="M220" s="382">
        <f>'UTL COST'!$C$4</f>
        <v>7000</v>
      </c>
      <c r="N220" s="76">
        <v>0.0</v>
      </c>
      <c r="O220" s="324"/>
    </row>
    <row r="221" ht="12.75" customHeight="1">
      <c r="A221" s="322"/>
      <c r="B221" s="75" t="s">
        <v>59</v>
      </c>
      <c r="C221" s="371" t="str">
        <f>'UTL COST'!$B$5</f>
        <v>#REF!</v>
      </c>
      <c r="D221" s="382">
        <f>'UTL COST'!$C$5</f>
        <v>45000</v>
      </c>
      <c r="E221" s="76" t="str">
        <f>'UTL COST'!$D$5</f>
        <v>#REF!</v>
      </c>
      <c r="F221" s="324"/>
      <c r="G221" s="387"/>
      <c r="H221" s="387"/>
      <c r="I221" s="387"/>
      <c r="J221" s="322"/>
      <c r="K221" s="75" t="s">
        <v>59</v>
      </c>
      <c r="L221" s="371" t="str">
        <f>'UTL COST'!$B$5</f>
        <v>#REF!</v>
      </c>
      <c r="M221" s="382">
        <f>'UTL COST'!$C$5</f>
        <v>45000</v>
      </c>
      <c r="N221" s="76" t="str">
        <f>'UTL COST'!$D$5</f>
        <v>#REF!</v>
      </c>
      <c r="O221" s="324"/>
    </row>
    <row r="222" ht="12.75" customHeight="1">
      <c r="A222" s="322"/>
      <c r="B222" s="87" t="s">
        <v>78</v>
      </c>
      <c r="C222" s="371" t="str">
        <f>'UTL COST'!$B$6</f>
        <v>#REF!</v>
      </c>
      <c r="D222" s="383">
        <f>'UTL COST'!$C$6</f>
        <v>525</v>
      </c>
      <c r="E222" s="89">
        <v>0.1</v>
      </c>
      <c r="F222" s="324"/>
      <c r="G222" s="387"/>
      <c r="H222" s="387"/>
      <c r="I222" s="387"/>
      <c r="J222" s="322"/>
      <c r="K222" s="87" t="s">
        <v>78</v>
      </c>
      <c r="L222" s="371" t="str">
        <f>'UTL COST'!$B$6</f>
        <v>#REF!</v>
      </c>
      <c r="M222" s="383">
        <f>'UTL COST'!$C$6</f>
        <v>525</v>
      </c>
      <c r="N222" s="89">
        <v>0.1</v>
      </c>
      <c r="O222" s="324"/>
    </row>
    <row r="223" ht="12.75" customHeight="1">
      <c r="A223" s="322"/>
      <c r="B223" s="34" t="s">
        <v>84</v>
      </c>
      <c r="C223" s="102"/>
      <c r="D223" s="102"/>
      <c r="E223" s="104" t="str">
        <f>IF(SUM(E219:E222)=0,"",SUM(E219:E222))</f>
        <v>#REF!</v>
      </c>
      <c r="F223" s="324"/>
      <c r="G223" s="387"/>
      <c r="H223" s="387"/>
      <c r="I223" s="387"/>
      <c r="J223" s="322"/>
      <c r="K223" s="34" t="s">
        <v>84</v>
      </c>
      <c r="L223" s="102"/>
      <c r="M223" s="102"/>
      <c r="N223" s="104" t="str">
        <f>IF(SUM(N219:N222)=0,"",SUM(N219:N222))</f>
        <v>#REF!</v>
      </c>
      <c r="O223" s="324"/>
    </row>
    <row r="224" ht="12.75" customHeight="1">
      <c r="A224" s="322"/>
      <c r="B224" s="360"/>
      <c r="C224" s="360"/>
      <c r="D224" s="360"/>
      <c r="E224" s="361"/>
      <c r="F224" s="324"/>
      <c r="G224" s="387"/>
      <c r="H224" s="387"/>
      <c r="I224" s="387"/>
      <c r="J224" s="322"/>
      <c r="K224" s="360"/>
      <c r="L224" s="360"/>
      <c r="M224" s="360"/>
      <c r="N224" s="361"/>
      <c r="O224" s="324"/>
    </row>
    <row r="225" ht="12.75" customHeight="1">
      <c r="A225" s="387"/>
      <c r="B225" s="387"/>
      <c r="C225" s="387"/>
      <c r="D225" s="387"/>
      <c r="E225" s="418"/>
      <c r="F225" s="387"/>
      <c r="G225" s="387"/>
      <c r="H225" s="387"/>
      <c r="I225" s="387"/>
      <c r="J225" s="387"/>
      <c r="K225" s="387"/>
      <c r="L225" s="387"/>
      <c r="M225" s="387"/>
      <c r="N225" s="387"/>
      <c r="O225" s="387"/>
    </row>
    <row r="226" ht="12.75" customHeight="1">
      <c r="A226" s="387"/>
      <c r="B226" s="387"/>
      <c r="C226" s="387"/>
      <c r="D226" s="387"/>
      <c r="E226" s="418"/>
      <c r="F226" s="387"/>
      <c r="G226" s="387"/>
      <c r="H226" s="387"/>
      <c r="I226" s="387"/>
      <c r="J226" s="387"/>
      <c r="K226" s="387"/>
      <c r="L226" s="387"/>
      <c r="M226" s="387"/>
      <c r="N226" s="387"/>
      <c r="O226" s="387"/>
    </row>
    <row r="227" ht="12.75" customHeight="1">
      <c r="A227" s="322"/>
      <c r="B227" s="322"/>
      <c r="C227" s="322"/>
      <c r="D227" s="322"/>
      <c r="E227" s="323"/>
      <c r="F227" s="324"/>
      <c r="G227" s="387"/>
      <c r="H227" s="387"/>
      <c r="I227" s="387"/>
      <c r="J227" s="322"/>
      <c r="K227" s="322"/>
      <c r="L227" s="322"/>
      <c r="M227" s="322"/>
      <c r="N227" s="323"/>
      <c r="O227" s="324"/>
    </row>
    <row r="228" ht="12.75" customHeight="1">
      <c r="A228" s="322"/>
      <c r="B228" s="325"/>
      <c r="C228" s="322"/>
      <c r="D228" s="322"/>
      <c r="E228" s="323"/>
      <c r="F228" s="326"/>
      <c r="G228" s="387"/>
      <c r="H228" s="387"/>
      <c r="I228" s="387"/>
      <c r="J228" s="322"/>
      <c r="K228" s="325"/>
      <c r="L228" s="322"/>
      <c r="M228" s="322"/>
      <c r="N228" s="323"/>
      <c r="O228" s="326"/>
    </row>
    <row r="229" ht="12.75" customHeight="1">
      <c r="A229" s="322"/>
      <c r="B229" s="327" t="s">
        <v>931</v>
      </c>
      <c r="C229" s="328" t="s">
        <v>1471</v>
      </c>
      <c r="D229" s="329"/>
      <c r="E229" s="323"/>
      <c r="F229" s="326"/>
      <c r="G229" s="387"/>
      <c r="H229" s="387"/>
      <c r="I229" s="387"/>
      <c r="J229" s="322"/>
      <c r="K229" s="327" t="s">
        <v>931</v>
      </c>
      <c r="L229" s="328" t="s">
        <v>1472</v>
      </c>
      <c r="M229" s="329"/>
      <c r="N229" s="323"/>
      <c r="O229" s="326"/>
    </row>
    <row r="230" ht="12.75" customHeight="1">
      <c r="A230" s="322"/>
      <c r="B230" s="325"/>
      <c r="C230" s="322"/>
      <c r="D230" s="322"/>
      <c r="E230" s="323"/>
      <c r="F230" s="326"/>
      <c r="G230" s="387"/>
      <c r="H230" s="387"/>
      <c r="I230" s="387"/>
      <c r="J230" s="322"/>
      <c r="K230" s="325"/>
      <c r="L230" s="322"/>
      <c r="M230" s="322"/>
      <c r="N230" s="323"/>
      <c r="O230" s="326"/>
    </row>
    <row r="231" ht="12.75" customHeight="1">
      <c r="A231" s="322"/>
      <c r="B231" s="327" t="s">
        <v>935</v>
      </c>
      <c r="C231" s="331">
        <v>170000.0</v>
      </c>
      <c r="D231" s="329"/>
      <c r="E231" s="323"/>
      <c r="F231" s="326"/>
      <c r="G231" s="387"/>
      <c r="H231" s="387"/>
      <c r="I231" s="387"/>
      <c r="J231" s="322"/>
      <c r="K231" s="327" t="s">
        <v>935</v>
      </c>
      <c r="L231" s="331">
        <v>26667.0</v>
      </c>
      <c r="M231" s="329"/>
      <c r="N231" s="323"/>
      <c r="O231" s="326"/>
    </row>
    <row r="232" ht="12.75" customHeight="1">
      <c r="A232" s="322"/>
      <c r="B232" s="327"/>
      <c r="C232" s="332"/>
      <c r="D232" s="332"/>
      <c r="E232" s="323"/>
      <c r="F232" s="326"/>
      <c r="G232" s="387"/>
      <c r="H232" s="387"/>
      <c r="I232" s="387"/>
      <c r="J232" s="322"/>
      <c r="K232" s="327"/>
      <c r="L232" s="332"/>
      <c r="M232" s="332"/>
      <c r="N232" s="323"/>
      <c r="O232" s="326"/>
    </row>
    <row r="233" ht="12.75" customHeight="1">
      <c r="A233" s="322"/>
      <c r="B233" s="327" t="s">
        <v>939</v>
      </c>
      <c r="C233" s="333" t="str">
        <f>IF(SUM(E245,E260,E268)=0,"",SUM(E245,E260,E268))</f>
        <v>#REF!</v>
      </c>
      <c r="D233" s="321"/>
      <c r="E233" s="323"/>
      <c r="F233" s="326"/>
      <c r="G233" s="387"/>
      <c r="H233" s="387"/>
      <c r="I233" s="387"/>
      <c r="J233" s="322"/>
      <c r="K233" s="327" t="s">
        <v>939</v>
      </c>
      <c r="L233" s="333" t="str">
        <f>IF(SUM(N245,N260,N268)=0,"",SUM(N245,N260,N268))</f>
        <v>#REF!</v>
      </c>
      <c r="M233" s="321"/>
      <c r="N233" s="323"/>
      <c r="O233" s="326"/>
    </row>
    <row r="234" ht="12.75" customHeight="1">
      <c r="A234" s="322"/>
      <c r="B234" s="327"/>
      <c r="C234" s="334"/>
      <c r="D234" s="334"/>
      <c r="E234" s="323"/>
      <c r="F234" s="326"/>
      <c r="G234" s="387"/>
      <c r="H234" s="387"/>
      <c r="I234" s="387"/>
      <c r="J234" s="322"/>
      <c r="K234" s="327"/>
      <c r="L234" s="334"/>
      <c r="M234" s="334"/>
      <c r="N234" s="323"/>
      <c r="O234" s="326"/>
    </row>
    <row r="235" ht="12.75" customHeight="1">
      <c r="A235" s="322"/>
      <c r="B235" s="327" t="s">
        <v>946</v>
      </c>
      <c r="C235" s="335" t="str">
        <f>IF(C233="","",IF(ISBLANK(C231),"",C233/C231))</f>
        <v>#REF!</v>
      </c>
      <c r="D235" s="321"/>
      <c r="E235" s="323"/>
      <c r="F235" s="326"/>
      <c r="G235" s="387"/>
      <c r="H235" s="387"/>
      <c r="I235" s="387"/>
      <c r="J235" s="322"/>
      <c r="K235" s="327" t="s">
        <v>946</v>
      </c>
      <c r="L235" s="335" t="str">
        <f>IF(L233="","",IF(ISBLANK(L231),"",L233/L231))</f>
        <v>#REF!</v>
      </c>
      <c r="M235" s="321"/>
      <c r="N235" s="323"/>
      <c r="O235" s="326"/>
    </row>
    <row r="236" ht="12.75" customHeight="1">
      <c r="A236" s="322"/>
      <c r="B236" s="327"/>
      <c r="C236" s="334"/>
      <c r="D236" s="334"/>
      <c r="E236" s="323"/>
      <c r="F236" s="326"/>
      <c r="G236" s="387"/>
      <c r="H236" s="387"/>
      <c r="I236" s="387"/>
      <c r="J236" s="322"/>
      <c r="K236" s="327"/>
      <c r="L236" s="334"/>
      <c r="M236" s="334"/>
      <c r="N236" s="323"/>
      <c r="O236" s="326"/>
    </row>
    <row r="237" ht="12.75" customHeight="1">
      <c r="A237" s="322"/>
      <c r="B237" s="327" t="s">
        <v>950</v>
      </c>
      <c r="C237" s="333" t="str">
        <f>C231-C233</f>
        <v>#REF!</v>
      </c>
      <c r="D237" s="321"/>
      <c r="E237" s="323"/>
      <c r="F237" s="326"/>
      <c r="G237" s="387"/>
      <c r="H237" s="387"/>
      <c r="I237" s="387"/>
      <c r="J237" s="322"/>
      <c r="K237" s="327" t="s">
        <v>950</v>
      </c>
      <c r="L237" s="333" t="str">
        <f>L231-L233</f>
        <v>#REF!</v>
      </c>
      <c r="M237" s="321"/>
      <c r="N237" s="323"/>
      <c r="O237" s="326"/>
    </row>
    <row r="238" ht="12.75" customHeight="1">
      <c r="A238" s="322"/>
      <c r="B238" s="322"/>
      <c r="C238" s="322"/>
      <c r="D238" s="322"/>
      <c r="E238" s="323"/>
      <c r="F238" s="324"/>
      <c r="G238" s="387"/>
      <c r="H238" s="387"/>
      <c r="I238" s="387"/>
      <c r="J238" s="322"/>
      <c r="K238" s="322"/>
      <c r="L238" s="322"/>
      <c r="M238" s="322"/>
      <c r="N238" s="323"/>
      <c r="O238" s="324"/>
    </row>
    <row r="239" ht="12.75" customHeight="1">
      <c r="A239" s="322"/>
      <c r="B239" s="322"/>
      <c r="C239" s="322"/>
      <c r="D239" s="322"/>
      <c r="E239" s="337"/>
      <c r="F239" s="324"/>
      <c r="G239" s="387"/>
      <c r="H239" s="387"/>
      <c r="I239" s="387"/>
      <c r="J239" s="322"/>
      <c r="K239" s="322"/>
      <c r="L239" s="322"/>
      <c r="M239" s="322"/>
      <c r="N239" s="337"/>
      <c r="O239" s="324"/>
    </row>
    <row r="240" ht="12.75" customHeight="1">
      <c r="A240" s="322"/>
      <c r="B240" s="338" t="s">
        <v>951</v>
      </c>
      <c r="C240" s="339"/>
      <c r="D240" s="339"/>
      <c r="E240" s="339"/>
      <c r="F240" s="324"/>
      <c r="G240" s="387"/>
      <c r="H240" s="387"/>
      <c r="I240" s="387"/>
      <c r="J240" s="322"/>
      <c r="K240" s="338" t="s">
        <v>951</v>
      </c>
      <c r="L240" s="339"/>
      <c r="M240" s="339"/>
      <c r="N240" s="339"/>
      <c r="O240" s="324"/>
    </row>
    <row r="241" ht="12.75" customHeight="1">
      <c r="A241" s="322"/>
      <c r="B241" s="340" t="s">
        <v>953</v>
      </c>
      <c r="C241" s="341" t="s">
        <v>954</v>
      </c>
      <c r="D241" s="341" t="s">
        <v>955</v>
      </c>
      <c r="E241" s="341" t="s">
        <v>35</v>
      </c>
      <c r="F241" s="324"/>
      <c r="G241" s="387"/>
      <c r="H241" s="387"/>
      <c r="I241" s="387"/>
      <c r="J241" s="322"/>
      <c r="K241" s="340" t="s">
        <v>953</v>
      </c>
      <c r="L241" s="341" t="s">
        <v>954</v>
      </c>
      <c r="M241" s="341" t="s">
        <v>955</v>
      </c>
      <c r="N241" s="341" t="s">
        <v>35</v>
      </c>
      <c r="O241" s="324"/>
    </row>
    <row r="242" ht="12.75" customHeight="1">
      <c r="A242" s="322"/>
      <c r="B242" s="60" t="s">
        <v>334</v>
      </c>
      <c r="C242" s="342">
        <v>1.0</v>
      </c>
      <c r="D242" s="343">
        <f>Prep!$D$32</f>
        <v>12991.335</v>
      </c>
      <c r="E242" s="67">
        <f t="shared" ref="E242:E244" si="21">IF(OR(ISBLANK(C242),ISBLANK(D242)),"",D242*C242)</f>
        <v>12991.335</v>
      </c>
      <c r="F242" s="324"/>
      <c r="G242" s="387"/>
      <c r="H242" s="387"/>
      <c r="I242" s="387"/>
      <c r="J242" s="322"/>
      <c r="K242" s="60" t="s">
        <v>804</v>
      </c>
      <c r="L242" s="342">
        <v>0.1</v>
      </c>
      <c r="M242" s="343">
        <f>'F&amp;B'!$F$197</f>
        <v>51750</v>
      </c>
      <c r="N242" s="67">
        <f t="shared" ref="N242:N244" si="22">IF(OR(ISBLANK(L242),ISBLANK(M242)),"",M242*L242)</f>
        <v>5175</v>
      </c>
      <c r="O242" s="324"/>
    </row>
    <row r="243" ht="12.75" customHeight="1">
      <c r="A243" s="322"/>
      <c r="B243" s="75" t="s">
        <v>1480</v>
      </c>
      <c r="C243" s="370">
        <v>0.04</v>
      </c>
      <c r="D243" s="371">
        <f>'F&amp;B'!$F$105/5</f>
        <v>36963</v>
      </c>
      <c r="E243" s="67">
        <f t="shared" si="21"/>
        <v>1478.52</v>
      </c>
      <c r="F243" s="324"/>
      <c r="G243" s="387"/>
      <c r="H243" s="387"/>
      <c r="I243" s="387"/>
      <c r="J243" s="322"/>
      <c r="K243" s="75" t="s">
        <v>1482</v>
      </c>
      <c r="L243" s="346">
        <v>0.1</v>
      </c>
      <c r="M243" s="371">
        <f>'F&amp;B'!$F$123</f>
        <v>9000</v>
      </c>
      <c r="N243" s="67">
        <f t="shared" si="22"/>
        <v>900</v>
      </c>
      <c r="O243" s="324"/>
    </row>
    <row r="244" ht="12.75" customHeight="1">
      <c r="A244" s="322"/>
      <c r="B244" s="87" t="s">
        <v>904</v>
      </c>
      <c r="C244" s="412">
        <v>0.04</v>
      </c>
      <c r="D244" s="536">
        <f>'F&amp;B'!$F$111/1.2</f>
        <v>56250</v>
      </c>
      <c r="E244" s="67">
        <f t="shared" si="21"/>
        <v>2250</v>
      </c>
      <c r="F244" s="324"/>
      <c r="G244" s="387"/>
      <c r="H244" s="387"/>
      <c r="I244" s="387"/>
      <c r="J244" s="322"/>
      <c r="K244" s="87" t="s">
        <v>904</v>
      </c>
      <c r="L244" s="412">
        <v>0.04</v>
      </c>
      <c r="M244" s="536">
        <f>'F&amp;B'!$F$111/1.2</f>
        <v>56250</v>
      </c>
      <c r="N244" s="67">
        <f t="shared" si="22"/>
        <v>2250</v>
      </c>
      <c r="O244" s="324"/>
    </row>
    <row r="245" ht="12.75" customHeight="1">
      <c r="A245" s="322"/>
      <c r="B245" s="338" t="s">
        <v>84</v>
      </c>
      <c r="C245" s="358"/>
      <c r="D245" s="358"/>
      <c r="E245" s="359">
        <f>IF(SUM(E242:E244)=0,"",SUM(E242:E244))</f>
        <v>16719.855</v>
      </c>
      <c r="F245" s="324"/>
      <c r="G245" s="387"/>
      <c r="H245" s="387"/>
      <c r="I245" s="387"/>
      <c r="J245" s="322"/>
      <c r="K245" s="338" t="s">
        <v>84</v>
      </c>
      <c r="L245" s="358"/>
      <c r="M245" s="358"/>
      <c r="N245" s="359">
        <f>IF(SUM(N242:N244)=0,"",SUM(N242:N244))</f>
        <v>8325</v>
      </c>
      <c r="O245" s="324"/>
    </row>
    <row r="246" ht="12.75" customHeight="1">
      <c r="A246" s="322"/>
      <c r="B246" s="360"/>
      <c r="C246" s="360"/>
      <c r="D246" s="360"/>
      <c r="E246" s="361"/>
      <c r="F246" s="324"/>
      <c r="G246" s="387"/>
      <c r="H246" s="387"/>
      <c r="I246" s="387"/>
      <c r="J246" s="322"/>
      <c r="K246" s="360"/>
      <c r="L246" s="360"/>
      <c r="M246" s="360"/>
      <c r="N246" s="361"/>
      <c r="O246" s="324"/>
    </row>
    <row r="247" ht="12.75" customHeight="1">
      <c r="A247" s="322"/>
      <c r="B247" s="362" t="s">
        <v>972</v>
      </c>
      <c r="C247" s="363"/>
      <c r="D247" s="363"/>
      <c r="E247" s="363"/>
      <c r="F247" s="324"/>
      <c r="G247" s="387"/>
      <c r="H247" s="387"/>
      <c r="I247" s="387"/>
      <c r="J247" s="322"/>
      <c r="K247" s="362" t="s">
        <v>972</v>
      </c>
      <c r="L247" s="363"/>
      <c r="M247" s="363"/>
      <c r="N247" s="363"/>
      <c r="O247" s="324"/>
    </row>
    <row r="248" ht="12.75" customHeight="1">
      <c r="A248" s="322"/>
      <c r="B248" s="365" t="s">
        <v>953</v>
      </c>
      <c r="C248" s="366" t="s">
        <v>3</v>
      </c>
      <c r="D248" s="366" t="s">
        <v>975</v>
      </c>
      <c r="E248" s="367" t="s">
        <v>35</v>
      </c>
      <c r="F248" s="324"/>
      <c r="G248" s="387"/>
      <c r="H248" s="387"/>
      <c r="I248" s="387"/>
      <c r="J248" s="322"/>
      <c r="K248" s="365" t="s">
        <v>953</v>
      </c>
      <c r="L248" s="366" t="s">
        <v>3</v>
      </c>
      <c r="M248" s="366" t="s">
        <v>975</v>
      </c>
      <c r="N248" s="367" t="s">
        <v>35</v>
      </c>
      <c r="O248" s="324"/>
    </row>
    <row r="249" ht="12.75" customHeight="1">
      <c r="A249" s="322"/>
      <c r="B249" s="368"/>
      <c r="C249" s="366"/>
      <c r="D249" s="366"/>
      <c r="E249" s="368"/>
      <c r="F249" s="324"/>
      <c r="G249" s="387"/>
      <c r="H249" s="387"/>
      <c r="I249" s="387"/>
      <c r="J249" s="322"/>
      <c r="K249" s="368"/>
      <c r="L249" s="366"/>
      <c r="M249" s="366"/>
      <c r="N249" s="368"/>
      <c r="O249" s="324"/>
    </row>
    <row r="250" ht="12.75" customHeight="1">
      <c r="A250" s="322"/>
      <c r="B250" s="60" t="s">
        <v>1489</v>
      </c>
      <c r="C250" s="342">
        <v>0.02</v>
      </c>
      <c r="D250" s="343">
        <f>'F&amp;B'!$F$313*1.2</f>
        <v>10800</v>
      </c>
      <c r="E250" s="67">
        <f t="shared" ref="E250:E259" si="23">D250*C250</f>
        <v>216</v>
      </c>
      <c r="F250" s="324"/>
      <c r="G250" s="387"/>
      <c r="H250" s="387"/>
      <c r="I250" s="387"/>
      <c r="J250" s="322"/>
      <c r="K250" s="75" t="s">
        <v>1480</v>
      </c>
      <c r="L250" s="370">
        <v>0.04</v>
      </c>
      <c r="M250" s="371">
        <f>'F&amp;B'!$F$105/5</f>
        <v>36963</v>
      </c>
      <c r="N250" s="67">
        <f>IF(OR(ISBLANK(L250),ISBLANK(M250)),"",M250*L250)</f>
        <v>1478.52</v>
      </c>
      <c r="O250" s="324"/>
    </row>
    <row r="251" ht="12.75" customHeight="1">
      <c r="A251" s="322"/>
      <c r="B251" s="75" t="s">
        <v>1490</v>
      </c>
      <c r="C251" s="370">
        <v>0.004</v>
      </c>
      <c r="D251" s="371">
        <f>'F&amp;B'!$F$138</f>
        <v>103500</v>
      </c>
      <c r="E251" s="67">
        <f t="shared" si="23"/>
        <v>414</v>
      </c>
      <c r="F251" s="324"/>
      <c r="G251" s="387"/>
      <c r="H251" s="387"/>
      <c r="I251" s="387"/>
      <c r="J251" s="322"/>
      <c r="K251" s="75" t="s">
        <v>1490</v>
      </c>
      <c r="L251" s="370">
        <v>0.004</v>
      </c>
      <c r="M251" s="371">
        <f>'F&amp;B'!$F$138</f>
        <v>103500</v>
      </c>
      <c r="N251" s="67">
        <f t="shared" ref="N251:N259" si="24">M251*L251</f>
        <v>414</v>
      </c>
      <c r="O251" s="324"/>
    </row>
    <row r="252" ht="12.75" customHeight="1">
      <c r="A252" s="322"/>
      <c r="B252" s="75"/>
      <c r="C252" s="370"/>
      <c r="D252" s="371"/>
      <c r="E252" s="67">
        <f t="shared" si="23"/>
        <v>0</v>
      </c>
      <c r="F252" s="324"/>
      <c r="G252" s="387"/>
      <c r="H252" s="387"/>
      <c r="I252" s="387"/>
      <c r="J252" s="322"/>
      <c r="K252" s="75"/>
      <c r="L252" s="370"/>
      <c r="M252" s="371"/>
      <c r="N252" s="67">
        <f t="shared" si="24"/>
        <v>0</v>
      </c>
      <c r="O252" s="324"/>
    </row>
    <row r="253" ht="12.75" customHeight="1">
      <c r="A253" s="322"/>
      <c r="B253" s="75"/>
      <c r="C253" s="346"/>
      <c r="D253" s="371"/>
      <c r="E253" s="67">
        <f t="shared" si="23"/>
        <v>0</v>
      </c>
      <c r="F253" s="324"/>
      <c r="G253" s="387"/>
      <c r="H253" s="387"/>
      <c r="I253" s="387"/>
      <c r="J253" s="322"/>
      <c r="K253" s="75"/>
      <c r="L253" s="346"/>
      <c r="M253" s="371"/>
      <c r="N253" s="67">
        <f t="shared" si="24"/>
        <v>0</v>
      </c>
      <c r="O253" s="324"/>
    </row>
    <row r="254" ht="12.75" customHeight="1">
      <c r="A254" s="322"/>
      <c r="B254" s="75"/>
      <c r="C254" s="346"/>
      <c r="D254" s="371"/>
      <c r="E254" s="67">
        <f t="shared" si="23"/>
        <v>0</v>
      </c>
      <c r="F254" s="324"/>
      <c r="G254" s="387"/>
      <c r="H254" s="387"/>
      <c r="I254" s="387"/>
      <c r="J254" s="322"/>
      <c r="K254" s="75"/>
      <c r="L254" s="346"/>
      <c r="M254" s="371"/>
      <c r="N254" s="67">
        <f t="shared" si="24"/>
        <v>0</v>
      </c>
      <c r="O254" s="324"/>
    </row>
    <row r="255" ht="12.75" customHeight="1">
      <c r="A255" s="322"/>
      <c r="B255" s="75"/>
      <c r="C255" s="346"/>
      <c r="D255" s="373"/>
      <c r="E255" s="67">
        <f t="shared" si="23"/>
        <v>0</v>
      </c>
      <c r="F255" s="324"/>
      <c r="G255" s="387"/>
      <c r="H255" s="387"/>
      <c r="I255" s="387"/>
      <c r="J255" s="322"/>
      <c r="K255" s="75"/>
      <c r="L255" s="346"/>
      <c r="M255" s="373"/>
      <c r="N255" s="67">
        <f t="shared" si="24"/>
        <v>0</v>
      </c>
      <c r="O255" s="324"/>
    </row>
    <row r="256" ht="12.75" customHeight="1">
      <c r="A256" s="322"/>
      <c r="B256" s="348"/>
      <c r="C256" s="346"/>
      <c r="D256" s="373"/>
      <c r="E256" s="67">
        <f t="shared" si="23"/>
        <v>0</v>
      </c>
      <c r="F256" s="324"/>
      <c r="G256" s="387"/>
      <c r="H256" s="387"/>
      <c r="I256" s="387"/>
      <c r="J256" s="322"/>
      <c r="K256" s="348"/>
      <c r="L256" s="346"/>
      <c r="M256" s="373"/>
      <c r="N256" s="67">
        <f t="shared" si="24"/>
        <v>0</v>
      </c>
      <c r="O256" s="324"/>
    </row>
    <row r="257" ht="12.75" customHeight="1">
      <c r="A257" s="322"/>
      <c r="B257" s="348"/>
      <c r="C257" s="346"/>
      <c r="D257" s="373"/>
      <c r="E257" s="67">
        <f t="shared" si="23"/>
        <v>0</v>
      </c>
      <c r="F257" s="324"/>
      <c r="G257" s="387"/>
      <c r="H257" s="387"/>
      <c r="I257" s="387"/>
      <c r="J257" s="322"/>
      <c r="K257" s="348"/>
      <c r="L257" s="346"/>
      <c r="M257" s="373"/>
      <c r="N257" s="67">
        <f t="shared" si="24"/>
        <v>0</v>
      </c>
      <c r="O257" s="324"/>
    </row>
    <row r="258" ht="12.75" customHeight="1">
      <c r="A258" s="322"/>
      <c r="B258" s="348"/>
      <c r="C258" s="346"/>
      <c r="D258" s="373"/>
      <c r="E258" s="67">
        <f t="shared" si="23"/>
        <v>0</v>
      </c>
      <c r="F258" s="324"/>
      <c r="G258" s="387"/>
      <c r="H258" s="387"/>
      <c r="I258" s="387"/>
      <c r="J258" s="322"/>
      <c r="K258" s="348"/>
      <c r="L258" s="346"/>
      <c r="M258" s="373"/>
      <c r="N258" s="67">
        <f t="shared" si="24"/>
        <v>0</v>
      </c>
      <c r="O258" s="324"/>
    </row>
    <row r="259" ht="12.75" customHeight="1">
      <c r="A259" s="322"/>
      <c r="B259" s="354"/>
      <c r="C259" s="355"/>
      <c r="D259" s="356"/>
      <c r="E259" s="67">
        <f t="shared" si="23"/>
        <v>0</v>
      </c>
      <c r="F259" s="324"/>
      <c r="G259" s="387"/>
      <c r="H259" s="387"/>
      <c r="I259" s="387"/>
      <c r="J259" s="322"/>
      <c r="K259" s="354"/>
      <c r="L259" s="355"/>
      <c r="M259" s="356"/>
      <c r="N259" s="67">
        <f t="shared" si="24"/>
        <v>0</v>
      </c>
      <c r="O259" s="324"/>
    </row>
    <row r="260" ht="12.75" customHeight="1">
      <c r="A260" s="322"/>
      <c r="B260" s="362" t="s">
        <v>84</v>
      </c>
      <c r="C260" s="374"/>
      <c r="D260" s="374"/>
      <c r="E260" s="375">
        <f>IF(SUM(E250:E259)=0,"",SUM(E250:E259))</f>
        <v>630</v>
      </c>
      <c r="F260" s="324"/>
      <c r="G260" s="387"/>
      <c r="H260" s="387"/>
      <c r="I260" s="387"/>
      <c r="J260" s="322"/>
      <c r="K260" s="362" t="s">
        <v>84</v>
      </c>
      <c r="L260" s="374"/>
      <c r="M260" s="374"/>
      <c r="N260" s="375">
        <f>IF(SUM(N250:N259)=0,"",SUM(N250:N259))</f>
        <v>1892.52</v>
      </c>
      <c r="O260" s="324"/>
    </row>
    <row r="261" ht="12.75" customHeight="1">
      <c r="A261" s="322"/>
      <c r="B261" s="360"/>
      <c r="C261" s="360"/>
      <c r="D261" s="360"/>
      <c r="E261" s="361"/>
      <c r="F261" s="324"/>
      <c r="G261" s="387"/>
      <c r="H261" s="387"/>
      <c r="I261" s="387"/>
      <c r="J261" s="322"/>
      <c r="K261" s="360"/>
      <c r="L261" s="360"/>
      <c r="M261" s="360"/>
      <c r="N261" s="361"/>
      <c r="O261" s="324"/>
    </row>
    <row r="262" ht="12.75" customHeight="1">
      <c r="A262" s="322"/>
      <c r="B262" s="34" t="s">
        <v>17</v>
      </c>
      <c r="C262" s="35"/>
      <c r="D262" s="35"/>
      <c r="E262" s="35"/>
      <c r="F262" s="324"/>
      <c r="G262" s="387"/>
      <c r="H262" s="387"/>
      <c r="I262" s="387"/>
      <c r="J262" s="322"/>
      <c r="K262" s="34" t="s">
        <v>17</v>
      </c>
      <c r="L262" s="35"/>
      <c r="M262" s="35"/>
      <c r="N262" s="35"/>
      <c r="O262" s="324"/>
    </row>
    <row r="263" ht="12.75" customHeight="1">
      <c r="A263" s="322"/>
      <c r="B263" s="52" t="s">
        <v>42</v>
      </c>
      <c r="C263" s="54"/>
      <c r="D263" s="54"/>
      <c r="E263" s="56" t="s">
        <v>35</v>
      </c>
      <c r="F263" s="324"/>
      <c r="G263" s="387"/>
      <c r="H263" s="387"/>
      <c r="I263" s="387"/>
      <c r="J263" s="322"/>
      <c r="K263" s="52" t="s">
        <v>42</v>
      </c>
      <c r="L263" s="54"/>
      <c r="M263" s="54"/>
      <c r="N263" s="56" t="s">
        <v>35</v>
      </c>
      <c r="O263" s="324"/>
    </row>
    <row r="264" ht="12.75" customHeight="1">
      <c r="A264" s="322"/>
      <c r="B264" s="60" t="s">
        <v>40</v>
      </c>
      <c r="C264" s="343">
        <f>'UTL COST'!$B$3</f>
        <v>369000</v>
      </c>
      <c r="D264" s="379">
        <f>'UTL COST'!$C$3</f>
        <v>0.0075</v>
      </c>
      <c r="E264" s="67">
        <v>0.0</v>
      </c>
      <c r="F264" s="324"/>
      <c r="G264" s="387"/>
      <c r="H264" s="387"/>
      <c r="I264" s="387"/>
      <c r="J264" s="322"/>
      <c r="K264" s="60" t="s">
        <v>40</v>
      </c>
      <c r="L264" s="343">
        <f>'UTL COST'!$B$3</f>
        <v>369000</v>
      </c>
      <c r="M264" s="379">
        <f>'UTL COST'!$C$3</f>
        <v>0.0075</v>
      </c>
      <c r="N264" s="67">
        <v>0.0</v>
      </c>
      <c r="O264" s="324"/>
    </row>
    <row r="265" ht="12.75" customHeight="1">
      <c r="A265" s="322"/>
      <c r="B265" s="75" t="s">
        <v>51</v>
      </c>
      <c r="C265" s="371" t="str">
        <f>'UTL COST'!$B$4</f>
        <v>#REF!</v>
      </c>
      <c r="D265" s="382">
        <f>'UTL COST'!$C$4</f>
        <v>7000</v>
      </c>
      <c r="E265" s="76" t="str">
        <f>'UTL COST'!$D$4</f>
        <v>#REF!</v>
      </c>
      <c r="F265" s="324"/>
      <c r="G265" s="387"/>
      <c r="H265" s="387"/>
      <c r="I265" s="387"/>
      <c r="J265" s="322"/>
      <c r="K265" s="75" t="s">
        <v>51</v>
      </c>
      <c r="L265" s="371" t="str">
        <f>'UTL COST'!$B$4</f>
        <v>#REF!</v>
      </c>
      <c r="M265" s="382">
        <f>'UTL COST'!$C$4</f>
        <v>7000</v>
      </c>
      <c r="N265" s="76">
        <v>0.0</v>
      </c>
      <c r="O265" s="324"/>
    </row>
    <row r="266" ht="12.75" customHeight="1">
      <c r="A266" s="322"/>
      <c r="B266" s="75" t="s">
        <v>59</v>
      </c>
      <c r="C266" s="371" t="str">
        <f>'UTL COST'!$B$5</f>
        <v>#REF!</v>
      </c>
      <c r="D266" s="382">
        <f>'UTL COST'!$C$5</f>
        <v>45000</v>
      </c>
      <c r="E266" s="76" t="str">
        <f>'UTL COST'!$D$5</f>
        <v>#REF!</v>
      </c>
      <c r="F266" s="324"/>
      <c r="G266" s="387"/>
      <c r="H266" s="387"/>
      <c r="I266" s="387"/>
      <c r="J266" s="322"/>
      <c r="K266" s="75" t="s">
        <v>59</v>
      </c>
      <c r="L266" s="371" t="str">
        <f>'UTL COST'!$B$5</f>
        <v>#REF!</v>
      </c>
      <c r="M266" s="382">
        <f>'UTL COST'!$C$5</f>
        <v>45000</v>
      </c>
      <c r="N266" s="76" t="str">
        <f>'UTL COST'!$D$5</f>
        <v>#REF!</v>
      </c>
      <c r="O266" s="324"/>
    </row>
    <row r="267" ht="12.75" customHeight="1">
      <c r="A267" s="322"/>
      <c r="B267" s="87" t="s">
        <v>78</v>
      </c>
      <c r="C267" s="371" t="str">
        <f>'UTL COST'!$B$6</f>
        <v>#REF!</v>
      </c>
      <c r="D267" s="383">
        <f>'UTL COST'!$C$6</f>
        <v>525</v>
      </c>
      <c r="E267" s="89">
        <v>0.1</v>
      </c>
      <c r="F267" s="324"/>
      <c r="G267" s="387"/>
      <c r="H267" s="387"/>
      <c r="I267" s="387"/>
      <c r="J267" s="322"/>
      <c r="K267" s="87" t="s">
        <v>78</v>
      </c>
      <c r="L267" s="371" t="str">
        <f>'UTL COST'!$B$6</f>
        <v>#REF!</v>
      </c>
      <c r="M267" s="383">
        <f>'UTL COST'!$C$6</f>
        <v>525</v>
      </c>
      <c r="N267" s="89">
        <v>0.1</v>
      </c>
      <c r="O267" s="324"/>
    </row>
    <row r="268" ht="12.75" customHeight="1">
      <c r="A268" s="322"/>
      <c r="B268" s="34" t="s">
        <v>84</v>
      </c>
      <c r="C268" s="102"/>
      <c r="D268" s="102"/>
      <c r="E268" s="104" t="str">
        <f>IF(SUM(E264:E267)=0,"",SUM(E264:E267))</f>
        <v>#REF!</v>
      </c>
      <c r="F268" s="324"/>
      <c r="G268" s="387"/>
      <c r="H268" s="387"/>
      <c r="I268" s="387"/>
      <c r="J268" s="322"/>
      <c r="K268" s="34" t="s">
        <v>84</v>
      </c>
      <c r="L268" s="102"/>
      <c r="M268" s="102"/>
      <c r="N268" s="104" t="str">
        <f>IF(SUM(N264:N267)=0,"",SUM(N264:N267))</f>
        <v>#REF!</v>
      </c>
      <c r="O268" s="324"/>
    </row>
    <row r="269" ht="12.75" customHeight="1">
      <c r="A269" s="322"/>
      <c r="B269" s="360"/>
      <c r="C269" s="360"/>
      <c r="D269" s="360"/>
      <c r="E269" s="361"/>
      <c r="F269" s="324"/>
      <c r="G269" s="387"/>
      <c r="H269" s="387"/>
      <c r="I269" s="387"/>
      <c r="J269" s="322"/>
      <c r="K269" s="360"/>
      <c r="L269" s="360"/>
      <c r="M269" s="360"/>
      <c r="N269" s="361"/>
      <c r="O269" s="324"/>
    </row>
    <row r="270" ht="12.75" customHeight="1">
      <c r="A270" s="387"/>
      <c r="B270" s="387"/>
      <c r="C270" s="387"/>
      <c r="D270" s="387"/>
      <c r="E270" s="418"/>
      <c r="F270" s="387"/>
      <c r="G270" s="387"/>
      <c r="H270" s="387"/>
      <c r="I270" s="387"/>
      <c r="J270" s="387"/>
      <c r="K270" s="387"/>
      <c r="L270" s="387"/>
      <c r="M270" s="387"/>
      <c r="N270" s="387"/>
      <c r="O270" s="387"/>
    </row>
    <row r="271" ht="12.75" customHeight="1">
      <c r="A271" s="387"/>
      <c r="B271" s="387"/>
      <c r="C271" s="387"/>
      <c r="D271" s="387"/>
      <c r="E271" s="418"/>
      <c r="F271" s="387"/>
      <c r="G271" s="387"/>
      <c r="H271" s="387"/>
      <c r="I271" s="387"/>
      <c r="J271" s="387"/>
      <c r="K271" s="387"/>
      <c r="L271" s="387"/>
      <c r="M271" s="387"/>
      <c r="N271" s="387"/>
      <c r="O271" s="387"/>
    </row>
    <row r="272" ht="12.75" customHeight="1">
      <c r="A272" s="322"/>
      <c r="B272" s="322"/>
      <c r="C272" s="322"/>
      <c r="D272" s="322"/>
      <c r="E272" s="323"/>
      <c r="F272" s="324"/>
      <c r="G272" s="387"/>
      <c r="H272" s="387"/>
      <c r="I272" s="387"/>
      <c r="J272" s="322"/>
      <c r="K272" s="322"/>
      <c r="L272" s="322"/>
      <c r="M272" s="322"/>
      <c r="N272" s="323"/>
      <c r="O272" s="324"/>
    </row>
    <row r="273" ht="12.75" customHeight="1">
      <c r="A273" s="322"/>
      <c r="B273" s="325"/>
      <c r="C273" s="322"/>
      <c r="D273" s="322"/>
      <c r="E273" s="323"/>
      <c r="F273" s="326"/>
      <c r="G273" s="387"/>
      <c r="H273" s="387"/>
      <c r="I273" s="387"/>
      <c r="J273" s="322"/>
      <c r="K273" s="325"/>
      <c r="L273" s="322"/>
      <c r="M273" s="322"/>
      <c r="N273" s="323"/>
      <c r="O273" s="326"/>
    </row>
    <row r="274" ht="12.75" customHeight="1">
      <c r="A274" s="322"/>
      <c r="B274" s="327" t="s">
        <v>931</v>
      </c>
      <c r="C274" s="328" t="s">
        <v>813</v>
      </c>
      <c r="D274" s="329"/>
      <c r="E274" s="323"/>
      <c r="F274" s="326"/>
      <c r="G274" s="387"/>
      <c r="H274" s="387"/>
      <c r="I274" s="387"/>
      <c r="J274" s="322"/>
      <c r="K274" s="327" t="s">
        <v>931</v>
      </c>
      <c r="L274" s="328" t="s">
        <v>830</v>
      </c>
      <c r="M274" s="329"/>
      <c r="N274" s="323"/>
      <c r="O274" s="326"/>
    </row>
    <row r="275" ht="12.75" customHeight="1">
      <c r="A275" s="322"/>
      <c r="B275" s="325"/>
      <c r="C275" s="322"/>
      <c r="D275" s="322"/>
      <c r="E275" s="323"/>
      <c r="F275" s="326"/>
      <c r="G275" s="387"/>
      <c r="H275" s="387"/>
      <c r="I275" s="387"/>
      <c r="J275" s="322"/>
      <c r="K275" s="325"/>
      <c r="L275" s="322"/>
      <c r="M275" s="322"/>
      <c r="N275" s="323"/>
      <c r="O275" s="326"/>
    </row>
    <row r="276" ht="12.75" customHeight="1">
      <c r="A276" s="322"/>
      <c r="B276" s="327" t="s">
        <v>935</v>
      </c>
      <c r="C276" s="331">
        <v>170000.0</v>
      </c>
      <c r="D276" s="329"/>
      <c r="E276" s="323"/>
      <c r="F276" s="326"/>
      <c r="G276" s="387"/>
      <c r="H276" s="387"/>
      <c r="I276" s="387"/>
      <c r="J276" s="322"/>
      <c r="K276" s="327" t="s">
        <v>935</v>
      </c>
      <c r="L276" s="331">
        <v>115000.0</v>
      </c>
      <c r="M276" s="329"/>
      <c r="N276" s="323"/>
      <c r="O276" s="326"/>
    </row>
    <row r="277" ht="12.75" customHeight="1">
      <c r="A277" s="322"/>
      <c r="B277" s="327"/>
      <c r="C277" s="332"/>
      <c r="D277" s="332"/>
      <c r="E277" s="323"/>
      <c r="F277" s="326"/>
      <c r="G277" s="387"/>
      <c r="H277" s="387"/>
      <c r="I277" s="387"/>
      <c r="J277" s="322"/>
      <c r="K277" s="327"/>
      <c r="L277" s="332"/>
      <c r="M277" s="332"/>
      <c r="N277" s="323"/>
      <c r="O277" s="326"/>
    </row>
    <row r="278" ht="12.75" customHeight="1">
      <c r="A278" s="322"/>
      <c r="B278" s="327" t="s">
        <v>939</v>
      </c>
      <c r="C278" s="333" t="str">
        <f>IF(SUM(E290,E305,E313)=0,"",SUM(E290,E305,E313))</f>
        <v>#REF!</v>
      </c>
      <c r="D278" s="321"/>
      <c r="E278" s="323"/>
      <c r="F278" s="326"/>
      <c r="G278" s="387"/>
      <c r="H278" s="387"/>
      <c r="I278" s="387"/>
      <c r="J278" s="322"/>
      <c r="K278" s="327" t="s">
        <v>939</v>
      </c>
      <c r="L278" s="333" t="str">
        <f>IF(SUM(N290,N305,N313)=0,"",SUM(N290,N305,N313))</f>
        <v>#REF!</v>
      </c>
      <c r="M278" s="321"/>
      <c r="N278" s="323"/>
      <c r="O278" s="326"/>
    </row>
    <row r="279" ht="12.75" customHeight="1">
      <c r="A279" s="322"/>
      <c r="B279" s="327"/>
      <c r="C279" s="334"/>
      <c r="D279" s="334"/>
      <c r="E279" s="323"/>
      <c r="F279" s="326"/>
      <c r="G279" s="387"/>
      <c r="H279" s="387"/>
      <c r="I279" s="387"/>
      <c r="J279" s="322"/>
      <c r="K279" s="327"/>
      <c r="L279" s="334"/>
      <c r="M279" s="334"/>
      <c r="N279" s="323"/>
      <c r="O279" s="326"/>
    </row>
    <row r="280" ht="12.75" customHeight="1">
      <c r="A280" s="322"/>
      <c r="B280" s="327" t="s">
        <v>946</v>
      </c>
      <c r="C280" s="335" t="str">
        <f>IF(C278="","",IF(ISBLANK(C276),"",C278/C276))</f>
        <v>#REF!</v>
      </c>
      <c r="D280" s="321"/>
      <c r="E280" s="323"/>
      <c r="F280" s="326"/>
      <c r="G280" s="387"/>
      <c r="H280" s="387"/>
      <c r="I280" s="387"/>
      <c r="J280" s="322"/>
      <c r="K280" s="327" t="s">
        <v>946</v>
      </c>
      <c r="L280" s="335" t="str">
        <f>IF(L278="","",IF(ISBLANK(L276),"",L278/L276))</f>
        <v>#REF!</v>
      </c>
      <c r="M280" s="321"/>
      <c r="N280" s="323"/>
      <c r="O280" s="326"/>
    </row>
    <row r="281" ht="12.75" customHeight="1">
      <c r="A281" s="322"/>
      <c r="B281" s="327"/>
      <c r="C281" s="334"/>
      <c r="D281" s="334"/>
      <c r="E281" s="323"/>
      <c r="F281" s="326"/>
      <c r="G281" s="387"/>
      <c r="H281" s="387"/>
      <c r="I281" s="387"/>
      <c r="J281" s="322"/>
      <c r="K281" s="327"/>
      <c r="L281" s="334"/>
      <c r="M281" s="334"/>
      <c r="N281" s="323"/>
      <c r="O281" s="326"/>
    </row>
    <row r="282" ht="12.75" customHeight="1">
      <c r="A282" s="322"/>
      <c r="B282" s="327" t="s">
        <v>950</v>
      </c>
      <c r="C282" s="333" t="str">
        <f>C276-C278</f>
        <v>#REF!</v>
      </c>
      <c r="D282" s="321"/>
      <c r="E282" s="323"/>
      <c r="F282" s="326"/>
      <c r="G282" s="387"/>
      <c r="H282" s="387"/>
      <c r="I282" s="387"/>
      <c r="J282" s="322"/>
      <c r="K282" s="327" t="s">
        <v>950</v>
      </c>
      <c r="L282" s="333" t="str">
        <f>L276-L278</f>
        <v>#REF!</v>
      </c>
      <c r="M282" s="321"/>
      <c r="N282" s="323"/>
      <c r="O282" s="326"/>
    </row>
    <row r="283" ht="12.75" customHeight="1">
      <c r="A283" s="322"/>
      <c r="B283" s="322"/>
      <c r="C283" s="322"/>
      <c r="D283" s="322"/>
      <c r="E283" s="323"/>
      <c r="F283" s="324"/>
      <c r="G283" s="387"/>
      <c r="H283" s="387"/>
      <c r="I283" s="387"/>
      <c r="J283" s="322"/>
      <c r="K283" s="322"/>
      <c r="L283" s="322"/>
      <c r="M283" s="322"/>
      <c r="N283" s="323"/>
      <c r="O283" s="324"/>
    </row>
    <row r="284" ht="12.75" customHeight="1">
      <c r="A284" s="322"/>
      <c r="B284" s="322"/>
      <c r="C284" s="322"/>
      <c r="D284" s="322"/>
      <c r="E284" s="337"/>
      <c r="F284" s="324"/>
      <c r="G284" s="387"/>
      <c r="H284" s="387"/>
      <c r="I284" s="387"/>
      <c r="J284" s="322"/>
      <c r="K284" s="322"/>
      <c r="L284" s="322"/>
      <c r="M284" s="322"/>
      <c r="N284" s="337"/>
      <c r="O284" s="324"/>
    </row>
    <row r="285" ht="12.75" customHeight="1">
      <c r="A285" s="322"/>
      <c r="B285" s="338" t="s">
        <v>951</v>
      </c>
      <c r="C285" s="339"/>
      <c r="D285" s="339"/>
      <c r="E285" s="339"/>
      <c r="F285" s="324"/>
      <c r="G285" s="387"/>
      <c r="H285" s="387"/>
      <c r="I285" s="387"/>
      <c r="J285" s="322"/>
      <c r="K285" s="338" t="s">
        <v>951</v>
      </c>
      <c r="L285" s="339"/>
      <c r="M285" s="339"/>
      <c r="N285" s="339"/>
      <c r="O285" s="324"/>
    </row>
    <row r="286" ht="12.75" customHeight="1">
      <c r="A286" s="322"/>
      <c r="B286" s="340" t="s">
        <v>953</v>
      </c>
      <c r="C286" s="341" t="s">
        <v>954</v>
      </c>
      <c r="D286" s="341" t="s">
        <v>955</v>
      </c>
      <c r="E286" s="341" t="s">
        <v>35</v>
      </c>
      <c r="F286" s="324"/>
      <c r="G286" s="387"/>
      <c r="H286" s="387"/>
      <c r="I286" s="387"/>
      <c r="J286" s="322"/>
      <c r="K286" s="340" t="s">
        <v>953</v>
      </c>
      <c r="L286" s="341" t="s">
        <v>954</v>
      </c>
      <c r="M286" s="341" t="s">
        <v>955</v>
      </c>
      <c r="N286" s="341" t="s">
        <v>35</v>
      </c>
      <c r="O286" s="324"/>
    </row>
    <row r="287" ht="12.75" customHeight="1">
      <c r="A287" s="322"/>
      <c r="B287" s="60" t="s">
        <v>334</v>
      </c>
      <c r="C287" s="342">
        <v>1.0</v>
      </c>
      <c r="D287" s="343">
        <f>Prep!$D$32</f>
        <v>12991.335</v>
      </c>
      <c r="E287" s="67">
        <f t="shared" ref="E287:E289" si="25">IF(OR(ISBLANK(C287),ISBLANK(D287)),"",D287*C287)</f>
        <v>12991.335</v>
      </c>
      <c r="F287" s="324"/>
      <c r="G287" s="387"/>
      <c r="H287" s="387"/>
      <c r="I287" s="387"/>
      <c r="J287" s="322"/>
      <c r="K287" s="60" t="s">
        <v>494</v>
      </c>
      <c r="L287" s="342">
        <v>1.0</v>
      </c>
      <c r="M287" s="343">
        <f>Prep!$J$64</f>
        <v>2138.95</v>
      </c>
      <c r="N287" s="67">
        <f t="shared" ref="N287:N288" si="26">IF(OR(ISBLANK(L287),ISBLANK(M287)),"",M287*L287)</f>
        <v>2138.95</v>
      </c>
      <c r="O287" s="324"/>
    </row>
    <row r="288" ht="12.75" customHeight="1">
      <c r="A288" s="322"/>
      <c r="B288" s="75" t="s">
        <v>1480</v>
      </c>
      <c r="C288" s="370">
        <v>0.04</v>
      </c>
      <c r="D288" s="371">
        <f>'F&amp;B'!$F$105/5</f>
        <v>36963</v>
      </c>
      <c r="E288" s="67">
        <f t="shared" si="25"/>
        <v>1478.52</v>
      </c>
      <c r="F288" s="324"/>
      <c r="G288" s="387"/>
      <c r="H288" s="387"/>
      <c r="I288" s="387"/>
      <c r="J288" s="322"/>
      <c r="K288" s="75" t="s">
        <v>850</v>
      </c>
      <c r="L288" s="370">
        <v>0.12</v>
      </c>
      <c r="M288" s="371">
        <f>'F&amp;B'!F99/12</f>
        <v>63000</v>
      </c>
      <c r="N288" s="67">
        <f t="shared" si="26"/>
        <v>7560</v>
      </c>
      <c r="O288" s="324"/>
    </row>
    <row r="289" ht="12.75" customHeight="1">
      <c r="A289" s="322"/>
      <c r="B289" s="87" t="s">
        <v>904</v>
      </c>
      <c r="C289" s="412">
        <v>0.04</v>
      </c>
      <c r="D289" s="536">
        <f>'F&amp;B'!$F$111/1.2</f>
        <v>56250</v>
      </c>
      <c r="E289" s="67">
        <f t="shared" si="25"/>
        <v>2250</v>
      </c>
      <c r="F289" s="324"/>
      <c r="G289" s="387"/>
      <c r="H289" s="387"/>
      <c r="I289" s="387"/>
      <c r="J289" s="322"/>
      <c r="K289" s="87"/>
      <c r="L289" s="412"/>
      <c r="M289" s="408"/>
      <c r="N289" s="67"/>
      <c r="O289" s="324"/>
    </row>
    <row r="290" ht="12.75" customHeight="1">
      <c r="A290" s="322"/>
      <c r="B290" s="338" t="s">
        <v>84</v>
      </c>
      <c r="C290" s="358"/>
      <c r="D290" s="358"/>
      <c r="E290" s="359">
        <f>IF(SUM(E287:E289)=0,"",SUM(E287:E289))</f>
        <v>16719.855</v>
      </c>
      <c r="F290" s="324"/>
      <c r="G290" s="387"/>
      <c r="H290" s="387"/>
      <c r="I290" s="387"/>
      <c r="J290" s="322"/>
      <c r="K290" s="338" t="s">
        <v>84</v>
      </c>
      <c r="L290" s="358"/>
      <c r="M290" s="358"/>
      <c r="N290" s="359">
        <f>IF(SUM(N287:N289)=0,"",SUM(N287:N289))</f>
        <v>9698.95</v>
      </c>
      <c r="O290" s="324"/>
    </row>
    <row r="291" ht="12.75" customHeight="1">
      <c r="A291" s="322"/>
      <c r="B291" s="360"/>
      <c r="C291" s="360"/>
      <c r="D291" s="360"/>
      <c r="E291" s="361"/>
      <c r="F291" s="324"/>
      <c r="G291" s="387"/>
      <c r="H291" s="387"/>
      <c r="I291" s="387"/>
      <c r="J291" s="322"/>
      <c r="K291" s="360"/>
      <c r="L291" s="360"/>
      <c r="M291" s="360"/>
      <c r="N291" s="361"/>
      <c r="O291" s="324"/>
    </row>
    <row r="292" ht="12.75" customHeight="1">
      <c r="A292" s="322"/>
      <c r="B292" s="362" t="s">
        <v>972</v>
      </c>
      <c r="C292" s="363"/>
      <c r="D292" s="363"/>
      <c r="E292" s="363"/>
      <c r="F292" s="324"/>
      <c r="G292" s="387"/>
      <c r="H292" s="387"/>
      <c r="I292" s="387"/>
      <c r="J292" s="322"/>
      <c r="K292" s="362" t="s">
        <v>972</v>
      </c>
      <c r="L292" s="363"/>
      <c r="M292" s="363"/>
      <c r="N292" s="363"/>
      <c r="O292" s="324"/>
    </row>
    <row r="293" ht="12.75" customHeight="1">
      <c r="A293" s="322"/>
      <c r="B293" s="365" t="s">
        <v>953</v>
      </c>
      <c r="C293" s="366" t="s">
        <v>3</v>
      </c>
      <c r="D293" s="366" t="s">
        <v>975</v>
      </c>
      <c r="E293" s="367" t="s">
        <v>35</v>
      </c>
      <c r="F293" s="324"/>
      <c r="G293" s="387"/>
      <c r="H293" s="387"/>
      <c r="I293" s="387"/>
      <c r="J293" s="322"/>
      <c r="K293" s="365" t="s">
        <v>953</v>
      </c>
      <c r="L293" s="366" t="s">
        <v>3</v>
      </c>
      <c r="M293" s="366" t="s">
        <v>975</v>
      </c>
      <c r="N293" s="367" t="s">
        <v>35</v>
      </c>
      <c r="O293" s="324"/>
    </row>
    <row r="294" ht="12.75" customHeight="1">
      <c r="A294" s="322"/>
      <c r="B294" s="368"/>
      <c r="C294" s="366"/>
      <c r="D294" s="366"/>
      <c r="E294" s="368"/>
      <c r="F294" s="324"/>
      <c r="G294" s="387"/>
      <c r="H294" s="387"/>
      <c r="I294" s="387"/>
      <c r="J294" s="322"/>
      <c r="K294" s="368"/>
      <c r="L294" s="366"/>
      <c r="M294" s="366"/>
      <c r="N294" s="368"/>
      <c r="O294" s="324"/>
    </row>
    <row r="295" ht="12.75" customHeight="1">
      <c r="A295" s="322"/>
      <c r="B295" s="60"/>
      <c r="C295" s="342"/>
      <c r="D295" s="343"/>
      <c r="E295" s="67">
        <f t="shared" ref="E295:E304" si="27">D295*C295</f>
        <v>0</v>
      </c>
      <c r="F295" s="324"/>
      <c r="G295" s="387"/>
      <c r="H295" s="387"/>
      <c r="I295" s="387"/>
      <c r="J295" s="322"/>
      <c r="K295" s="60"/>
      <c r="L295" s="342"/>
      <c r="M295" s="343"/>
      <c r="N295" s="67">
        <f t="shared" ref="N295:N304" si="28">M295*L295</f>
        <v>0</v>
      </c>
      <c r="O295" s="324"/>
    </row>
    <row r="296" ht="12.75" customHeight="1">
      <c r="A296" s="322"/>
      <c r="B296" s="75"/>
      <c r="C296" s="370"/>
      <c r="D296" s="371"/>
      <c r="E296" s="67">
        <f t="shared" si="27"/>
        <v>0</v>
      </c>
      <c r="F296" s="324"/>
      <c r="G296" s="387"/>
      <c r="H296" s="387"/>
      <c r="I296" s="387"/>
      <c r="J296" s="322"/>
      <c r="K296" s="75"/>
      <c r="L296" s="370"/>
      <c r="M296" s="371"/>
      <c r="N296" s="67">
        <f t="shared" si="28"/>
        <v>0</v>
      </c>
      <c r="O296" s="324"/>
    </row>
    <row r="297" ht="12.75" customHeight="1">
      <c r="A297" s="322"/>
      <c r="B297" s="75"/>
      <c r="C297" s="370"/>
      <c r="D297" s="371"/>
      <c r="E297" s="67">
        <f t="shared" si="27"/>
        <v>0</v>
      </c>
      <c r="F297" s="324"/>
      <c r="G297" s="387"/>
      <c r="H297" s="387"/>
      <c r="I297" s="387"/>
      <c r="J297" s="322"/>
      <c r="K297" s="75"/>
      <c r="L297" s="370"/>
      <c r="M297" s="371"/>
      <c r="N297" s="67">
        <f t="shared" si="28"/>
        <v>0</v>
      </c>
      <c r="O297" s="324"/>
    </row>
    <row r="298" ht="12.75" customHeight="1">
      <c r="A298" s="322"/>
      <c r="B298" s="75"/>
      <c r="C298" s="346"/>
      <c r="D298" s="371"/>
      <c r="E298" s="67">
        <f t="shared" si="27"/>
        <v>0</v>
      </c>
      <c r="F298" s="324"/>
      <c r="G298" s="387"/>
      <c r="H298" s="387"/>
      <c r="I298" s="387"/>
      <c r="J298" s="322"/>
      <c r="K298" s="75"/>
      <c r="L298" s="370"/>
      <c r="M298" s="371"/>
      <c r="N298" s="67">
        <f t="shared" si="28"/>
        <v>0</v>
      </c>
      <c r="O298" s="324"/>
    </row>
    <row r="299" ht="12.75" customHeight="1">
      <c r="A299" s="322"/>
      <c r="B299" s="75"/>
      <c r="C299" s="346"/>
      <c r="D299" s="371"/>
      <c r="E299" s="67">
        <f t="shared" si="27"/>
        <v>0</v>
      </c>
      <c r="F299" s="324"/>
      <c r="G299" s="387"/>
      <c r="H299" s="387"/>
      <c r="I299" s="387"/>
      <c r="J299" s="322"/>
      <c r="K299" s="75"/>
      <c r="L299" s="370"/>
      <c r="M299" s="371"/>
      <c r="N299" s="67">
        <f t="shared" si="28"/>
        <v>0</v>
      </c>
      <c r="O299" s="324"/>
    </row>
    <row r="300" ht="12.75" customHeight="1">
      <c r="A300" s="322"/>
      <c r="B300" s="75"/>
      <c r="C300" s="346"/>
      <c r="D300" s="373"/>
      <c r="E300" s="67">
        <f t="shared" si="27"/>
        <v>0</v>
      </c>
      <c r="F300" s="324"/>
      <c r="G300" s="387"/>
      <c r="H300" s="387"/>
      <c r="I300" s="387"/>
      <c r="J300" s="322"/>
      <c r="K300" s="75"/>
      <c r="L300" s="370"/>
      <c r="M300" s="371"/>
      <c r="N300" s="67">
        <f t="shared" si="28"/>
        <v>0</v>
      </c>
      <c r="O300" s="324"/>
    </row>
    <row r="301" ht="12.75" customHeight="1">
      <c r="A301" s="322"/>
      <c r="B301" s="348"/>
      <c r="C301" s="346"/>
      <c r="D301" s="373"/>
      <c r="E301" s="67">
        <f t="shared" si="27"/>
        <v>0</v>
      </c>
      <c r="F301" s="324"/>
      <c r="G301" s="387"/>
      <c r="H301" s="387"/>
      <c r="I301" s="387"/>
      <c r="J301" s="322"/>
      <c r="K301" s="75"/>
      <c r="L301" s="370"/>
      <c r="M301" s="371"/>
      <c r="N301" s="67">
        <f t="shared" si="28"/>
        <v>0</v>
      </c>
      <c r="O301" s="324"/>
    </row>
    <row r="302" ht="12.75" customHeight="1">
      <c r="A302" s="322"/>
      <c r="B302" s="348"/>
      <c r="C302" s="346"/>
      <c r="D302" s="373"/>
      <c r="E302" s="67">
        <f t="shared" si="27"/>
        <v>0</v>
      </c>
      <c r="F302" s="324"/>
      <c r="G302" s="387"/>
      <c r="H302" s="387"/>
      <c r="I302" s="387"/>
      <c r="J302" s="322"/>
      <c r="K302" s="75"/>
      <c r="L302" s="370"/>
      <c r="M302" s="371"/>
      <c r="N302" s="67">
        <f t="shared" si="28"/>
        <v>0</v>
      </c>
      <c r="O302" s="324"/>
    </row>
    <row r="303" ht="12.75" customHeight="1">
      <c r="A303" s="322"/>
      <c r="B303" s="348"/>
      <c r="C303" s="346"/>
      <c r="D303" s="373"/>
      <c r="E303" s="67">
        <f t="shared" si="27"/>
        <v>0</v>
      </c>
      <c r="F303" s="324"/>
      <c r="G303" s="387"/>
      <c r="H303" s="387"/>
      <c r="I303" s="387"/>
      <c r="J303" s="322"/>
      <c r="K303" s="75"/>
      <c r="L303" s="370"/>
      <c r="M303" s="371"/>
      <c r="N303" s="67">
        <f t="shared" si="28"/>
        <v>0</v>
      </c>
      <c r="O303" s="324"/>
    </row>
    <row r="304" ht="12.75" customHeight="1">
      <c r="A304" s="322"/>
      <c r="B304" s="354"/>
      <c r="C304" s="355"/>
      <c r="D304" s="356"/>
      <c r="E304" s="67">
        <f t="shared" si="27"/>
        <v>0</v>
      </c>
      <c r="F304" s="324"/>
      <c r="G304" s="387"/>
      <c r="H304" s="387"/>
      <c r="I304" s="387"/>
      <c r="J304" s="322"/>
      <c r="K304" s="87"/>
      <c r="L304" s="412"/>
      <c r="M304" s="408"/>
      <c r="N304" s="67">
        <f t="shared" si="28"/>
        <v>0</v>
      </c>
      <c r="O304" s="324"/>
    </row>
    <row r="305" ht="12.75" customHeight="1">
      <c r="A305" s="322"/>
      <c r="B305" s="362" t="s">
        <v>84</v>
      </c>
      <c r="C305" s="374"/>
      <c r="D305" s="374"/>
      <c r="E305" s="375" t="str">
        <f>IF(SUM(E295:E304)=0,"",SUM(E295:E304))</f>
        <v/>
      </c>
      <c r="F305" s="324"/>
      <c r="G305" s="387"/>
      <c r="H305" s="387"/>
      <c r="I305" s="387"/>
      <c r="J305" s="322"/>
      <c r="K305" s="362" t="s">
        <v>84</v>
      </c>
      <c r="L305" s="374"/>
      <c r="M305" s="374"/>
      <c r="N305" s="375" t="str">
        <f>IF(SUM(N295:N304)=0,"",SUM(N295:N304))</f>
        <v/>
      </c>
      <c r="O305" s="324"/>
    </row>
    <row r="306" ht="12.75" customHeight="1">
      <c r="A306" s="322"/>
      <c r="B306" s="360"/>
      <c r="C306" s="360"/>
      <c r="D306" s="360"/>
      <c r="E306" s="361"/>
      <c r="F306" s="324"/>
      <c r="G306" s="387"/>
      <c r="H306" s="387"/>
      <c r="I306" s="387"/>
      <c r="J306" s="322"/>
      <c r="K306" s="360"/>
      <c r="L306" s="360"/>
      <c r="M306" s="360"/>
      <c r="N306" s="361"/>
      <c r="O306" s="324"/>
    </row>
    <row r="307" ht="12.75" customHeight="1">
      <c r="A307" s="322"/>
      <c r="B307" s="34" t="s">
        <v>17</v>
      </c>
      <c r="C307" s="35"/>
      <c r="D307" s="35"/>
      <c r="E307" s="35"/>
      <c r="F307" s="324"/>
      <c r="G307" s="387"/>
      <c r="H307" s="387"/>
      <c r="I307" s="387"/>
      <c r="J307" s="322"/>
      <c r="K307" s="34" t="s">
        <v>17</v>
      </c>
      <c r="L307" s="35"/>
      <c r="M307" s="35"/>
      <c r="N307" s="35"/>
      <c r="O307" s="324"/>
    </row>
    <row r="308" ht="12.75" customHeight="1">
      <c r="A308" s="322"/>
      <c r="B308" s="52" t="s">
        <v>42</v>
      </c>
      <c r="C308" s="54"/>
      <c r="D308" s="54"/>
      <c r="E308" s="56" t="s">
        <v>35</v>
      </c>
      <c r="F308" s="324"/>
      <c r="G308" s="387"/>
      <c r="H308" s="387"/>
      <c r="I308" s="387"/>
      <c r="J308" s="322"/>
      <c r="K308" s="52" t="s">
        <v>42</v>
      </c>
      <c r="L308" s="54"/>
      <c r="M308" s="54"/>
      <c r="N308" s="56" t="s">
        <v>35</v>
      </c>
      <c r="O308" s="324"/>
    </row>
    <row r="309" ht="12.75" customHeight="1">
      <c r="A309" s="322"/>
      <c r="B309" s="60" t="s">
        <v>40</v>
      </c>
      <c r="C309" s="343">
        <f>'UTL COST'!$B$3</f>
        <v>369000</v>
      </c>
      <c r="D309" s="379">
        <f>'UTL COST'!$C$3</f>
        <v>0.0075</v>
      </c>
      <c r="E309" s="67">
        <v>0.0</v>
      </c>
      <c r="F309" s="324"/>
      <c r="G309" s="387"/>
      <c r="H309" s="387"/>
      <c r="I309" s="387"/>
      <c r="J309" s="322"/>
      <c r="K309" s="60" t="s">
        <v>40</v>
      </c>
      <c r="L309" s="343">
        <f>'UTL COST'!$B$3</f>
        <v>369000</v>
      </c>
      <c r="M309" s="379">
        <f>'UTL COST'!$C$3</f>
        <v>0.0075</v>
      </c>
      <c r="N309" s="67">
        <v>0.0</v>
      </c>
      <c r="O309" s="324"/>
    </row>
    <row r="310" ht="12.75" customHeight="1">
      <c r="A310" s="322"/>
      <c r="B310" s="75" t="s">
        <v>51</v>
      </c>
      <c r="C310" s="371" t="str">
        <f>'UTL COST'!$B$4</f>
        <v>#REF!</v>
      </c>
      <c r="D310" s="382">
        <f>'UTL COST'!$C$4</f>
        <v>7000</v>
      </c>
      <c r="E310" s="76" t="str">
        <f>'UTL COST'!$D$4</f>
        <v>#REF!</v>
      </c>
      <c r="F310" s="324"/>
      <c r="G310" s="387"/>
      <c r="H310" s="387"/>
      <c r="I310" s="387"/>
      <c r="J310" s="322"/>
      <c r="K310" s="75" t="s">
        <v>51</v>
      </c>
      <c r="L310" s="371" t="str">
        <f>'UTL COST'!$B$4</f>
        <v>#REF!</v>
      </c>
      <c r="M310" s="382">
        <f>'UTL COST'!$C$4</f>
        <v>7000</v>
      </c>
      <c r="N310" s="76">
        <v>0.0</v>
      </c>
      <c r="O310" s="324"/>
    </row>
    <row r="311" ht="12.75" customHeight="1">
      <c r="A311" s="322"/>
      <c r="B311" s="75" t="s">
        <v>59</v>
      </c>
      <c r="C311" s="371" t="str">
        <f>'UTL COST'!$B$5</f>
        <v>#REF!</v>
      </c>
      <c r="D311" s="382">
        <f>'UTL COST'!$C$5</f>
        <v>45000</v>
      </c>
      <c r="E311" s="76" t="str">
        <f>'UTL COST'!$D$5</f>
        <v>#REF!</v>
      </c>
      <c r="F311" s="324"/>
      <c r="G311" s="387"/>
      <c r="H311" s="387"/>
      <c r="I311" s="387"/>
      <c r="J311" s="322"/>
      <c r="K311" s="75" t="s">
        <v>59</v>
      </c>
      <c r="L311" s="371" t="str">
        <f>'UTL COST'!$B$5</f>
        <v>#REF!</v>
      </c>
      <c r="M311" s="382">
        <f>'UTL COST'!$C$5</f>
        <v>45000</v>
      </c>
      <c r="N311" s="76" t="str">
        <f>'UTL COST'!$D$5</f>
        <v>#REF!</v>
      </c>
      <c r="O311" s="324"/>
    </row>
    <row r="312" ht="12.75" customHeight="1">
      <c r="A312" s="322"/>
      <c r="B312" s="87" t="s">
        <v>78</v>
      </c>
      <c r="C312" s="371" t="str">
        <f>'UTL COST'!$B$6</f>
        <v>#REF!</v>
      </c>
      <c r="D312" s="383">
        <f>'UTL COST'!$C$6</f>
        <v>525</v>
      </c>
      <c r="E312" s="89">
        <v>0.1</v>
      </c>
      <c r="F312" s="324"/>
      <c r="G312" s="387"/>
      <c r="H312" s="387"/>
      <c r="I312" s="387"/>
      <c r="J312" s="322"/>
      <c r="K312" s="87" t="s">
        <v>78</v>
      </c>
      <c r="L312" s="371" t="str">
        <f>'UTL COST'!$B$6</f>
        <v>#REF!</v>
      </c>
      <c r="M312" s="383">
        <f>'UTL COST'!$C$6</f>
        <v>525</v>
      </c>
      <c r="N312" s="89">
        <v>0.1</v>
      </c>
      <c r="O312" s="324"/>
    </row>
    <row r="313" ht="12.75" customHeight="1">
      <c r="A313" s="322"/>
      <c r="B313" s="34" t="s">
        <v>84</v>
      </c>
      <c r="C313" s="102"/>
      <c r="D313" s="102"/>
      <c r="E313" s="104" t="str">
        <f>IF(SUM(E309:E312)=0,"",SUM(E309:E312))</f>
        <v>#REF!</v>
      </c>
      <c r="F313" s="324"/>
      <c r="G313" s="387"/>
      <c r="H313" s="387"/>
      <c r="I313" s="387"/>
      <c r="J313" s="322"/>
      <c r="K313" s="34" t="s">
        <v>84</v>
      </c>
      <c r="L313" s="102"/>
      <c r="M313" s="102"/>
      <c r="N313" s="104" t="str">
        <f>IF(SUM(N309:N312)=0,"",SUM(N309:N312))</f>
        <v>#REF!</v>
      </c>
      <c r="O313" s="324"/>
    </row>
    <row r="314" ht="12.75" customHeight="1">
      <c r="A314" s="322"/>
      <c r="B314" s="360"/>
      <c r="C314" s="360"/>
      <c r="D314" s="360"/>
      <c r="E314" s="361"/>
      <c r="F314" s="324"/>
      <c r="G314" s="387"/>
      <c r="H314" s="387"/>
      <c r="I314" s="387"/>
      <c r="J314" s="322"/>
      <c r="K314" s="360"/>
      <c r="L314" s="360"/>
      <c r="M314" s="360"/>
      <c r="N314" s="361"/>
      <c r="O314" s="324"/>
    </row>
    <row r="315" ht="12.75" customHeight="1">
      <c r="A315" s="387"/>
      <c r="B315" s="387"/>
      <c r="C315" s="387"/>
      <c r="D315" s="387"/>
      <c r="E315" s="418"/>
      <c r="F315" s="387"/>
      <c r="G315" s="387"/>
      <c r="H315" s="387"/>
      <c r="I315" s="387"/>
      <c r="J315" s="387"/>
      <c r="K315" s="387"/>
      <c r="L315" s="387"/>
      <c r="M315" s="387"/>
      <c r="N315" s="387"/>
      <c r="O315" s="387"/>
    </row>
    <row r="316" ht="12.75" customHeight="1">
      <c r="A316" s="387"/>
      <c r="B316" s="387"/>
      <c r="C316" s="387"/>
      <c r="D316" s="387"/>
      <c r="E316" s="418"/>
      <c r="F316" s="387"/>
      <c r="G316" s="387"/>
      <c r="H316" s="387"/>
      <c r="I316" s="387"/>
      <c r="J316" s="387"/>
      <c r="K316" s="387"/>
      <c r="L316" s="387"/>
      <c r="M316" s="387"/>
      <c r="N316" s="387"/>
      <c r="O316" s="387"/>
    </row>
    <row r="317" ht="12.75" customHeight="1">
      <c r="A317" s="453" t="s">
        <v>1495</v>
      </c>
      <c r="B317" s="322"/>
      <c r="C317" s="322"/>
      <c r="D317" s="322"/>
      <c r="E317" s="323"/>
      <c r="F317" s="324"/>
      <c r="G317" s="387"/>
      <c r="H317" s="387"/>
      <c r="I317" s="387"/>
      <c r="J317" s="322"/>
      <c r="K317" s="322"/>
      <c r="L317" s="322"/>
      <c r="M317" s="322"/>
      <c r="N317" s="323"/>
      <c r="O317" s="324"/>
    </row>
    <row r="318" ht="12.75" customHeight="1">
      <c r="A318" s="322"/>
      <c r="B318" s="325"/>
      <c r="C318" s="322"/>
      <c r="D318" s="322"/>
      <c r="E318" s="323"/>
      <c r="F318" s="326"/>
      <c r="G318" s="387"/>
      <c r="H318" s="387"/>
      <c r="I318" s="387"/>
      <c r="J318" s="322"/>
      <c r="K318" s="325"/>
      <c r="L318" s="322"/>
      <c r="M318" s="322"/>
      <c r="N318" s="323"/>
      <c r="O318" s="326"/>
    </row>
    <row r="319" ht="12.75" customHeight="1">
      <c r="A319" s="322"/>
      <c r="B319" s="327" t="s">
        <v>931</v>
      </c>
      <c r="C319" s="328" t="s">
        <v>839</v>
      </c>
      <c r="D319" s="329"/>
      <c r="E319" s="323"/>
      <c r="F319" s="326"/>
      <c r="G319" s="387"/>
      <c r="H319" s="387"/>
      <c r="I319" s="387"/>
      <c r="J319" s="322"/>
      <c r="K319" s="327" t="s">
        <v>931</v>
      </c>
      <c r="L319" s="328" t="s">
        <v>841</v>
      </c>
      <c r="M319" s="329"/>
      <c r="N319" s="323"/>
      <c r="O319" s="326"/>
    </row>
    <row r="320" ht="12.75" customHeight="1">
      <c r="A320" s="322"/>
      <c r="B320" s="325"/>
      <c r="C320" s="322"/>
      <c r="D320" s="322"/>
      <c r="E320" s="323"/>
      <c r="F320" s="326"/>
      <c r="G320" s="387"/>
      <c r="H320" s="387"/>
      <c r="I320" s="387"/>
      <c r="J320" s="322"/>
      <c r="K320" s="325"/>
      <c r="L320" s="322"/>
      <c r="M320" s="322"/>
      <c r="N320" s="323"/>
      <c r="O320" s="326"/>
    </row>
    <row r="321" ht="12.75" customHeight="1">
      <c r="A321" s="322"/>
      <c r="B321" s="327" t="s">
        <v>935</v>
      </c>
      <c r="C321" s="331">
        <v>115000.0</v>
      </c>
      <c r="D321" s="329"/>
      <c r="E321" s="323"/>
      <c r="F321" s="326"/>
      <c r="G321" s="387"/>
      <c r="H321" s="387"/>
      <c r="I321" s="387"/>
      <c r="J321" s="322"/>
      <c r="K321" s="327" t="s">
        <v>935</v>
      </c>
      <c r="L321" s="331">
        <v>115000.0</v>
      </c>
      <c r="M321" s="329"/>
      <c r="N321" s="323"/>
      <c r="O321" s="326"/>
    </row>
    <row r="322" ht="12.75" customHeight="1">
      <c r="A322" s="322"/>
      <c r="B322" s="327"/>
      <c r="C322" s="332"/>
      <c r="D322" s="332"/>
      <c r="E322" s="323"/>
      <c r="F322" s="326"/>
      <c r="G322" s="387"/>
      <c r="H322" s="387"/>
      <c r="I322" s="387"/>
      <c r="J322" s="322"/>
      <c r="K322" s="327"/>
      <c r="L322" s="332"/>
      <c r="M322" s="332"/>
      <c r="N322" s="323"/>
      <c r="O322" s="326"/>
    </row>
    <row r="323" ht="12.75" customHeight="1">
      <c r="A323" s="322"/>
      <c r="B323" s="327" t="s">
        <v>939</v>
      </c>
      <c r="C323" s="333" t="str">
        <f>IF(SUM(E335,E350,E358)=0,"",SUM(E335,E350,E358))</f>
        <v>#REF!</v>
      </c>
      <c r="D323" s="321"/>
      <c r="E323" s="323"/>
      <c r="F323" s="326"/>
      <c r="G323" s="387"/>
      <c r="H323" s="387"/>
      <c r="I323" s="387"/>
      <c r="J323" s="322"/>
      <c r="K323" s="327" t="s">
        <v>939</v>
      </c>
      <c r="L323" s="333" t="str">
        <f>IF(SUM(N335,N350,N358)=0,"",SUM(N335,N350,N358))</f>
        <v>#REF!</v>
      </c>
      <c r="M323" s="321"/>
      <c r="N323" s="323"/>
      <c r="O323" s="326"/>
    </row>
    <row r="324" ht="12.75" customHeight="1">
      <c r="A324" s="322"/>
      <c r="B324" s="327"/>
      <c r="C324" s="334"/>
      <c r="D324" s="334"/>
      <c r="E324" s="323"/>
      <c r="F324" s="326"/>
      <c r="G324" s="387"/>
      <c r="H324" s="387"/>
      <c r="I324" s="387"/>
      <c r="J324" s="322"/>
      <c r="K324" s="327"/>
      <c r="L324" s="334"/>
      <c r="M324" s="334"/>
      <c r="N324" s="323"/>
      <c r="O324" s="326"/>
    </row>
    <row r="325" ht="12.75" customHeight="1">
      <c r="A325" s="322"/>
      <c r="B325" s="327" t="s">
        <v>946</v>
      </c>
      <c r="C325" s="335" t="str">
        <f>IF(C323="","",IF(ISBLANK(C321),"",C323/C321))</f>
        <v>#REF!</v>
      </c>
      <c r="D325" s="321"/>
      <c r="E325" s="323"/>
      <c r="F325" s="326"/>
      <c r="G325" s="387"/>
      <c r="H325" s="387"/>
      <c r="I325" s="387"/>
      <c r="J325" s="322"/>
      <c r="K325" s="327" t="s">
        <v>946</v>
      </c>
      <c r="L325" s="335" t="str">
        <f>IF(L323="","",IF(ISBLANK(L321),"",L323/L321))</f>
        <v>#REF!</v>
      </c>
      <c r="M325" s="321"/>
      <c r="N325" s="323"/>
      <c r="O325" s="326"/>
    </row>
    <row r="326" ht="12.75" customHeight="1">
      <c r="A326" s="322"/>
      <c r="B326" s="327"/>
      <c r="C326" s="334"/>
      <c r="D326" s="334"/>
      <c r="E326" s="323"/>
      <c r="F326" s="326"/>
      <c r="G326" s="387"/>
      <c r="H326" s="387"/>
      <c r="I326" s="387"/>
      <c r="J326" s="322"/>
      <c r="K326" s="327"/>
      <c r="L326" s="334"/>
      <c r="M326" s="334"/>
      <c r="N326" s="323"/>
      <c r="O326" s="326"/>
    </row>
    <row r="327" ht="12.75" customHeight="1">
      <c r="A327" s="322"/>
      <c r="B327" s="327" t="s">
        <v>950</v>
      </c>
      <c r="C327" s="333" t="str">
        <f>C321-C323</f>
        <v>#REF!</v>
      </c>
      <c r="D327" s="321"/>
      <c r="E327" s="323"/>
      <c r="F327" s="326"/>
      <c r="G327" s="387"/>
      <c r="H327" s="387"/>
      <c r="I327" s="387"/>
      <c r="J327" s="322"/>
      <c r="K327" s="327" t="s">
        <v>950</v>
      </c>
      <c r="L327" s="333" t="str">
        <f>L321-L323</f>
        <v>#REF!</v>
      </c>
      <c r="M327" s="321"/>
      <c r="N327" s="323"/>
      <c r="O327" s="326"/>
    </row>
    <row r="328" ht="12.75" customHeight="1">
      <c r="A328" s="322"/>
      <c r="B328" s="322"/>
      <c r="C328" s="322"/>
      <c r="D328" s="322"/>
      <c r="E328" s="323"/>
      <c r="F328" s="324"/>
      <c r="G328" s="387"/>
      <c r="H328" s="387"/>
      <c r="I328" s="387"/>
      <c r="J328" s="322"/>
      <c r="K328" s="322"/>
      <c r="L328" s="322"/>
      <c r="M328" s="322"/>
      <c r="N328" s="323"/>
      <c r="O328" s="324"/>
    </row>
    <row r="329" ht="12.75" customHeight="1">
      <c r="A329" s="322"/>
      <c r="B329" s="322"/>
      <c r="C329" s="322"/>
      <c r="D329" s="322"/>
      <c r="E329" s="337"/>
      <c r="F329" s="324"/>
      <c r="G329" s="387"/>
      <c r="H329" s="387"/>
      <c r="I329" s="387"/>
      <c r="J329" s="322"/>
      <c r="K329" s="322"/>
      <c r="L329" s="322"/>
      <c r="M329" s="322"/>
      <c r="N329" s="337"/>
      <c r="O329" s="324"/>
    </row>
    <row r="330" ht="12.75" customHeight="1">
      <c r="A330" s="322"/>
      <c r="B330" s="338" t="s">
        <v>951</v>
      </c>
      <c r="C330" s="339"/>
      <c r="D330" s="339"/>
      <c r="E330" s="339"/>
      <c r="F330" s="324"/>
      <c r="G330" s="387"/>
      <c r="H330" s="387"/>
      <c r="I330" s="387"/>
      <c r="J330" s="322"/>
      <c r="K330" s="338" t="s">
        <v>951</v>
      </c>
      <c r="L330" s="339"/>
      <c r="M330" s="339"/>
      <c r="N330" s="339"/>
      <c r="O330" s="324"/>
    </row>
    <row r="331" ht="12.75" customHeight="1">
      <c r="A331" s="322"/>
      <c r="B331" s="340" t="s">
        <v>953</v>
      </c>
      <c r="C331" s="341" t="s">
        <v>954</v>
      </c>
      <c r="D331" s="341" t="s">
        <v>955</v>
      </c>
      <c r="E331" s="341" t="s">
        <v>35</v>
      </c>
      <c r="F331" s="324"/>
      <c r="G331" s="387"/>
      <c r="H331" s="387"/>
      <c r="I331" s="387"/>
      <c r="J331" s="322"/>
      <c r="K331" s="340" t="s">
        <v>953</v>
      </c>
      <c r="L331" s="341" t="s">
        <v>954</v>
      </c>
      <c r="M331" s="341" t="s">
        <v>955</v>
      </c>
      <c r="N331" s="341" t="s">
        <v>35</v>
      </c>
      <c r="O331" s="324"/>
    </row>
    <row r="332" ht="12.75" customHeight="1">
      <c r="A332" s="322"/>
      <c r="B332" s="60" t="s">
        <v>494</v>
      </c>
      <c r="C332" s="342">
        <v>1.0</v>
      </c>
      <c r="D332" s="343">
        <f>Prep!$J$64</f>
        <v>2138.95</v>
      </c>
      <c r="E332" s="67">
        <f t="shared" ref="E332:E334" si="29">IF(OR(ISBLANK(C332),ISBLANK(D332)),"",D332*C332)</f>
        <v>2138.95</v>
      </c>
      <c r="F332" s="324"/>
      <c r="G332" s="387"/>
      <c r="H332" s="387"/>
      <c r="I332" s="387"/>
      <c r="J332" s="322"/>
      <c r="K332" s="60" t="s">
        <v>494</v>
      </c>
      <c r="L332" s="342">
        <v>1.0</v>
      </c>
      <c r="M332" s="343">
        <f>Prep!$J$64</f>
        <v>2138.95</v>
      </c>
      <c r="N332" s="67">
        <f t="shared" ref="N332:N334" si="30">IF(OR(ISBLANK(L332),ISBLANK(M332)),"",M332*L332)</f>
        <v>2138.95</v>
      </c>
      <c r="O332" s="324"/>
    </row>
    <row r="333" ht="12.75" customHeight="1">
      <c r="A333" s="322"/>
      <c r="B333" s="75" t="s">
        <v>850</v>
      </c>
      <c r="C333" s="370">
        <v>0.12</v>
      </c>
      <c r="D333" s="371">
        <f>'F&amp;B'!F99/12</f>
        <v>63000</v>
      </c>
      <c r="E333" s="67">
        <f t="shared" si="29"/>
        <v>7560</v>
      </c>
      <c r="F333" s="324"/>
      <c r="G333" s="387"/>
      <c r="H333" s="387"/>
      <c r="I333" s="387"/>
      <c r="J333" s="322"/>
      <c r="K333" s="75" t="s">
        <v>850</v>
      </c>
      <c r="L333" s="370">
        <v>0.12</v>
      </c>
      <c r="M333" s="371">
        <f>'F&amp;B'!F99/12</f>
        <v>63000</v>
      </c>
      <c r="N333" s="67">
        <f t="shared" si="30"/>
        <v>7560</v>
      </c>
      <c r="O333" s="324"/>
    </row>
    <row r="334" ht="12.75" customHeight="1">
      <c r="A334" s="322"/>
      <c r="B334" s="87" t="s">
        <v>1112</v>
      </c>
      <c r="C334" s="412">
        <v>0.05</v>
      </c>
      <c r="D334" s="408">
        <f>'F&amp;B'!$F$223</f>
        <v>142920</v>
      </c>
      <c r="E334" s="67">
        <f t="shared" si="29"/>
        <v>7146</v>
      </c>
      <c r="F334" s="324"/>
      <c r="G334" s="387"/>
      <c r="H334" s="387"/>
      <c r="I334" s="387"/>
      <c r="J334" s="322"/>
      <c r="K334" s="87" t="s">
        <v>1350</v>
      </c>
      <c r="L334" s="412">
        <v>0.05</v>
      </c>
      <c r="M334" s="371">
        <f>'F&amp;B'!$F$220</f>
        <v>128700</v>
      </c>
      <c r="N334" s="67">
        <f t="shared" si="30"/>
        <v>6435</v>
      </c>
      <c r="O334" s="324"/>
    </row>
    <row r="335" ht="12.75" customHeight="1">
      <c r="A335" s="322"/>
      <c r="B335" s="338" t="s">
        <v>84</v>
      </c>
      <c r="C335" s="358"/>
      <c r="D335" s="358"/>
      <c r="E335" s="359">
        <f>IF(SUM(E332:E334)=0,"",SUM(E332:E334))</f>
        <v>16844.95</v>
      </c>
      <c r="F335" s="324"/>
      <c r="G335" s="387"/>
      <c r="H335" s="387"/>
      <c r="I335" s="387"/>
      <c r="J335" s="322"/>
      <c r="K335" s="338" t="s">
        <v>84</v>
      </c>
      <c r="L335" s="358"/>
      <c r="M335" s="358"/>
      <c r="N335" s="359">
        <f>IF(SUM(N332:N334)=0,"",SUM(N332:N334))</f>
        <v>16133.95</v>
      </c>
      <c r="O335" s="324"/>
    </row>
    <row r="336" ht="12.75" customHeight="1">
      <c r="A336" s="322"/>
      <c r="B336" s="360"/>
      <c r="C336" s="360"/>
      <c r="D336" s="360"/>
      <c r="E336" s="361"/>
      <c r="F336" s="324"/>
      <c r="G336" s="387"/>
      <c r="H336" s="387"/>
      <c r="I336" s="387"/>
      <c r="J336" s="322"/>
      <c r="K336" s="360"/>
      <c r="L336" s="360"/>
      <c r="M336" s="360"/>
      <c r="N336" s="361"/>
      <c r="O336" s="324"/>
    </row>
    <row r="337" ht="12.75" customHeight="1">
      <c r="A337" s="322"/>
      <c r="B337" s="362" t="s">
        <v>972</v>
      </c>
      <c r="C337" s="363"/>
      <c r="D337" s="363"/>
      <c r="E337" s="363"/>
      <c r="F337" s="324"/>
      <c r="G337" s="387"/>
      <c r="H337" s="387"/>
      <c r="I337" s="387"/>
      <c r="J337" s="322"/>
      <c r="K337" s="362" t="s">
        <v>972</v>
      </c>
      <c r="L337" s="363"/>
      <c r="M337" s="363"/>
      <c r="N337" s="363"/>
      <c r="O337" s="324"/>
    </row>
    <row r="338" ht="12.75" customHeight="1">
      <c r="A338" s="322"/>
      <c r="B338" s="365" t="s">
        <v>953</v>
      </c>
      <c r="C338" s="366" t="s">
        <v>3</v>
      </c>
      <c r="D338" s="366" t="s">
        <v>975</v>
      </c>
      <c r="E338" s="367" t="s">
        <v>35</v>
      </c>
      <c r="F338" s="324"/>
      <c r="G338" s="387"/>
      <c r="H338" s="387"/>
      <c r="I338" s="387"/>
      <c r="J338" s="322"/>
      <c r="K338" s="365" t="s">
        <v>953</v>
      </c>
      <c r="L338" s="366" t="s">
        <v>3</v>
      </c>
      <c r="M338" s="366" t="s">
        <v>975</v>
      </c>
      <c r="N338" s="367" t="s">
        <v>35</v>
      </c>
      <c r="O338" s="324"/>
    </row>
    <row r="339" ht="12.75" customHeight="1">
      <c r="A339" s="322"/>
      <c r="B339" s="368"/>
      <c r="C339" s="366"/>
      <c r="D339" s="366"/>
      <c r="E339" s="368"/>
      <c r="F339" s="324"/>
      <c r="G339" s="387"/>
      <c r="H339" s="387"/>
      <c r="I339" s="387"/>
      <c r="J339" s="322"/>
      <c r="K339" s="368"/>
      <c r="L339" s="366"/>
      <c r="M339" s="366"/>
      <c r="N339" s="368"/>
      <c r="O339" s="324"/>
    </row>
    <row r="340" ht="12.75" customHeight="1">
      <c r="A340" s="322"/>
      <c r="B340" s="60"/>
      <c r="C340" s="342"/>
      <c r="D340" s="343"/>
      <c r="E340" s="67">
        <f t="shared" ref="E340:E349" si="31">D340*C340</f>
        <v>0</v>
      </c>
      <c r="F340" s="324"/>
      <c r="G340" s="387"/>
      <c r="H340" s="387"/>
      <c r="I340" s="387"/>
      <c r="J340" s="322"/>
      <c r="K340" s="60"/>
      <c r="L340" s="342"/>
      <c r="M340" s="343"/>
      <c r="N340" s="67">
        <f t="shared" ref="N340:N349" si="32">M340*L340</f>
        <v>0</v>
      </c>
      <c r="O340" s="324"/>
    </row>
    <row r="341" ht="12.75" customHeight="1">
      <c r="A341" s="322"/>
      <c r="B341" s="75"/>
      <c r="C341" s="370"/>
      <c r="D341" s="371"/>
      <c r="E341" s="67">
        <f t="shared" si="31"/>
        <v>0</v>
      </c>
      <c r="F341" s="324"/>
      <c r="G341" s="387"/>
      <c r="H341" s="387"/>
      <c r="I341" s="387"/>
      <c r="J341" s="322"/>
      <c r="K341" s="75"/>
      <c r="L341" s="370"/>
      <c r="M341" s="371"/>
      <c r="N341" s="67">
        <f t="shared" si="32"/>
        <v>0</v>
      </c>
      <c r="O341" s="324"/>
    </row>
    <row r="342" ht="12.75" customHeight="1">
      <c r="A342" s="322"/>
      <c r="B342" s="75"/>
      <c r="C342" s="370"/>
      <c r="D342" s="371"/>
      <c r="E342" s="67">
        <f t="shared" si="31"/>
        <v>0</v>
      </c>
      <c r="F342" s="324"/>
      <c r="G342" s="387"/>
      <c r="H342" s="387"/>
      <c r="I342" s="387"/>
      <c r="J342" s="322"/>
      <c r="K342" s="75"/>
      <c r="L342" s="370"/>
      <c r="M342" s="371"/>
      <c r="N342" s="67">
        <f t="shared" si="32"/>
        <v>0</v>
      </c>
      <c r="O342" s="324"/>
    </row>
    <row r="343" ht="12.75" customHeight="1">
      <c r="A343" s="322"/>
      <c r="B343" s="75"/>
      <c r="C343" s="370"/>
      <c r="D343" s="371"/>
      <c r="E343" s="67">
        <f t="shared" si="31"/>
        <v>0</v>
      </c>
      <c r="F343" s="324"/>
      <c r="G343" s="387"/>
      <c r="H343" s="387"/>
      <c r="I343" s="387"/>
      <c r="J343" s="322"/>
      <c r="K343" s="75"/>
      <c r="L343" s="370"/>
      <c r="M343" s="371"/>
      <c r="N343" s="67">
        <f t="shared" si="32"/>
        <v>0</v>
      </c>
      <c r="O343" s="324"/>
    </row>
    <row r="344" ht="12.75" customHeight="1">
      <c r="A344" s="322"/>
      <c r="B344" s="75"/>
      <c r="C344" s="370"/>
      <c r="D344" s="371"/>
      <c r="E344" s="67">
        <f t="shared" si="31"/>
        <v>0</v>
      </c>
      <c r="F344" s="324"/>
      <c r="G344" s="387"/>
      <c r="H344" s="387"/>
      <c r="I344" s="387"/>
      <c r="J344" s="322"/>
      <c r="K344" s="75"/>
      <c r="L344" s="370"/>
      <c r="M344" s="371"/>
      <c r="N344" s="67">
        <f t="shared" si="32"/>
        <v>0</v>
      </c>
      <c r="O344" s="324"/>
    </row>
    <row r="345" ht="12.75" customHeight="1">
      <c r="A345" s="322"/>
      <c r="B345" s="75"/>
      <c r="C345" s="370"/>
      <c r="D345" s="371"/>
      <c r="E345" s="67">
        <f t="shared" si="31"/>
        <v>0</v>
      </c>
      <c r="F345" s="324"/>
      <c r="G345" s="387"/>
      <c r="H345" s="387"/>
      <c r="I345" s="387"/>
      <c r="J345" s="322"/>
      <c r="K345" s="75"/>
      <c r="L345" s="370"/>
      <c r="M345" s="371"/>
      <c r="N345" s="67">
        <f t="shared" si="32"/>
        <v>0</v>
      </c>
      <c r="O345" s="324"/>
    </row>
    <row r="346" ht="12.75" customHeight="1">
      <c r="A346" s="322"/>
      <c r="B346" s="75"/>
      <c r="C346" s="370"/>
      <c r="D346" s="371"/>
      <c r="E346" s="67">
        <f t="shared" si="31"/>
        <v>0</v>
      </c>
      <c r="F346" s="324"/>
      <c r="G346" s="387"/>
      <c r="H346" s="387"/>
      <c r="I346" s="387"/>
      <c r="J346" s="322"/>
      <c r="K346" s="75"/>
      <c r="L346" s="370"/>
      <c r="M346" s="371"/>
      <c r="N346" s="67">
        <f t="shared" si="32"/>
        <v>0</v>
      </c>
      <c r="O346" s="324"/>
    </row>
    <row r="347" ht="12.75" customHeight="1">
      <c r="A347" s="322"/>
      <c r="B347" s="75"/>
      <c r="C347" s="370"/>
      <c r="D347" s="371"/>
      <c r="E347" s="67">
        <f t="shared" si="31"/>
        <v>0</v>
      </c>
      <c r="F347" s="324"/>
      <c r="G347" s="387"/>
      <c r="H347" s="387"/>
      <c r="I347" s="387"/>
      <c r="J347" s="322"/>
      <c r="K347" s="75"/>
      <c r="L347" s="370"/>
      <c r="M347" s="371"/>
      <c r="N347" s="67">
        <f t="shared" si="32"/>
        <v>0</v>
      </c>
      <c r="O347" s="324"/>
    </row>
    <row r="348" ht="12.75" customHeight="1">
      <c r="A348" s="322"/>
      <c r="B348" s="75"/>
      <c r="C348" s="370"/>
      <c r="D348" s="371"/>
      <c r="E348" s="67">
        <f t="shared" si="31"/>
        <v>0</v>
      </c>
      <c r="F348" s="324"/>
      <c r="G348" s="387"/>
      <c r="H348" s="387"/>
      <c r="I348" s="387"/>
      <c r="J348" s="322"/>
      <c r="K348" s="75"/>
      <c r="L348" s="370"/>
      <c r="M348" s="371"/>
      <c r="N348" s="67">
        <f t="shared" si="32"/>
        <v>0</v>
      </c>
      <c r="O348" s="324"/>
    </row>
    <row r="349" ht="12.75" customHeight="1">
      <c r="A349" s="322"/>
      <c r="B349" s="87"/>
      <c r="C349" s="412"/>
      <c r="D349" s="408"/>
      <c r="E349" s="67">
        <f t="shared" si="31"/>
        <v>0</v>
      </c>
      <c r="F349" s="324"/>
      <c r="G349" s="387"/>
      <c r="H349" s="387"/>
      <c r="I349" s="387"/>
      <c r="J349" s="322"/>
      <c r="K349" s="87"/>
      <c r="L349" s="412"/>
      <c r="M349" s="408"/>
      <c r="N349" s="67">
        <f t="shared" si="32"/>
        <v>0</v>
      </c>
      <c r="O349" s="324"/>
    </row>
    <row r="350" ht="12.75" customHeight="1">
      <c r="A350" s="322"/>
      <c r="B350" s="362" t="s">
        <v>84</v>
      </c>
      <c r="C350" s="374"/>
      <c r="D350" s="374"/>
      <c r="E350" s="375" t="str">
        <f>IF(SUM(E340:E349)=0,"",SUM(E340:E349))</f>
        <v/>
      </c>
      <c r="F350" s="324"/>
      <c r="G350" s="387"/>
      <c r="H350" s="387"/>
      <c r="I350" s="387"/>
      <c r="J350" s="322"/>
      <c r="K350" s="362" t="s">
        <v>84</v>
      </c>
      <c r="L350" s="374"/>
      <c r="M350" s="374"/>
      <c r="N350" s="375" t="str">
        <f>IF(SUM(N340:N349)=0,"",SUM(N340:N349))</f>
        <v/>
      </c>
      <c r="O350" s="324"/>
    </row>
    <row r="351" ht="12.75" customHeight="1">
      <c r="A351" s="322"/>
      <c r="B351" s="360"/>
      <c r="C351" s="360"/>
      <c r="D351" s="360"/>
      <c r="E351" s="361"/>
      <c r="F351" s="324"/>
      <c r="G351" s="387"/>
      <c r="H351" s="387"/>
      <c r="I351" s="387"/>
      <c r="J351" s="322"/>
      <c r="K351" s="360"/>
      <c r="L351" s="360"/>
      <c r="M351" s="360"/>
      <c r="N351" s="361"/>
      <c r="O351" s="324"/>
    </row>
    <row r="352" ht="12.75" customHeight="1">
      <c r="A352" s="322"/>
      <c r="B352" s="34" t="s">
        <v>17</v>
      </c>
      <c r="C352" s="35"/>
      <c r="D352" s="35"/>
      <c r="E352" s="35"/>
      <c r="F352" s="324"/>
      <c r="G352" s="387"/>
      <c r="H352" s="387"/>
      <c r="I352" s="387"/>
      <c r="J352" s="322"/>
      <c r="K352" s="34" t="s">
        <v>17</v>
      </c>
      <c r="L352" s="35"/>
      <c r="M352" s="35"/>
      <c r="N352" s="35"/>
      <c r="O352" s="324"/>
    </row>
    <row r="353" ht="12.75" customHeight="1">
      <c r="A353" s="322"/>
      <c r="B353" s="52" t="s">
        <v>42</v>
      </c>
      <c r="C353" s="54"/>
      <c r="D353" s="54"/>
      <c r="E353" s="56" t="s">
        <v>35</v>
      </c>
      <c r="F353" s="324"/>
      <c r="G353" s="387"/>
      <c r="H353" s="387"/>
      <c r="I353" s="387"/>
      <c r="J353" s="322"/>
      <c r="K353" s="52" t="s">
        <v>42</v>
      </c>
      <c r="L353" s="54"/>
      <c r="M353" s="54"/>
      <c r="N353" s="56" t="s">
        <v>35</v>
      </c>
      <c r="O353" s="324"/>
    </row>
    <row r="354" ht="12.75" customHeight="1">
      <c r="A354" s="322"/>
      <c r="B354" s="60" t="s">
        <v>40</v>
      </c>
      <c r="C354" s="343">
        <f>'UTL COST'!$B$3</f>
        <v>369000</v>
      </c>
      <c r="D354" s="379">
        <f>'UTL COST'!$C$3</f>
        <v>0.0075</v>
      </c>
      <c r="E354" s="67">
        <v>0.0</v>
      </c>
      <c r="F354" s="324"/>
      <c r="G354" s="387"/>
      <c r="H354" s="387"/>
      <c r="I354" s="387"/>
      <c r="J354" s="322"/>
      <c r="K354" s="60" t="s">
        <v>40</v>
      </c>
      <c r="L354" s="343">
        <f>'UTL COST'!$B$3</f>
        <v>369000</v>
      </c>
      <c r="M354" s="379">
        <f>'UTL COST'!$C$3</f>
        <v>0.0075</v>
      </c>
      <c r="N354" s="67">
        <v>0.0</v>
      </c>
      <c r="O354" s="324"/>
    </row>
    <row r="355" ht="12.75" customHeight="1">
      <c r="A355" s="322"/>
      <c r="B355" s="75" t="s">
        <v>51</v>
      </c>
      <c r="C355" s="371" t="str">
        <f>'UTL COST'!$B$4</f>
        <v>#REF!</v>
      </c>
      <c r="D355" s="382">
        <f>'UTL COST'!$C$4</f>
        <v>7000</v>
      </c>
      <c r="E355" s="76">
        <v>0.0</v>
      </c>
      <c r="F355" s="324"/>
      <c r="G355" s="387"/>
      <c r="H355" s="387"/>
      <c r="I355" s="387"/>
      <c r="J355" s="322"/>
      <c r="K355" s="75" t="s">
        <v>51</v>
      </c>
      <c r="L355" s="371" t="str">
        <f>'UTL COST'!$B$4</f>
        <v>#REF!</v>
      </c>
      <c r="M355" s="382">
        <f>'UTL COST'!$C$4</f>
        <v>7000</v>
      </c>
      <c r="N355" s="76">
        <v>0.0</v>
      </c>
      <c r="O355" s="324"/>
    </row>
    <row r="356" ht="12.75" customHeight="1">
      <c r="A356" s="322"/>
      <c r="B356" s="75" t="s">
        <v>59</v>
      </c>
      <c r="C356" s="371" t="str">
        <f>'UTL COST'!$B$5</f>
        <v>#REF!</v>
      </c>
      <c r="D356" s="382">
        <f>'UTL COST'!$C$5</f>
        <v>45000</v>
      </c>
      <c r="E356" s="76" t="str">
        <f>'UTL COST'!$D$5</f>
        <v>#REF!</v>
      </c>
      <c r="F356" s="324"/>
      <c r="G356" s="387"/>
      <c r="H356" s="387"/>
      <c r="I356" s="387"/>
      <c r="J356" s="322"/>
      <c r="K356" s="75" t="s">
        <v>59</v>
      </c>
      <c r="L356" s="371" t="str">
        <f>'UTL COST'!$B$5</f>
        <v>#REF!</v>
      </c>
      <c r="M356" s="382">
        <f>'UTL COST'!$C$5</f>
        <v>45000</v>
      </c>
      <c r="N356" s="76" t="str">
        <f>'UTL COST'!$D$5</f>
        <v>#REF!</v>
      </c>
      <c r="O356" s="324"/>
    </row>
    <row r="357" ht="12.75" customHeight="1">
      <c r="A357" s="322"/>
      <c r="B357" s="87" t="s">
        <v>78</v>
      </c>
      <c r="C357" s="371" t="str">
        <f>'UTL COST'!$B$6</f>
        <v>#REF!</v>
      </c>
      <c r="D357" s="383">
        <f>'UTL COST'!$C$6</f>
        <v>525</v>
      </c>
      <c r="E357" s="89">
        <v>0.1</v>
      </c>
      <c r="F357" s="324"/>
      <c r="G357" s="387"/>
      <c r="H357" s="387"/>
      <c r="I357" s="387"/>
      <c r="J357" s="322"/>
      <c r="K357" s="87" t="s">
        <v>78</v>
      </c>
      <c r="L357" s="371" t="str">
        <f>'UTL COST'!$B$6</f>
        <v>#REF!</v>
      </c>
      <c r="M357" s="383">
        <f>'UTL COST'!$C$6</f>
        <v>525</v>
      </c>
      <c r="N357" s="89">
        <v>0.1</v>
      </c>
      <c r="O357" s="324"/>
    </row>
    <row r="358" ht="12.75" customHeight="1">
      <c r="A358" s="322"/>
      <c r="B358" s="34" t="s">
        <v>84</v>
      </c>
      <c r="C358" s="102"/>
      <c r="D358" s="102"/>
      <c r="E358" s="104" t="str">
        <f>IF(SUM(E354:E357)=0,"",SUM(E354:E357))</f>
        <v>#REF!</v>
      </c>
      <c r="F358" s="324"/>
      <c r="G358" s="387"/>
      <c r="H358" s="387"/>
      <c r="I358" s="387"/>
      <c r="J358" s="322"/>
      <c r="K358" s="34" t="s">
        <v>84</v>
      </c>
      <c r="L358" s="102"/>
      <c r="M358" s="102"/>
      <c r="N358" s="104" t="str">
        <f>IF(SUM(N354:N357)=0,"",SUM(N354:N357))</f>
        <v>#REF!</v>
      </c>
      <c r="O358" s="324"/>
    </row>
    <row r="359" ht="12.75" customHeight="1">
      <c r="A359" s="322"/>
      <c r="B359" s="360"/>
      <c r="C359" s="360"/>
      <c r="D359" s="360"/>
      <c r="E359" s="361"/>
      <c r="F359" s="324"/>
      <c r="G359" s="387"/>
      <c r="H359" s="387"/>
      <c r="I359" s="387"/>
      <c r="J359" s="322"/>
      <c r="K359" s="360"/>
      <c r="L359" s="360"/>
      <c r="M359" s="360"/>
      <c r="N359" s="361"/>
      <c r="O359" s="324"/>
    </row>
    <row r="360" ht="15.75" customHeight="1"/>
    <row r="361" ht="12.75" customHeight="1">
      <c r="A361" s="453"/>
      <c r="B361" s="322"/>
      <c r="C361" s="322"/>
      <c r="D361" s="322"/>
      <c r="E361" s="323"/>
      <c r="F361" s="324"/>
      <c r="G361" s="387"/>
      <c r="H361" s="387"/>
      <c r="I361" s="387"/>
      <c r="J361" s="453"/>
      <c r="K361" s="322"/>
      <c r="L361" s="322"/>
      <c r="M361" s="322"/>
      <c r="N361" s="323"/>
      <c r="O361" s="324"/>
    </row>
    <row r="362" ht="12.75" customHeight="1">
      <c r="A362" s="322"/>
      <c r="B362" s="325"/>
      <c r="C362" s="322"/>
      <c r="D362" s="322"/>
      <c r="E362" s="323"/>
      <c r="F362" s="326"/>
      <c r="G362" s="387"/>
      <c r="H362" s="387"/>
      <c r="I362" s="387"/>
      <c r="J362" s="322"/>
      <c r="K362" s="325"/>
      <c r="L362" s="322"/>
      <c r="M362" s="322"/>
      <c r="N362" s="323"/>
      <c r="O362" s="326"/>
    </row>
    <row r="363" ht="12.75" customHeight="1">
      <c r="A363" s="322"/>
      <c r="B363" s="327" t="s">
        <v>931</v>
      </c>
      <c r="C363" s="330" t="s">
        <v>1504</v>
      </c>
      <c r="D363" s="329"/>
      <c r="E363" s="323"/>
      <c r="F363" s="326"/>
      <c r="G363" s="387"/>
      <c r="H363" s="387"/>
      <c r="I363" s="387"/>
      <c r="J363" s="322"/>
      <c r="K363" s="327" t="s">
        <v>931</v>
      </c>
      <c r="L363" s="330" t="s">
        <v>1505</v>
      </c>
      <c r="M363" s="329"/>
      <c r="N363" s="323"/>
      <c r="O363" s="326"/>
    </row>
    <row r="364" ht="12.75" customHeight="1">
      <c r="A364" s="322"/>
      <c r="B364" s="325"/>
      <c r="C364" s="322"/>
      <c r="D364" s="322"/>
      <c r="E364" s="323"/>
      <c r="F364" s="326"/>
      <c r="G364" s="387"/>
      <c r="H364" s="387"/>
      <c r="I364" s="387"/>
      <c r="J364" s="322"/>
      <c r="K364" s="325"/>
      <c r="L364" s="322"/>
      <c r="M364" s="322"/>
      <c r="N364" s="323"/>
      <c r="O364" s="326"/>
    </row>
    <row r="365" ht="12.75" customHeight="1">
      <c r="A365" s="322"/>
      <c r="B365" s="327" t="s">
        <v>935</v>
      </c>
      <c r="C365" s="331"/>
      <c r="D365" s="329"/>
      <c r="E365" s="323"/>
      <c r="F365" s="326"/>
      <c r="G365" s="387"/>
      <c r="H365" s="387"/>
      <c r="I365" s="387"/>
      <c r="J365" s="322"/>
      <c r="K365" s="327" t="s">
        <v>935</v>
      </c>
      <c r="L365" s="440">
        <v>400000.0</v>
      </c>
      <c r="M365" s="329"/>
      <c r="N365" s="323"/>
      <c r="O365" s="326"/>
    </row>
    <row r="366" ht="12.75" customHeight="1">
      <c r="A366" s="322"/>
      <c r="B366" s="327"/>
      <c r="C366" s="332"/>
      <c r="D366" s="332"/>
      <c r="E366" s="323"/>
      <c r="F366" s="326"/>
      <c r="G366" s="387"/>
      <c r="H366" s="387"/>
      <c r="I366" s="387"/>
      <c r="J366" s="322"/>
      <c r="K366" s="327"/>
      <c r="L366" s="332"/>
      <c r="M366" s="332"/>
      <c r="N366" s="323"/>
      <c r="O366" s="326"/>
    </row>
    <row r="367" ht="12.75" customHeight="1">
      <c r="A367" s="322"/>
      <c r="B367" s="327" t="s">
        <v>939</v>
      </c>
      <c r="C367" s="333" t="str">
        <f>IF(SUM(E379,E394,E402)=0,"",SUM(E379,E394,E402))</f>
        <v>#REF!</v>
      </c>
      <c r="D367" s="321"/>
      <c r="E367" s="323" t="str">
        <f>C367/90000</f>
        <v>#REF!</v>
      </c>
      <c r="F367" s="326"/>
      <c r="G367" s="387"/>
      <c r="H367" s="387"/>
      <c r="I367" s="387"/>
      <c r="J367" s="322"/>
      <c r="K367" s="327" t="s">
        <v>939</v>
      </c>
      <c r="L367" s="333" t="str">
        <f>IF(SUM(N379,N394,N402)=0,"",SUM(N379,N394,N402))</f>
        <v>#REF!</v>
      </c>
      <c r="M367" s="321"/>
      <c r="N367" s="323" t="str">
        <f>L367/90000</f>
        <v>#REF!</v>
      </c>
      <c r="O367" s="326"/>
    </row>
    <row r="368" ht="12.75" customHeight="1">
      <c r="A368" s="322"/>
      <c r="B368" s="327"/>
      <c r="C368" s="334"/>
      <c r="D368" s="334"/>
      <c r="E368" s="323" t="str">
        <f>E367/10</f>
        <v>#REF!</v>
      </c>
      <c r="F368" s="326"/>
      <c r="G368" s="387"/>
      <c r="H368" s="387"/>
      <c r="I368" s="387"/>
      <c r="J368" s="322"/>
      <c r="K368" s="327"/>
      <c r="L368" s="334"/>
      <c r="M368" s="334"/>
      <c r="N368" s="323" t="str">
        <f>N367/10</f>
        <v>#REF!</v>
      </c>
      <c r="O368" s="326"/>
    </row>
    <row r="369" ht="12.75" customHeight="1">
      <c r="A369" s="322"/>
      <c r="B369" s="327" t="s">
        <v>946</v>
      </c>
      <c r="C369" s="335" t="str">
        <f>IF(C367="","",IF(ISBLANK(C365),"",C367/C365))</f>
        <v>#REF!</v>
      </c>
      <c r="D369" s="321"/>
      <c r="E369" s="323"/>
      <c r="F369" s="326"/>
      <c r="G369" s="387"/>
      <c r="H369" s="387"/>
      <c r="I369" s="387"/>
      <c r="J369" s="322"/>
      <c r="K369" s="327" t="s">
        <v>946</v>
      </c>
      <c r="L369" s="335" t="str">
        <f>IF(L367="","",IF(ISBLANK(L365),"",L367/L365))</f>
        <v>#REF!</v>
      </c>
      <c r="M369" s="321"/>
      <c r="N369" s="323"/>
      <c r="O369" s="326"/>
    </row>
    <row r="370" ht="12.75" customHeight="1">
      <c r="A370" s="322"/>
      <c r="B370" s="327"/>
      <c r="C370" s="334"/>
      <c r="D370" s="334"/>
      <c r="E370" s="323"/>
      <c r="F370" s="326"/>
      <c r="G370" s="387"/>
      <c r="H370" s="387"/>
      <c r="I370" s="387"/>
      <c r="J370" s="322"/>
      <c r="K370" s="327"/>
      <c r="L370" s="334"/>
      <c r="M370" s="334"/>
      <c r="N370" s="551" t="str">
        <f>N367/4</f>
        <v>#REF!</v>
      </c>
      <c r="O370" s="326"/>
    </row>
    <row r="371" ht="12.75" customHeight="1">
      <c r="A371" s="322"/>
      <c r="B371" s="327" t="s">
        <v>950</v>
      </c>
      <c r="C371" s="333" t="str">
        <f>C365-C367</f>
        <v>#REF!</v>
      </c>
      <c r="D371" s="321"/>
      <c r="E371" s="323"/>
      <c r="F371" s="326"/>
      <c r="G371" s="387"/>
      <c r="H371" s="387"/>
      <c r="I371" s="387"/>
      <c r="J371" s="322"/>
      <c r="K371" s="327" t="s">
        <v>950</v>
      </c>
      <c r="L371" s="333" t="str">
        <f>L365-L367</f>
        <v>#REF!</v>
      </c>
      <c r="M371" s="321"/>
      <c r="N371" s="323"/>
      <c r="O371" s="326"/>
    </row>
    <row r="372" ht="12.75" customHeight="1">
      <c r="A372" s="322"/>
      <c r="B372" s="322"/>
      <c r="C372" s="322"/>
      <c r="D372" s="322"/>
      <c r="E372" s="323"/>
      <c r="F372" s="324"/>
      <c r="G372" s="387"/>
      <c r="H372" s="387"/>
      <c r="I372" s="387"/>
      <c r="J372" s="322"/>
      <c r="K372" s="322"/>
      <c r="L372" s="322"/>
      <c r="M372" s="322"/>
      <c r="N372" s="323"/>
      <c r="O372" s="324"/>
    </row>
    <row r="373" ht="12.75" customHeight="1">
      <c r="A373" s="322"/>
      <c r="B373" s="322"/>
      <c r="C373" s="322"/>
      <c r="D373" s="322"/>
      <c r="E373" s="337"/>
      <c r="F373" s="324"/>
      <c r="G373" s="387"/>
      <c r="H373" s="387"/>
      <c r="I373" s="387"/>
      <c r="J373" s="322"/>
      <c r="K373" s="322"/>
      <c r="L373" s="322"/>
      <c r="M373" s="322"/>
      <c r="N373" s="337"/>
      <c r="O373" s="324"/>
    </row>
    <row r="374" ht="12.75" customHeight="1">
      <c r="A374" s="322"/>
      <c r="B374" s="338" t="s">
        <v>951</v>
      </c>
      <c r="C374" s="339"/>
      <c r="D374" s="339"/>
      <c r="E374" s="339"/>
      <c r="F374" s="324"/>
      <c r="G374" s="387"/>
      <c r="H374" s="387"/>
      <c r="I374" s="387"/>
      <c r="J374" s="322"/>
      <c r="K374" s="338" t="s">
        <v>951</v>
      </c>
      <c r="L374" s="339"/>
      <c r="M374" s="339"/>
      <c r="N374" s="339"/>
      <c r="O374" s="324"/>
    </row>
    <row r="375" ht="12.75" customHeight="1">
      <c r="A375" s="322"/>
      <c r="B375" s="340" t="s">
        <v>953</v>
      </c>
      <c r="C375" s="341" t="s">
        <v>954</v>
      </c>
      <c r="D375" s="341" t="s">
        <v>955</v>
      </c>
      <c r="E375" s="341" t="s">
        <v>35</v>
      </c>
      <c r="F375" s="324"/>
      <c r="G375" s="387"/>
      <c r="H375" s="387"/>
      <c r="I375" s="387"/>
      <c r="J375" s="322"/>
      <c r="K375" s="340" t="s">
        <v>953</v>
      </c>
      <c r="L375" s="341" t="s">
        <v>954</v>
      </c>
      <c r="M375" s="341" t="s">
        <v>955</v>
      </c>
      <c r="N375" s="341" t="s">
        <v>35</v>
      </c>
      <c r="O375" s="324"/>
    </row>
    <row r="376" ht="12.75" customHeight="1">
      <c r="A376" s="322"/>
      <c r="B376" s="139" t="s">
        <v>1506</v>
      </c>
      <c r="C376" s="344">
        <v>1.5</v>
      </c>
      <c r="D376" s="343">
        <f>'F&amp;B'!F102</f>
        <v>63000</v>
      </c>
      <c r="E376" s="67">
        <f t="shared" ref="E376:E378" si="33">IF(OR(ISBLANK(C376),ISBLANK(D376)),"",D376*C376)</f>
        <v>94500</v>
      </c>
      <c r="F376" s="324"/>
      <c r="G376" s="387"/>
      <c r="H376" s="387"/>
      <c r="I376" s="387"/>
      <c r="J376" s="322"/>
      <c r="K376" s="139" t="s">
        <v>1417</v>
      </c>
      <c r="L376" s="344">
        <v>1.0</v>
      </c>
      <c r="M376" s="343" t="str">
        <f>C188</f>
        <v>#REF!</v>
      </c>
      <c r="N376" s="67" t="str">
        <f t="shared" ref="N376:N378" si="34">IF(OR(ISBLANK(L376),ISBLANK(M376)),"",M376*L376)</f>
        <v>#REF!</v>
      </c>
      <c r="O376" s="324"/>
    </row>
    <row r="377" ht="12.75" customHeight="1">
      <c r="A377" s="322"/>
      <c r="B377" s="228" t="s">
        <v>225</v>
      </c>
      <c r="C377" s="405">
        <v>5.0</v>
      </c>
      <c r="D377" s="371">
        <f>'F&amp;B'!F84/30</f>
        <v>1299</v>
      </c>
      <c r="E377" s="67">
        <f t="shared" si="33"/>
        <v>6495</v>
      </c>
      <c r="F377" s="324"/>
      <c r="G377" s="387"/>
      <c r="H377" s="387"/>
      <c r="I377" s="387"/>
      <c r="J377" s="322"/>
      <c r="K377" s="228" t="s">
        <v>1507</v>
      </c>
      <c r="L377" s="405">
        <v>1.0</v>
      </c>
      <c r="M377" s="343">
        <f>(15*90000)/70</f>
        <v>19285.71429</v>
      </c>
      <c r="N377" s="67">
        <f t="shared" si="34"/>
        <v>19285.71429</v>
      </c>
      <c r="O377" s="324"/>
    </row>
    <row r="378" ht="12.75" customHeight="1">
      <c r="A378" s="322"/>
      <c r="B378" s="406" t="s">
        <v>239</v>
      </c>
      <c r="C378" s="407">
        <v>0.23</v>
      </c>
      <c r="D378" s="408">
        <f>'F&amp;B'!F145/50</f>
        <v>165.6</v>
      </c>
      <c r="E378" s="67">
        <f t="shared" si="33"/>
        <v>38.088</v>
      </c>
      <c r="F378" s="324"/>
      <c r="G378" s="387"/>
      <c r="H378" s="387"/>
      <c r="I378" s="387"/>
      <c r="J378" s="322"/>
      <c r="K378" s="406"/>
      <c r="L378" s="407"/>
      <c r="M378" s="343"/>
      <c r="N378" s="67" t="str">
        <f t="shared" si="34"/>
        <v/>
      </c>
      <c r="O378" s="324"/>
    </row>
    <row r="379" ht="12.75" customHeight="1">
      <c r="A379" s="322"/>
      <c r="B379" s="338" t="s">
        <v>84</v>
      </c>
      <c r="C379" s="358"/>
      <c r="D379" s="358"/>
      <c r="E379" s="359">
        <f>IF(SUM(E376:E378)=0,"",SUM(E376:E378))</f>
        <v>101033.088</v>
      </c>
      <c r="F379" s="324"/>
      <c r="G379" s="387"/>
      <c r="H379" s="387"/>
      <c r="I379" s="387"/>
      <c r="J379" s="322"/>
      <c r="K379" s="338" t="s">
        <v>84</v>
      </c>
      <c r="L379" s="358"/>
      <c r="M379" s="358"/>
      <c r="N379" s="359" t="str">
        <f>IF(SUM(N376:N378)=0,"",SUM(N376:N378))</f>
        <v>#REF!</v>
      </c>
      <c r="O379" s="324"/>
    </row>
    <row r="380" ht="12.75" customHeight="1">
      <c r="A380" s="322"/>
      <c r="B380" s="360"/>
      <c r="C380" s="360"/>
      <c r="D380" s="360"/>
      <c r="E380" s="361"/>
      <c r="F380" s="324"/>
      <c r="G380" s="387"/>
      <c r="H380" s="387"/>
      <c r="I380" s="387"/>
      <c r="J380" s="322"/>
      <c r="K380" s="360"/>
      <c r="L380" s="360"/>
      <c r="M380" s="360"/>
      <c r="N380" s="361"/>
      <c r="O380" s="324"/>
    </row>
    <row r="381" ht="12.75" customHeight="1">
      <c r="A381" s="322"/>
      <c r="B381" s="362" t="s">
        <v>972</v>
      </c>
      <c r="C381" s="363"/>
      <c r="D381" s="363"/>
      <c r="E381" s="363"/>
      <c r="F381" s="324"/>
      <c r="G381" s="387"/>
      <c r="H381" s="387"/>
      <c r="I381" s="387"/>
      <c r="J381" s="322"/>
      <c r="K381" s="362" t="s">
        <v>972</v>
      </c>
      <c r="L381" s="363"/>
      <c r="M381" s="363"/>
      <c r="N381" s="363"/>
      <c r="O381" s="324"/>
    </row>
    <row r="382" ht="12.75" customHeight="1">
      <c r="A382" s="322"/>
      <c r="B382" s="365" t="s">
        <v>953</v>
      </c>
      <c r="C382" s="366" t="s">
        <v>3</v>
      </c>
      <c r="D382" s="366" t="s">
        <v>975</v>
      </c>
      <c r="E382" s="367" t="s">
        <v>35</v>
      </c>
      <c r="F382" s="324"/>
      <c r="G382" s="387"/>
      <c r="H382" s="387"/>
      <c r="I382" s="387"/>
      <c r="J382" s="322"/>
      <c r="K382" s="365" t="s">
        <v>953</v>
      </c>
      <c r="L382" s="366" t="s">
        <v>3</v>
      </c>
      <c r="M382" s="366" t="s">
        <v>975</v>
      </c>
      <c r="N382" s="367" t="s">
        <v>35</v>
      </c>
      <c r="O382" s="324"/>
    </row>
    <row r="383" ht="12.75" customHeight="1">
      <c r="A383" s="322"/>
      <c r="B383" s="368"/>
      <c r="C383" s="366"/>
      <c r="D383" s="366"/>
      <c r="E383" s="368"/>
      <c r="F383" s="324"/>
      <c r="G383" s="387"/>
      <c r="H383" s="387"/>
      <c r="I383" s="387"/>
      <c r="J383" s="322"/>
      <c r="K383" s="368"/>
      <c r="L383" s="366"/>
      <c r="M383" s="366"/>
      <c r="N383" s="368"/>
      <c r="O383" s="324"/>
    </row>
    <row r="384" ht="12.75" customHeight="1">
      <c r="A384" s="322"/>
      <c r="B384" s="139" t="s">
        <v>559</v>
      </c>
      <c r="C384" s="344">
        <v>0.012</v>
      </c>
      <c r="D384" s="343">
        <f>'F&amp;B'!F178</f>
        <v>330750</v>
      </c>
      <c r="E384" s="67">
        <f t="shared" ref="E384:E393" si="35">D384*C384</f>
        <v>3969</v>
      </c>
      <c r="F384" s="324"/>
      <c r="G384" s="387"/>
      <c r="H384" s="387"/>
      <c r="I384" s="387"/>
      <c r="J384" s="322"/>
      <c r="K384" s="139"/>
      <c r="L384" s="344"/>
      <c r="M384" s="343"/>
      <c r="N384" s="67">
        <f t="shared" ref="N384:N393" si="36">M384*L384</f>
        <v>0</v>
      </c>
      <c r="O384" s="324"/>
    </row>
    <row r="385" ht="12.75" customHeight="1">
      <c r="A385" s="322"/>
      <c r="B385" s="228" t="s">
        <v>1508</v>
      </c>
      <c r="C385" s="405">
        <v>1.5</v>
      </c>
      <c r="D385" s="371">
        <f>'F&amp;B'!F114</f>
        <v>24750</v>
      </c>
      <c r="E385" s="67">
        <f t="shared" si="35"/>
        <v>37125</v>
      </c>
      <c r="F385" s="324"/>
      <c r="G385" s="387"/>
      <c r="H385" s="387"/>
      <c r="I385" s="387"/>
      <c r="J385" s="322"/>
      <c r="K385" s="228"/>
      <c r="L385" s="405"/>
      <c r="M385" s="371"/>
      <c r="N385" s="67">
        <f t="shared" si="36"/>
        <v>0</v>
      </c>
      <c r="O385" s="324"/>
    </row>
    <row r="386" ht="12.75" customHeight="1">
      <c r="A386" s="322"/>
      <c r="B386" s="228" t="s">
        <v>374</v>
      </c>
      <c r="C386" s="405">
        <v>0.2</v>
      </c>
      <c r="D386" s="371">
        <f>'F&amp;B'!F79/25</f>
        <v>14040</v>
      </c>
      <c r="E386" s="67">
        <f t="shared" si="35"/>
        <v>2808</v>
      </c>
      <c r="F386" s="324"/>
      <c r="G386" s="387"/>
      <c r="H386" s="387"/>
      <c r="I386" s="387"/>
      <c r="J386" s="322"/>
      <c r="K386" s="228"/>
      <c r="L386" s="405"/>
      <c r="M386" s="371"/>
      <c r="N386" s="67">
        <f t="shared" si="36"/>
        <v>0</v>
      </c>
      <c r="O386" s="324"/>
    </row>
    <row r="387" ht="12.75" customHeight="1">
      <c r="A387" s="322"/>
      <c r="B387" s="75"/>
      <c r="C387" s="370"/>
      <c r="D387" s="371"/>
      <c r="E387" s="67">
        <f t="shared" si="35"/>
        <v>0</v>
      </c>
      <c r="F387" s="324"/>
      <c r="G387" s="387"/>
      <c r="H387" s="387"/>
      <c r="I387" s="387"/>
      <c r="J387" s="322"/>
      <c r="K387" s="75"/>
      <c r="L387" s="370"/>
      <c r="M387" s="371"/>
      <c r="N387" s="67">
        <f t="shared" si="36"/>
        <v>0</v>
      </c>
      <c r="O387" s="324"/>
    </row>
    <row r="388" ht="12.75" customHeight="1">
      <c r="A388" s="322"/>
      <c r="B388" s="75"/>
      <c r="C388" s="370"/>
      <c r="D388" s="371"/>
      <c r="E388" s="67">
        <f t="shared" si="35"/>
        <v>0</v>
      </c>
      <c r="F388" s="324"/>
      <c r="G388" s="387"/>
      <c r="H388" s="387"/>
      <c r="I388" s="387"/>
      <c r="J388" s="322"/>
      <c r="K388" s="75"/>
      <c r="L388" s="370"/>
      <c r="M388" s="371"/>
      <c r="N388" s="67">
        <f t="shared" si="36"/>
        <v>0</v>
      </c>
      <c r="O388" s="324"/>
    </row>
    <row r="389" ht="12.75" customHeight="1">
      <c r="A389" s="322"/>
      <c r="B389" s="75"/>
      <c r="C389" s="370"/>
      <c r="D389" s="371"/>
      <c r="E389" s="67">
        <f t="shared" si="35"/>
        <v>0</v>
      </c>
      <c r="F389" s="324"/>
      <c r="G389" s="387"/>
      <c r="H389" s="387"/>
      <c r="I389" s="387"/>
      <c r="J389" s="322"/>
      <c r="K389" s="75"/>
      <c r="L389" s="370"/>
      <c r="M389" s="371"/>
      <c r="N389" s="67">
        <f t="shared" si="36"/>
        <v>0</v>
      </c>
      <c r="O389" s="324"/>
    </row>
    <row r="390" ht="12.75" customHeight="1">
      <c r="A390" s="322"/>
      <c r="B390" s="75"/>
      <c r="C390" s="370"/>
      <c r="D390" s="371"/>
      <c r="E390" s="67">
        <f t="shared" si="35"/>
        <v>0</v>
      </c>
      <c r="F390" s="324"/>
      <c r="G390" s="387"/>
      <c r="H390" s="387"/>
      <c r="I390" s="387"/>
      <c r="J390" s="322"/>
      <c r="K390" s="75"/>
      <c r="L390" s="370"/>
      <c r="M390" s="371"/>
      <c r="N390" s="67">
        <f t="shared" si="36"/>
        <v>0</v>
      </c>
      <c r="O390" s="324"/>
    </row>
    <row r="391" ht="12.75" customHeight="1">
      <c r="A391" s="322"/>
      <c r="B391" s="75"/>
      <c r="C391" s="370"/>
      <c r="D391" s="371"/>
      <c r="E391" s="67">
        <f t="shared" si="35"/>
        <v>0</v>
      </c>
      <c r="F391" s="324"/>
      <c r="G391" s="387"/>
      <c r="H391" s="387"/>
      <c r="I391" s="387"/>
      <c r="J391" s="322"/>
      <c r="K391" s="75"/>
      <c r="L391" s="370"/>
      <c r="M391" s="371"/>
      <c r="N391" s="67">
        <f t="shared" si="36"/>
        <v>0</v>
      </c>
      <c r="O391" s="324"/>
    </row>
    <row r="392" ht="12.75" customHeight="1">
      <c r="A392" s="322"/>
      <c r="B392" s="75"/>
      <c r="C392" s="370"/>
      <c r="D392" s="371"/>
      <c r="E392" s="67">
        <f t="shared" si="35"/>
        <v>0</v>
      </c>
      <c r="F392" s="324"/>
      <c r="G392" s="387"/>
      <c r="H392" s="387"/>
      <c r="I392" s="387"/>
      <c r="J392" s="322"/>
      <c r="K392" s="75"/>
      <c r="L392" s="370"/>
      <c r="M392" s="371"/>
      <c r="N392" s="67">
        <f t="shared" si="36"/>
        <v>0</v>
      </c>
      <c r="O392" s="324"/>
    </row>
    <row r="393" ht="12.75" customHeight="1">
      <c r="A393" s="322"/>
      <c r="B393" s="87"/>
      <c r="C393" s="412"/>
      <c r="D393" s="408"/>
      <c r="E393" s="67">
        <f t="shared" si="35"/>
        <v>0</v>
      </c>
      <c r="F393" s="324"/>
      <c r="G393" s="387"/>
      <c r="H393" s="387"/>
      <c r="I393" s="387"/>
      <c r="J393" s="322"/>
      <c r="K393" s="87"/>
      <c r="L393" s="412"/>
      <c r="M393" s="408"/>
      <c r="N393" s="67">
        <f t="shared" si="36"/>
        <v>0</v>
      </c>
      <c r="O393" s="324"/>
    </row>
    <row r="394" ht="12.75" customHeight="1">
      <c r="A394" s="322"/>
      <c r="B394" s="362" t="s">
        <v>84</v>
      </c>
      <c r="C394" s="374"/>
      <c r="D394" s="374"/>
      <c r="E394" s="375">
        <f>IF(SUM(E384:E393)=0,"",SUM(E384:E393))</f>
        <v>43902</v>
      </c>
      <c r="F394" s="324"/>
      <c r="G394" s="387"/>
      <c r="H394" s="387"/>
      <c r="I394" s="387"/>
      <c r="J394" s="322"/>
      <c r="K394" s="362" t="s">
        <v>84</v>
      </c>
      <c r="L394" s="374"/>
      <c r="M394" s="374"/>
      <c r="N394" s="375" t="str">
        <f>IF(SUM(N384:N393)=0,"",SUM(N384:N393))</f>
        <v/>
      </c>
      <c r="O394" s="324"/>
    </row>
    <row r="395" ht="12.75" customHeight="1">
      <c r="A395" s="322"/>
      <c r="B395" s="360"/>
      <c r="C395" s="360"/>
      <c r="D395" s="360"/>
      <c r="E395" s="361"/>
      <c r="F395" s="324"/>
      <c r="G395" s="387"/>
      <c r="H395" s="387"/>
      <c r="I395" s="387"/>
      <c r="J395" s="322"/>
      <c r="K395" s="360"/>
      <c r="L395" s="360"/>
      <c r="M395" s="360"/>
      <c r="N395" s="361"/>
      <c r="O395" s="324"/>
    </row>
    <row r="396" ht="12.75" customHeight="1">
      <c r="A396" s="322"/>
      <c r="B396" s="34" t="s">
        <v>17</v>
      </c>
      <c r="C396" s="35"/>
      <c r="D396" s="35"/>
      <c r="E396" s="35"/>
      <c r="F396" s="324"/>
      <c r="G396" s="387"/>
      <c r="H396" s="387"/>
      <c r="I396" s="387"/>
      <c r="J396" s="322"/>
      <c r="K396" s="34" t="s">
        <v>17</v>
      </c>
      <c r="L396" s="35"/>
      <c r="M396" s="35"/>
      <c r="N396" s="35"/>
      <c r="O396" s="324"/>
    </row>
    <row r="397" ht="12.75" customHeight="1">
      <c r="A397" s="322"/>
      <c r="B397" s="52" t="s">
        <v>42</v>
      </c>
      <c r="C397" s="54"/>
      <c r="D397" s="54"/>
      <c r="E397" s="56" t="s">
        <v>35</v>
      </c>
      <c r="F397" s="324"/>
      <c r="G397" s="387"/>
      <c r="H397" s="387"/>
      <c r="I397" s="387"/>
      <c r="J397" s="322"/>
      <c r="K397" s="52" t="s">
        <v>42</v>
      </c>
      <c r="L397" s="54"/>
      <c r="M397" s="54"/>
      <c r="N397" s="56" t="s">
        <v>35</v>
      </c>
      <c r="O397" s="324"/>
    </row>
    <row r="398" ht="12.75" customHeight="1">
      <c r="A398" s="322"/>
      <c r="B398" s="60" t="s">
        <v>40</v>
      </c>
      <c r="C398" s="343">
        <f>'UTL COST'!$B$3</f>
        <v>369000</v>
      </c>
      <c r="D398" s="379">
        <f>'UTL COST'!$C$3</f>
        <v>0.0075</v>
      </c>
      <c r="E398" s="67">
        <v>0.0</v>
      </c>
      <c r="F398" s="324"/>
      <c r="G398" s="387"/>
      <c r="H398" s="387"/>
      <c r="I398" s="387"/>
      <c r="J398" s="322"/>
      <c r="K398" s="60" t="s">
        <v>40</v>
      </c>
      <c r="L398" s="343">
        <f>'UTL COST'!$B$3</f>
        <v>369000</v>
      </c>
      <c r="M398" s="379">
        <f>'UTL COST'!$C$3</f>
        <v>0.0075</v>
      </c>
      <c r="N398" s="67">
        <v>0.0</v>
      </c>
      <c r="O398" s="324"/>
    </row>
    <row r="399" ht="12.75" customHeight="1">
      <c r="A399" s="322"/>
      <c r="B399" s="75" t="s">
        <v>51</v>
      </c>
      <c r="C399" s="371" t="str">
        <f>'UTL COST'!$B$4</f>
        <v>#REF!</v>
      </c>
      <c r="D399" s="382">
        <f>'UTL COST'!$C$4</f>
        <v>7000</v>
      </c>
      <c r="E399" s="76">
        <v>0.0</v>
      </c>
      <c r="F399" s="324"/>
      <c r="G399" s="387"/>
      <c r="H399" s="387"/>
      <c r="I399" s="387"/>
      <c r="J399" s="322"/>
      <c r="K399" s="75" t="s">
        <v>51</v>
      </c>
      <c r="L399" s="371" t="str">
        <f>'UTL COST'!$B$4</f>
        <v>#REF!</v>
      </c>
      <c r="M399" s="382">
        <f>'UTL COST'!$C$4</f>
        <v>7000</v>
      </c>
      <c r="N399" s="76">
        <v>0.0</v>
      </c>
      <c r="O399" s="324"/>
    </row>
    <row r="400" ht="12.75" customHeight="1">
      <c r="A400" s="322"/>
      <c r="B400" s="75" t="s">
        <v>59</v>
      </c>
      <c r="C400" s="371" t="str">
        <f>'UTL COST'!$B$5</f>
        <v>#REF!</v>
      </c>
      <c r="D400" s="382">
        <f>'UTL COST'!$C$5</f>
        <v>45000</v>
      </c>
      <c r="E400" s="76" t="str">
        <f>'UTL COST'!$D$5*2</f>
        <v>#REF!</v>
      </c>
      <c r="F400" s="324"/>
      <c r="G400" s="387"/>
      <c r="H400" s="387"/>
      <c r="I400" s="387"/>
      <c r="J400" s="322"/>
      <c r="K400" s="75" t="s">
        <v>59</v>
      </c>
      <c r="L400" s="371" t="str">
        <f>'UTL COST'!$B$5</f>
        <v>#REF!</v>
      </c>
      <c r="M400" s="382">
        <f>'UTL COST'!$C$5</f>
        <v>45000</v>
      </c>
      <c r="N400" s="76" t="str">
        <f>'UTL COST'!$D$5*2</f>
        <v>#REF!</v>
      </c>
      <c r="O400" s="324"/>
    </row>
    <row r="401" ht="12.75" customHeight="1">
      <c r="A401" s="322"/>
      <c r="B401" s="87" t="s">
        <v>78</v>
      </c>
      <c r="C401" s="371" t="str">
        <f>'UTL COST'!$B$6</f>
        <v>#REF!</v>
      </c>
      <c r="D401" s="383">
        <f>'UTL COST'!$C$6</f>
        <v>525</v>
      </c>
      <c r="E401" s="89">
        <v>0.1</v>
      </c>
      <c r="F401" s="324"/>
      <c r="G401" s="387"/>
      <c r="H401" s="387"/>
      <c r="I401" s="387"/>
      <c r="J401" s="322"/>
      <c r="K401" s="87" t="s">
        <v>78</v>
      </c>
      <c r="L401" s="371" t="str">
        <f>'UTL COST'!$B$6</f>
        <v>#REF!</v>
      </c>
      <c r="M401" s="383">
        <f>'UTL COST'!$C$6</f>
        <v>525</v>
      </c>
      <c r="N401" s="89">
        <v>0.1</v>
      </c>
      <c r="O401" s="324"/>
    </row>
    <row r="402" ht="12.75" customHeight="1">
      <c r="A402" s="322"/>
      <c r="B402" s="34" t="s">
        <v>84</v>
      </c>
      <c r="C402" s="102"/>
      <c r="D402" s="102"/>
      <c r="E402" s="104" t="str">
        <f>IF(SUM(E398:E401)=0,"",SUM(E398:E401))</f>
        <v>#REF!</v>
      </c>
      <c r="F402" s="324"/>
      <c r="G402" s="387"/>
      <c r="H402" s="387"/>
      <c r="I402" s="387"/>
      <c r="J402" s="322"/>
      <c r="K402" s="34" t="s">
        <v>84</v>
      </c>
      <c r="L402" s="102"/>
      <c r="M402" s="102"/>
      <c r="N402" s="104" t="str">
        <f>IF(SUM(N398:N401)=0,"",SUM(N398:N401))</f>
        <v>#REF!</v>
      </c>
      <c r="O402" s="324"/>
    </row>
    <row r="403" ht="12.75" customHeight="1">
      <c r="A403" s="322"/>
      <c r="B403" s="360"/>
      <c r="C403" s="360"/>
      <c r="D403" s="360"/>
      <c r="E403" s="361"/>
      <c r="F403" s="324"/>
      <c r="G403" s="387"/>
      <c r="H403" s="387"/>
      <c r="I403" s="387"/>
      <c r="J403" s="322"/>
      <c r="K403" s="360"/>
      <c r="L403" s="360"/>
      <c r="M403" s="360"/>
      <c r="N403" s="361"/>
      <c r="O403" s="324"/>
    </row>
    <row r="404" ht="15.75" customHeight="1"/>
    <row r="405" ht="15.75" customHeight="1">
      <c r="A405" s="453"/>
      <c r="B405" s="322"/>
      <c r="C405" s="322"/>
      <c r="D405" s="322"/>
      <c r="E405" s="323"/>
      <c r="F405" s="324"/>
      <c r="J405" s="453"/>
      <c r="K405" s="322"/>
      <c r="L405" s="322"/>
      <c r="M405" s="322"/>
      <c r="N405" s="323"/>
      <c r="O405" s="324"/>
    </row>
    <row r="406" ht="15.75" customHeight="1">
      <c r="A406" s="322"/>
      <c r="B406" s="325"/>
      <c r="C406" s="322"/>
      <c r="D406" s="322"/>
      <c r="E406" s="323"/>
      <c r="F406" s="326"/>
      <c r="J406" s="322"/>
      <c r="K406" s="325"/>
      <c r="L406" s="322"/>
      <c r="M406" s="322"/>
      <c r="N406" s="323"/>
      <c r="O406" s="326"/>
    </row>
    <row r="407" ht="15.75" customHeight="1">
      <c r="A407" s="322"/>
      <c r="B407" s="327" t="s">
        <v>931</v>
      </c>
      <c r="C407" s="330" t="s">
        <v>1511</v>
      </c>
      <c r="D407" s="329"/>
      <c r="E407" s="323"/>
      <c r="F407" s="326"/>
      <c r="J407" s="322"/>
      <c r="K407" s="327" t="s">
        <v>931</v>
      </c>
      <c r="L407" s="330" t="s">
        <v>1512</v>
      </c>
      <c r="M407" s="329"/>
      <c r="N407" s="323"/>
      <c r="O407" s="326"/>
    </row>
    <row r="408" ht="15.75" customHeight="1">
      <c r="A408" s="322"/>
      <c r="B408" s="325"/>
      <c r="C408" s="322"/>
      <c r="D408" s="322"/>
      <c r="E408" s="323"/>
      <c r="F408" s="326"/>
      <c r="J408" s="322"/>
      <c r="K408" s="325"/>
      <c r="L408" s="322"/>
      <c r="M408" s="322"/>
      <c r="N408" s="323"/>
      <c r="O408" s="326"/>
    </row>
    <row r="409" ht="15.75" customHeight="1">
      <c r="A409" s="322"/>
      <c r="B409" s="327" t="s">
        <v>935</v>
      </c>
      <c r="C409" s="440">
        <v>1050000.0</v>
      </c>
      <c r="D409" s="329"/>
      <c r="E409" s="323">
        <f>C409/90000</f>
        <v>11.66666667</v>
      </c>
      <c r="F409" s="326"/>
      <c r="J409" s="322"/>
      <c r="K409" s="327" t="s">
        <v>935</v>
      </c>
      <c r="L409" s="440">
        <v>1350000.0</v>
      </c>
      <c r="M409" s="329"/>
      <c r="N409" s="323">
        <f>L409/90000</f>
        <v>15</v>
      </c>
      <c r="O409" s="326"/>
    </row>
    <row r="410" ht="15.75" customHeight="1">
      <c r="A410" s="322"/>
      <c r="B410" s="327"/>
      <c r="C410" s="332"/>
      <c r="D410" s="332"/>
      <c r="E410" s="323"/>
      <c r="F410" s="326"/>
      <c r="J410" s="322"/>
      <c r="K410" s="327"/>
      <c r="L410" s="332"/>
      <c r="M410" s="332"/>
      <c r="N410" s="323"/>
      <c r="O410" s="326"/>
    </row>
    <row r="411" ht="15.75" customHeight="1">
      <c r="A411" s="322"/>
      <c r="B411" s="327" t="s">
        <v>939</v>
      </c>
      <c r="C411" s="333" t="str">
        <f>IF(SUM(E423,E438,E446)=0,"",SUM(E423,E438,E446))</f>
        <v>#REF!</v>
      </c>
      <c r="D411" s="321"/>
      <c r="E411" s="323" t="str">
        <f>C411/90000</f>
        <v>#REF!</v>
      </c>
      <c r="F411" s="326"/>
      <c r="J411" s="322"/>
      <c r="K411" s="327" t="s">
        <v>939</v>
      </c>
      <c r="L411" s="333" t="str">
        <f>IF(SUM(N423,N438,N446)=0,"",SUM(N423,N438,N446))</f>
        <v>#REF!</v>
      </c>
      <c r="M411" s="321"/>
      <c r="N411" s="323" t="str">
        <f>L411/90000</f>
        <v>#REF!</v>
      </c>
      <c r="O411" s="326"/>
    </row>
    <row r="412" ht="15.75" customHeight="1">
      <c r="A412" s="322"/>
      <c r="B412" s="327"/>
      <c r="C412" s="334"/>
      <c r="D412" s="334"/>
      <c r="E412" s="323"/>
      <c r="F412" s="326"/>
      <c r="J412" s="322"/>
      <c r="K412" s="327"/>
      <c r="L412" s="334"/>
      <c r="M412" s="334"/>
      <c r="N412" s="323"/>
      <c r="O412" s="326"/>
    </row>
    <row r="413" ht="15.75" customHeight="1">
      <c r="A413" s="322"/>
      <c r="B413" s="327" t="s">
        <v>946</v>
      </c>
      <c r="C413" s="335" t="str">
        <f>IF(C411="","",IF(ISBLANK(C409),"",C411/C409))</f>
        <v>#REF!</v>
      </c>
      <c r="D413" s="321"/>
      <c r="E413" s="323"/>
      <c r="F413" s="326"/>
      <c r="J413" s="322"/>
      <c r="K413" s="327" t="s">
        <v>946</v>
      </c>
      <c r="L413" s="335" t="str">
        <f>IF(L411="","",IF(ISBLANK(L409),"",L411/L409))</f>
        <v>#REF!</v>
      </c>
      <c r="M413" s="321"/>
      <c r="N413" s="323"/>
      <c r="O413" s="326"/>
    </row>
    <row r="414" ht="15.75" customHeight="1">
      <c r="A414" s="322"/>
      <c r="B414" s="327"/>
      <c r="C414" s="334"/>
      <c r="D414" s="334"/>
      <c r="E414" s="323"/>
      <c r="F414" s="326"/>
      <c r="J414" s="322"/>
      <c r="K414" s="327"/>
      <c r="L414" s="334"/>
      <c r="M414" s="334"/>
      <c r="N414" s="323"/>
      <c r="O414" s="326"/>
    </row>
    <row r="415" ht="15.75" customHeight="1">
      <c r="A415" s="322"/>
      <c r="B415" s="327" t="s">
        <v>950</v>
      </c>
      <c r="C415" s="333" t="str">
        <f>C409-C411</f>
        <v>#REF!</v>
      </c>
      <c r="D415" s="321"/>
      <c r="E415" s="323"/>
      <c r="F415" s="326"/>
      <c r="J415" s="322"/>
      <c r="K415" s="327" t="s">
        <v>950</v>
      </c>
      <c r="L415" s="333" t="str">
        <f>L409-L411</f>
        <v>#REF!</v>
      </c>
      <c r="M415" s="321"/>
      <c r="N415" s="323"/>
      <c r="O415" s="326"/>
    </row>
    <row r="416" ht="15.75" customHeight="1">
      <c r="A416" s="322"/>
      <c r="B416" s="322"/>
      <c r="C416" s="322"/>
      <c r="D416" s="322"/>
      <c r="E416" s="323"/>
      <c r="F416" s="324"/>
      <c r="J416" s="322"/>
      <c r="K416" s="322"/>
      <c r="L416" s="322"/>
      <c r="M416" s="322"/>
      <c r="N416" s="323"/>
      <c r="O416" s="324"/>
    </row>
    <row r="417" ht="15.75" customHeight="1">
      <c r="A417" s="322"/>
      <c r="B417" s="322"/>
      <c r="C417" s="322"/>
      <c r="D417" s="322"/>
      <c r="E417" s="337"/>
      <c r="F417" s="324"/>
      <c r="J417" s="322"/>
      <c r="K417" s="322"/>
      <c r="L417" s="322"/>
      <c r="M417" s="322"/>
      <c r="N417" s="337"/>
      <c r="O417" s="324"/>
    </row>
    <row r="418" ht="15.75" customHeight="1">
      <c r="A418" s="322"/>
      <c r="B418" s="338" t="s">
        <v>951</v>
      </c>
      <c r="C418" s="339"/>
      <c r="D418" s="339"/>
      <c r="E418" s="339"/>
      <c r="F418" s="324"/>
      <c r="J418" s="322"/>
      <c r="K418" s="338" t="s">
        <v>951</v>
      </c>
      <c r="L418" s="339"/>
      <c r="M418" s="339"/>
      <c r="N418" s="339"/>
      <c r="O418" s="324"/>
    </row>
    <row r="419" ht="15.75" customHeight="1">
      <c r="A419" s="322"/>
      <c r="B419" s="340" t="s">
        <v>953</v>
      </c>
      <c r="C419" s="341" t="s">
        <v>954</v>
      </c>
      <c r="D419" s="341" t="s">
        <v>955</v>
      </c>
      <c r="E419" s="341" t="s">
        <v>35</v>
      </c>
      <c r="F419" s="324"/>
      <c r="J419" s="322"/>
      <c r="K419" s="340" t="s">
        <v>953</v>
      </c>
      <c r="L419" s="341" t="s">
        <v>954</v>
      </c>
      <c r="M419" s="341" t="s">
        <v>955</v>
      </c>
      <c r="N419" s="341" t="s">
        <v>35</v>
      </c>
      <c r="O419" s="324"/>
    </row>
    <row r="420" ht="15.75" customHeight="1">
      <c r="A420" s="322"/>
      <c r="B420" s="139" t="s">
        <v>1513</v>
      </c>
      <c r="C420" s="344">
        <v>1.0</v>
      </c>
      <c r="D420" s="343">
        <f>Prep!D96</f>
        <v>3941.3592</v>
      </c>
      <c r="E420" s="67">
        <f t="shared" ref="E420:E422" si="37">IF(OR(ISBLANK(C420),ISBLANK(D420)),"",D420*C420)</f>
        <v>3941.3592</v>
      </c>
      <c r="F420" s="324"/>
      <c r="J420" s="322"/>
      <c r="K420" s="139" t="s">
        <v>1513</v>
      </c>
      <c r="L420" s="344">
        <v>1.0</v>
      </c>
      <c r="M420" s="343">
        <f t="shared" ref="M420:M421" si="38">D420</f>
        <v>3941.3592</v>
      </c>
      <c r="N420" s="67">
        <f t="shared" ref="N420:N422" si="39">IF(OR(ISBLANK(L420),ISBLANK(M420)),"",M420*L420)</f>
        <v>3941.3592</v>
      </c>
      <c r="O420" s="324"/>
    </row>
    <row r="421" ht="15.75" customHeight="1">
      <c r="A421" s="322"/>
      <c r="B421" s="228" t="s">
        <v>1514</v>
      </c>
      <c r="C421" s="405">
        <v>0.06</v>
      </c>
      <c r="D421" s="371">
        <f>'F&amp;B'!F313</f>
        <v>9000</v>
      </c>
      <c r="E421" s="67">
        <f t="shared" si="37"/>
        <v>540</v>
      </c>
      <c r="F421" s="324"/>
      <c r="J421" s="322"/>
      <c r="K421" s="228" t="s">
        <v>1514</v>
      </c>
      <c r="L421" s="405">
        <v>0.06</v>
      </c>
      <c r="M421" s="343">
        <f t="shared" si="38"/>
        <v>9000</v>
      </c>
      <c r="N421" s="67">
        <f t="shared" si="39"/>
        <v>540</v>
      </c>
      <c r="O421" s="324"/>
    </row>
    <row r="422" ht="15.75" customHeight="1">
      <c r="A422" s="322"/>
      <c r="B422" s="406" t="s">
        <v>1515</v>
      </c>
      <c r="C422" s="407">
        <v>0.5</v>
      </c>
      <c r="D422" s="552">
        <v>120000.0</v>
      </c>
      <c r="E422" s="67">
        <f t="shared" si="37"/>
        <v>60000</v>
      </c>
      <c r="F422" s="324"/>
      <c r="J422" s="322"/>
      <c r="K422" s="406" t="s">
        <v>1515</v>
      </c>
      <c r="L422" s="407">
        <v>0.5</v>
      </c>
      <c r="M422" s="552">
        <v>120000.0</v>
      </c>
      <c r="N422" s="67">
        <f t="shared" si="39"/>
        <v>60000</v>
      </c>
      <c r="O422" s="324"/>
    </row>
    <row r="423" ht="15.75" customHeight="1">
      <c r="A423" s="322"/>
      <c r="B423" s="338" t="s">
        <v>84</v>
      </c>
      <c r="C423" s="358"/>
      <c r="D423" s="358"/>
      <c r="E423" s="359">
        <f>IF(SUM(E420:E422)=0,"",SUM(E420:E422))</f>
        <v>64481.3592</v>
      </c>
      <c r="F423" s="324"/>
      <c r="J423" s="322"/>
      <c r="K423" s="338" t="s">
        <v>84</v>
      </c>
      <c r="L423" s="358"/>
      <c r="M423" s="358"/>
      <c r="N423" s="359">
        <f>IF(SUM(N420:N422)=0,"",SUM(N420:N422))</f>
        <v>64481.3592</v>
      </c>
      <c r="O423" s="324"/>
    </row>
    <row r="424" ht="15.75" customHeight="1">
      <c r="A424" s="322"/>
      <c r="B424" s="360"/>
      <c r="C424" s="360"/>
      <c r="D424" s="360"/>
      <c r="E424" s="361"/>
      <c r="F424" s="324"/>
      <c r="J424" s="322"/>
      <c r="K424" s="360"/>
      <c r="L424" s="360"/>
      <c r="M424" s="360"/>
      <c r="N424" s="361"/>
      <c r="O424" s="324"/>
    </row>
    <row r="425" ht="15.75" customHeight="1">
      <c r="A425" s="322"/>
      <c r="B425" s="362" t="s">
        <v>972</v>
      </c>
      <c r="C425" s="363"/>
      <c r="D425" s="363"/>
      <c r="E425" s="363"/>
      <c r="F425" s="324"/>
      <c r="J425" s="322"/>
      <c r="K425" s="362" t="s">
        <v>972</v>
      </c>
      <c r="L425" s="363"/>
      <c r="M425" s="363"/>
      <c r="N425" s="363"/>
      <c r="O425" s="324"/>
    </row>
    <row r="426" ht="15.75" customHeight="1">
      <c r="A426" s="322"/>
      <c r="B426" s="365" t="s">
        <v>953</v>
      </c>
      <c r="C426" s="366" t="s">
        <v>3</v>
      </c>
      <c r="D426" s="366" t="s">
        <v>975</v>
      </c>
      <c r="E426" s="367" t="s">
        <v>35</v>
      </c>
      <c r="F426" s="324"/>
      <c r="J426" s="322"/>
      <c r="K426" s="365" t="s">
        <v>953</v>
      </c>
      <c r="L426" s="366" t="s">
        <v>3</v>
      </c>
      <c r="M426" s="366" t="s">
        <v>975</v>
      </c>
      <c r="N426" s="367" t="s">
        <v>35</v>
      </c>
      <c r="O426" s="324"/>
    </row>
    <row r="427" ht="15.75" customHeight="1">
      <c r="A427" s="322"/>
      <c r="B427" s="368"/>
      <c r="C427" s="366"/>
      <c r="D427" s="366"/>
      <c r="E427" s="368"/>
      <c r="F427" s="324"/>
      <c r="J427" s="322"/>
      <c r="K427" s="368"/>
      <c r="L427" s="366"/>
      <c r="M427" s="366"/>
      <c r="N427" s="368"/>
      <c r="O427" s="324"/>
    </row>
    <row r="428" ht="15.75" customHeight="1">
      <c r="A428" s="322"/>
      <c r="B428" s="139" t="s">
        <v>1405</v>
      </c>
      <c r="C428" s="344">
        <v>0.1</v>
      </c>
      <c r="D428" s="343">
        <f>M161</f>
        <v>8100</v>
      </c>
      <c r="E428" s="67">
        <f t="shared" ref="E428:E437" si="40">D428*C428</f>
        <v>810</v>
      </c>
      <c r="F428" s="324"/>
      <c r="J428" s="322"/>
      <c r="K428" s="139" t="s">
        <v>1517</v>
      </c>
      <c r="L428" s="344">
        <v>0.08</v>
      </c>
      <c r="M428" s="343">
        <f>'F&amp;B'!F108</f>
        <v>146880</v>
      </c>
      <c r="N428" s="67">
        <f t="shared" ref="N428:N437" si="41">M428*L428</f>
        <v>11750.4</v>
      </c>
      <c r="O428" s="324"/>
    </row>
    <row r="429" ht="15.75" customHeight="1">
      <c r="A429" s="322"/>
      <c r="B429" s="228" t="s">
        <v>1518</v>
      </c>
      <c r="C429" s="405">
        <v>0.11</v>
      </c>
      <c r="D429" s="371">
        <f>M466</f>
        <v>36963</v>
      </c>
      <c r="E429" s="67">
        <f t="shared" si="40"/>
        <v>4065.93</v>
      </c>
      <c r="F429" s="324"/>
      <c r="J429" s="322"/>
      <c r="K429" s="228" t="s">
        <v>1519</v>
      </c>
      <c r="L429" s="405">
        <v>0.015</v>
      </c>
      <c r="M429" s="371">
        <f>'F&amp;B'!F109/1.8</f>
        <v>175000</v>
      </c>
      <c r="N429" s="67">
        <f t="shared" si="41"/>
        <v>2625</v>
      </c>
      <c r="O429" s="324"/>
    </row>
    <row r="430" ht="15.75" customHeight="1">
      <c r="A430" s="322"/>
      <c r="B430" s="228" t="s">
        <v>1521</v>
      </c>
      <c r="C430" s="405">
        <v>0.03</v>
      </c>
      <c r="D430" s="371">
        <f>D429</f>
        <v>36963</v>
      </c>
      <c r="E430" s="67">
        <f t="shared" si="40"/>
        <v>1108.89</v>
      </c>
      <c r="F430" s="324"/>
      <c r="J430" s="322"/>
      <c r="K430" s="228" t="s">
        <v>1522</v>
      </c>
      <c r="L430" s="405">
        <v>0.02</v>
      </c>
      <c r="M430" s="371">
        <f>'F&amp;B'!F138</f>
        <v>103500</v>
      </c>
      <c r="N430" s="67">
        <f t="shared" si="41"/>
        <v>2070</v>
      </c>
      <c r="O430" s="324"/>
    </row>
    <row r="431" ht="15.75" customHeight="1">
      <c r="A431" s="322"/>
      <c r="B431" s="228" t="s">
        <v>1524</v>
      </c>
      <c r="C431" s="405">
        <v>1.0</v>
      </c>
      <c r="D431" s="423">
        <v>54000.0</v>
      </c>
      <c r="E431" s="67">
        <f t="shared" si="40"/>
        <v>54000</v>
      </c>
      <c r="F431" s="324"/>
      <c r="J431" s="322"/>
      <c r="K431" s="228" t="s">
        <v>1524</v>
      </c>
      <c r="L431" s="405">
        <v>1.0</v>
      </c>
      <c r="M431" s="423">
        <v>54000.0</v>
      </c>
      <c r="N431" s="67">
        <f t="shared" si="41"/>
        <v>54000</v>
      </c>
      <c r="O431" s="324"/>
    </row>
    <row r="432" ht="15.75" customHeight="1">
      <c r="A432" s="322"/>
      <c r="B432" s="228" t="s">
        <v>1525</v>
      </c>
      <c r="C432" s="405">
        <v>1.0</v>
      </c>
      <c r="D432" s="423">
        <v>54000.0</v>
      </c>
      <c r="E432" s="67">
        <f t="shared" si="40"/>
        <v>54000</v>
      </c>
      <c r="F432" s="324"/>
      <c r="J432" s="322"/>
      <c r="K432" s="228" t="s">
        <v>1525</v>
      </c>
      <c r="L432" s="405">
        <v>1.0</v>
      </c>
      <c r="M432" s="423">
        <v>54000.0</v>
      </c>
      <c r="N432" s="67">
        <f t="shared" si="41"/>
        <v>54000</v>
      </c>
      <c r="O432" s="324"/>
    </row>
    <row r="433" ht="15.75" customHeight="1">
      <c r="A433" s="322"/>
      <c r="B433" s="228" t="s">
        <v>1526</v>
      </c>
      <c r="C433" s="405">
        <v>1.0</v>
      </c>
      <c r="D433" s="423">
        <v>54000.0</v>
      </c>
      <c r="E433" s="67">
        <f t="shared" si="40"/>
        <v>54000</v>
      </c>
      <c r="F433" s="324"/>
      <c r="J433" s="322"/>
      <c r="K433" s="228" t="s">
        <v>1526</v>
      </c>
      <c r="L433" s="405">
        <v>1.0</v>
      </c>
      <c r="M433" s="423">
        <v>54000.0</v>
      </c>
      <c r="N433" s="67">
        <f t="shared" si="41"/>
        <v>54000</v>
      </c>
      <c r="O433" s="324"/>
    </row>
    <row r="434" ht="15.75" customHeight="1">
      <c r="A434" s="322"/>
      <c r="B434" s="228" t="s">
        <v>925</v>
      </c>
      <c r="C434" s="405">
        <v>0.01</v>
      </c>
      <c r="D434" s="371">
        <f>M473</f>
        <v>122400</v>
      </c>
      <c r="E434" s="67">
        <f t="shared" si="40"/>
        <v>1224</v>
      </c>
      <c r="F434" s="324"/>
      <c r="J434" s="322"/>
      <c r="K434" s="228" t="s">
        <v>1518</v>
      </c>
      <c r="L434" s="405">
        <v>0.04</v>
      </c>
      <c r="M434" s="371">
        <f>D429</f>
        <v>36963</v>
      </c>
      <c r="N434" s="67">
        <f t="shared" si="41"/>
        <v>1478.52</v>
      </c>
      <c r="O434" s="324"/>
    </row>
    <row r="435" ht="15.75" customHeight="1">
      <c r="A435" s="322"/>
      <c r="B435" s="75"/>
      <c r="C435" s="370"/>
      <c r="D435" s="371"/>
      <c r="E435" s="67">
        <f t="shared" si="40"/>
        <v>0</v>
      </c>
      <c r="F435" s="324"/>
      <c r="J435" s="322"/>
      <c r="K435" s="75"/>
      <c r="L435" s="370"/>
      <c r="M435" s="371"/>
      <c r="N435" s="67">
        <f t="shared" si="41"/>
        <v>0</v>
      </c>
      <c r="O435" s="324"/>
    </row>
    <row r="436" ht="15.75" customHeight="1">
      <c r="A436" s="322"/>
      <c r="B436" s="75"/>
      <c r="C436" s="370"/>
      <c r="D436" s="371"/>
      <c r="E436" s="67">
        <f t="shared" si="40"/>
        <v>0</v>
      </c>
      <c r="F436" s="324"/>
      <c r="J436" s="322"/>
      <c r="K436" s="75"/>
      <c r="L436" s="370"/>
      <c r="M436" s="371"/>
      <c r="N436" s="67">
        <f t="shared" si="41"/>
        <v>0</v>
      </c>
      <c r="O436" s="324"/>
    </row>
    <row r="437" ht="15.75" customHeight="1">
      <c r="A437" s="322"/>
      <c r="B437" s="87"/>
      <c r="C437" s="412"/>
      <c r="D437" s="408"/>
      <c r="E437" s="67">
        <f t="shared" si="40"/>
        <v>0</v>
      </c>
      <c r="F437" s="324"/>
      <c r="J437" s="322"/>
      <c r="K437" s="87"/>
      <c r="L437" s="412"/>
      <c r="M437" s="408"/>
      <c r="N437" s="67">
        <f t="shared" si="41"/>
        <v>0</v>
      </c>
      <c r="O437" s="324"/>
    </row>
    <row r="438" ht="15.75" customHeight="1">
      <c r="A438" s="322"/>
      <c r="B438" s="362" t="s">
        <v>84</v>
      </c>
      <c r="C438" s="374"/>
      <c r="D438" s="374"/>
      <c r="E438" s="375">
        <f>IF(SUM(E428:E437)=0,"",SUM(E428:E437))</f>
        <v>169208.82</v>
      </c>
      <c r="F438" s="324"/>
      <c r="J438" s="322"/>
      <c r="K438" s="362" t="s">
        <v>84</v>
      </c>
      <c r="L438" s="374"/>
      <c r="M438" s="374"/>
      <c r="N438" s="375">
        <f>IF(SUM(N428:N437)=0,"",SUM(N428:N437))</f>
        <v>179923.92</v>
      </c>
      <c r="O438" s="324"/>
    </row>
    <row r="439" ht="15.75" customHeight="1">
      <c r="A439" s="322"/>
      <c r="B439" s="360"/>
      <c r="C439" s="360"/>
      <c r="D439" s="360"/>
      <c r="E439" s="361"/>
      <c r="F439" s="324"/>
      <c r="J439" s="322"/>
      <c r="K439" s="360"/>
      <c r="L439" s="360"/>
      <c r="M439" s="360"/>
      <c r="N439" s="361"/>
      <c r="O439" s="324"/>
    </row>
    <row r="440" ht="15.75" customHeight="1">
      <c r="A440" s="322"/>
      <c r="B440" s="34" t="s">
        <v>17</v>
      </c>
      <c r="C440" s="35"/>
      <c r="D440" s="35"/>
      <c r="E440" s="35"/>
      <c r="F440" s="324"/>
      <c r="J440" s="322"/>
      <c r="K440" s="34" t="s">
        <v>17</v>
      </c>
      <c r="L440" s="35"/>
      <c r="M440" s="35"/>
      <c r="N440" s="35"/>
      <c r="O440" s="324"/>
    </row>
    <row r="441" ht="15.75" customHeight="1">
      <c r="A441" s="322"/>
      <c r="B441" s="52" t="s">
        <v>42</v>
      </c>
      <c r="C441" s="54"/>
      <c r="D441" s="54"/>
      <c r="E441" s="56" t="s">
        <v>35</v>
      </c>
      <c r="F441" s="324"/>
      <c r="J441" s="322"/>
      <c r="K441" s="52" t="s">
        <v>42</v>
      </c>
      <c r="L441" s="54"/>
      <c r="M441" s="54"/>
      <c r="N441" s="56" t="s">
        <v>35</v>
      </c>
      <c r="O441" s="324"/>
    </row>
    <row r="442" ht="15.75" customHeight="1">
      <c r="A442" s="322"/>
      <c r="B442" s="60" t="s">
        <v>40</v>
      </c>
      <c r="C442" s="343">
        <f>'UTL COST'!$B$3</f>
        <v>369000</v>
      </c>
      <c r="D442" s="379">
        <f>'UTL COST'!$C$3</f>
        <v>0.0075</v>
      </c>
      <c r="E442" s="67">
        <v>0.0</v>
      </c>
      <c r="F442" s="324"/>
      <c r="J442" s="322"/>
      <c r="K442" s="60" t="s">
        <v>40</v>
      </c>
      <c r="L442" s="343">
        <f>'UTL COST'!$B$3</f>
        <v>369000</v>
      </c>
      <c r="M442" s="379">
        <f>'UTL COST'!$C$3</f>
        <v>0.0075</v>
      </c>
      <c r="N442" s="67">
        <v>0.0</v>
      </c>
      <c r="O442" s="324"/>
    </row>
    <row r="443" ht="15.75" customHeight="1">
      <c r="A443" s="322"/>
      <c r="B443" s="75" t="s">
        <v>51</v>
      </c>
      <c r="C443" s="371" t="str">
        <f>'UTL COST'!$B$4</f>
        <v>#REF!</v>
      </c>
      <c r="D443" s="382">
        <f>'UTL COST'!$C$4</f>
        <v>7000</v>
      </c>
      <c r="E443" s="76">
        <v>0.0</v>
      </c>
      <c r="F443" s="324"/>
      <c r="J443" s="322"/>
      <c r="K443" s="75" t="s">
        <v>51</v>
      </c>
      <c r="L443" s="371" t="str">
        <f>'UTL COST'!$B$4</f>
        <v>#REF!</v>
      </c>
      <c r="M443" s="382">
        <f>'UTL COST'!$C$4</f>
        <v>7000</v>
      </c>
      <c r="N443" s="76">
        <v>0.0</v>
      </c>
      <c r="O443" s="324"/>
    </row>
    <row r="444" ht="15.75" customHeight="1">
      <c r="A444" s="322"/>
      <c r="B444" s="75" t="s">
        <v>59</v>
      </c>
      <c r="C444" s="371" t="str">
        <f>'UTL COST'!$B$5</f>
        <v>#REF!</v>
      </c>
      <c r="D444" s="382">
        <f>'UTL COST'!$C$5</f>
        <v>45000</v>
      </c>
      <c r="E444" s="76" t="str">
        <f>'UTL COST'!$D$5*2</f>
        <v>#REF!</v>
      </c>
      <c r="F444" s="324"/>
      <c r="J444" s="322"/>
      <c r="K444" s="75" t="s">
        <v>59</v>
      </c>
      <c r="L444" s="371" t="str">
        <f>'UTL COST'!$B$5</f>
        <v>#REF!</v>
      </c>
      <c r="M444" s="382">
        <f>'UTL COST'!$C$5</f>
        <v>45000</v>
      </c>
      <c r="N444" s="76" t="str">
        <f>'UTL COST'!$D$5*2</f>
        <v>#REF!</v>
      </c>
      <c r="O444" s="324"/>
    </row>
    <row r="445" ht="15.75" customHeight="1">
      <c r="A445" s="322"/>
      <c r="B445" s="87" t="s">
        <v>78</v>
      </c>
      <c r="C445" s="371" t="str">
        <f>'UTL COST'!$B$6</f>
        <v>#REF!</v>
      </c>
      <c r="D445" s="383">
        <f>'UTL COST'!$C$6</f>
        <v>525</v>
      </c>
      <c r="E445" s="89">
        <v>0.1</v>
      </c>
      <c r="F445" s="324"/>
      <c r="J445" s="322"/>
      <c r="K445" s="87" t="s">
        <v>78</v>
      </c>
      <c r="L445" s="371" t="str">
        <f>'UTL COST'!$B$6</f>
        <v>#REF!</v>
      </c>
      <c r="M445" s="383">
        <f>'UTL COST'!$C$6</f>
        <v>525</v>
      </c>
      <c r="N445" s="89">
        <v>0.1</v>
      </c>
      <c r="O445" s="324"/>
    </row>
    <row r="446" ht="15.75" customHeight="1">
      <c r="A446" s="322"/>
      <c r="B446" s="34" t="s">
        <v>84</v>
      </c>
      <c r="C446" s="102"/>
      <c r="D446" s="102"/>
      <c r="E446" s="104" t="str">
        <f>IF(SUM(E442:E445)=0,"",SUM(E442:E445))</f>
        <v>#REF!</v>
      </c>
      <c r="F446" s="324"/>
      <c r="J446" s="322"/>
      <c r="K446" s="34" t="s">
        <v>84</v>
      </c>
      <c r="L446" s="102"/>
      <c r="M446" s="102"/>
      <c r="N446" s="104" t="str">
        <f>IF(SUM(N442:N445)=0,"",SUM(N442:N445))</f>
        <v>#REF!</v>
      </c>
      <c r="O446" s="324"/>
    </row>
    <row r="447" ht="15.75" customHeight="1">
      <c r="A447" s="322"/>
      <c r="B447" s="360"/>
      <c r="C447" s="360"/>
      <c r="D447" s="360"/>
      <c r="E447" s="361"/>
      <c r="F447" s="324"/>
      <c r="J447" s="322"/>
      <c r="K447" s="360"/>
      <c r="L447" s="360"/>
      <c r="M447" s="360"/>
      <c r="N447" s="361"/>
      <c r="O447" s="324"/>
    </row>
    <row r="448" ht="15.75" customHeight="1"/>
    <row r="449" ht="15.75" customHeight="1">
      <c r="A449" s="453"/>
      <c r="B449" s="322"/>
      <c r="C449" s="322"/>
      <c r="D449" s="322"/>
      <c r="E449" s="323"/>
      <c r="F449" s="324"/>
      <c r="J449" s="453"/>
      <c r="K449" s="322"/>
      <c r="L449" s="322"/>
      <c r="M449" s="322"/>
      <c r="N449" s="323"/>
      <c r="O449" s="324"/>
    </row>
    <row r="450" ht="15.75" customHeight="1">
      <c r="A450" s="322"/>
      <c r="B450" s="325"/>
      <c r="C450" s="322"/>
      <c r="D450" s="322"/>
      <c r="E450" s="323"/>
      <c r="F450" s="326"/>
      <c r="J450" s="322"/>
      <c r="K450" s="325"/>
      <c r="L450" s="322"/>
      <c r="M450" s="322"/>
      <c r="N450" s="323"/>
      <c r="O450" s="326"/>
    </row>
    <row r="451" ht="15.75" customHeight="1">
      <c r="A451" s="322"/>
      <c r="B451" s="327" t="s">
        <v>931</v>
      </c>
      <c r="C451" s="330" t="s">
        <v>1527</v>
      </c>
      <c r="D451" s="329"/>
      <c r="E451" s="323"/>
      <c r="F451" s="326"/>
      <c r="J451" s="322"/>
      <c r="K451" s="327" t="s">
        <v>931</v>
      </c>
      <c r="L451" s="330" t="s">
        <v>1528</v>
      </c>
      <c r="M451" s="329"/>
      <c r="N451" s="323"/>
      <c r="O451" s="326"/>
    </row>
    <row r="452" ht="15.75" customHeight="1">
      <c r="A452" s="322"/>
      <c r="B452" s="325"/>
      <c r="C452" s="322"/>
      <c r="D452" s="322"/>
      <c r="E452" s="323"/>
      <c r="F452" s="326"/>
      <c r="J452" s="322"/>
      <c r="K452" s="325"/>
      <c r="L452" s="322"/>
      <c r="M452" s="322"/>
      <c r="N452" s="323"/>
      <c r="O452" s="326"/>
    </row>
    <row r="453" ht="15.75" customHeight="1">
      <c r="A453" s="322"/>
      <c r="B453" s="327" t="s">
        <v>935</v>
      </c>
      <c r="C453" s="440">
        <v>850000.0</v>
      </c>
      <c r="D453" s="329"/>
      <c r="E453" s="323">
        <f>C453/90000</f>
        <v>9.444444444</v>
      </c>
      <c r="F453" s="326"/>
      <c r="J453" s="322"/>
      <c r="K453" s="327" t="s">
        <v>935</v>
      </c>
      <c r="L453" s="440">
        <f>6*90000</f>
        <v>540000</v>
      </c>
      <c r="M453" s="329"/>
      <c r="N453" s="323">
        <f>L453/90000</f>
        <v>6</v>
      </c>
      <c r="O453" s="326"/>
    </row>
    <row r="454" ht="15.75" customHeight="1">
      <c r="A454" s="322"/>
      <c r="B454" s="327"/>
      <c r="C454" s="332"/>
      <c r="D454" s="332"/>
      <c r="E454" s="323"/>
      <c r="F454" s="326"/>
      <c r="J454" s="322"/>
      <c r="K454" s="327"/>
      <c r="L454" s="332"/>
      <c r="M454" s="332"/>
      <c r="N454" s="323"/>
      <c r="O454" s="326"/>
    </row>
    <row r="455" ht="15.75" customHeight="1">
      <c r="A455" s="322"/>
      <c r="B455" s="327" t="s">
        <v>939</v>
      </c>
      <c r="C455" s="333" t="str">
        <f>IF(SUM(E467,E482,E490)=0,"",SUM(E467,E482,E490))</f>
        <v>#REF!</v>
      </c>
      <c r="D455" s="321"/>
      <c r="E455" s="323" t="str">
        <f>C455/90000</f>
        <v>#REF!</v>
      </c>
      <c r="F455" s="326"/>
      <c r="J455" s="322"/>
      <c r="K455" s="327" t="s">
        <v>939</v>
      </c>
      <c r="L455" s="333" t="str">
        <f>IF(SUM(N467,N482,N490)=0,"",SUM(N467,N482,N490))</f>
        <v>#REF!</v>
      </c>
      <c r="M455" s="321"/>
      <c r="N455" s="323" t="str">
        <f>L455/90000</f>
        <v>#REF!</v>
      </c>
      <c r="O455" s="326"/>
    </row>
    <row r="456" ht="15.75" customHeight="1">
      <c r="A456" s="322"/>
      <c r="B456" s="327"/>
      <c r="C456" s="334"/>
      <c r="D456" s="334"/>
      <c r="E456" s="323"/>
      <c r="F456" s="326"/>
      <c r="J456" s="322"/>
      <c r="K456" s="327"/>
      <c r="L456" s="334"/>
      <c r="M456" s="334"/>
      <c r="N456" s="323"/>
      <c r="O456" s="326"/>
    </row>
    <row r="457" ht="15.75" customHeight="1">
      <c r="A457" s="322"/>
      <c r="B457" s="327" t="s">
        <v>946</v>
      </c>
      <c r="C457" s="335" t="str">
        <f>IF(C455="","",IF(ISBLANK(C453),"",C455/C453))</f>
        <v>#REF!</v>
      </c>
      <c r="D457" s="321"/>
      <c r="E457" s="323"/>
      <c r="F457" s="326"/>
      <c r="J457" s="322"/>
      <c r="K457" s="327" t="s">
        <v>946</v>
      </c>
      <c r="L457" s="335" t="str">
        <f>IF(L455="","",IF(ISBLANK(L453),"",L455/L453))</f>
        <v>#REF!</v>
      </c>
      <c r="M457" s="321"/>
      <c r="N457" s="323"/>
      <c r="O457" s="326"/>
    </row>
    <row r="458" ht="15.75" customHeight="1">
      <c r="A458" s="322"/>
      <c r="B458" s="327"/>
      <c r="C458" s="334"/>
      <c r="D458" s="334"/>
      <c r="E458" s="323"/>
      <c r="F458" s="326"/>
      <c r="J458" s="322"/>
      <c r="K458" s="327"/>
      <c r="L458" s="334"/>
      <c r="M458" s="334"/>
      <c r="N458" s="323"/>
      <c r="O458" s="326"/>
    </row>
    <row r="459" ht="15.75" customHeight="1">
      <c r="A459" s="322"/>
      <c r="B459" s="327" t="s">
        <v>950</v>
      </c>
      <c r="C459" s="333" t="str">
        <f>C453-C455</f>
        <v>#REF!</v>
      </c>
      <c r="D459" s="321"/>
      <c r="E459" s="323"/>
      <c r="F459" s="326"/>
      <c r="J459" s="322"/>
      <c r="K459" s="327" t="s">
        <v>950</v>
      </c>
      <c r="L459" s="333" t="str">
        <f>L453-L455</f>
        <v>#REF!</v>
      </c>
      <c r="M459" s="321"/>
      <c r="N459" s="323"/>
      <c r="O459" s="326"/>
    </row>
    <row r="460" ht="15.75" customHeight="1">
      <c r="A460" s="322"/>
      <c r="B460" s="322"/>
      <c r="C460" s="322"/>
      <c r="D460" s="322"/>
      <c r="E460" s="323"/>
      <c r="F460" s="324"/>
      <c r="J460" s="322"/>
      <c r="K460" s="322"/>
      <c r="L460" s="322"/>
      <c r="M460" s="322"/>
      <c r="N460" s="323"/>
      <c r="O460" s="324"/>
    </row>
    <row r="461" ht="15.75" customHeight="1">
      <c r="A461" s="322"/>
      <c r="B461" s="322"/>
      <c r="C461" s="322"/>
      <c r="D461" s="322"/>
      <c r="E461" s="337"/>
      <c r="F461" s="324"/>
      <c r="J461" s="322"/>
      <c r="K461" s="322"/>
      <c r="L461" s="322"/>
      <c r="M461" s="322"/>
      <c r="N461" s="337"/>
      <c r="O461" s="324"/>
    </row>
    <row r="462" ht="15.75" customHeight="1">
      <c r="A462" s="322"/>
      <c r="B462" s="338" t="s">
        <v>951</v>
      </c>
      <c r="C462" s="339"/>
      <c r="D462" s="339"/>
      <c r="E462" s="339"/>
      <c r="F462" s="324"/>
      <c r="J462" s="322"/>
      <c r="K462" s="338" t="s">
        <v>951</v>
      </c>
      <c r="L462" s="339"/>
      <c r="M462" s="339"/>
      <c r="N462" s="339"/>
      <c r="O462" s="324"/>
    </row>
    <row r="463" ht="15.75" customHeight="1">
      <c r="A463" s="322"/>
      <c r="B463" s="340" t="s">
        <v>953</v>
      </c>
      <c r="C463" s="341" t="s">
        <v>954</v>
      </c>
      <c r="D463" s="341" t="s">
        <v>955</v>
      </c>
      <c r="E463" s="341" t="s">
        <v>35</v>
      </c>
      <c r="F463" s="324"/>
      <c r="J463" s="322"/>
      <c r="K463" s="340" t="s">
        <v>953</v>
      </c>
      <c r="L463" s="341" t="s">
        <v>954</v>
      </c>
      <c r="M463" s="341" t="s">
        <v>955</v>
      </c>
      <c r="N463" s="341" t="s">
        <v>35</v>
      </c>
      <c r="O463" s="324"/>
    </row>
    <row r="464" ht="15.75" customHeight="1">
      <c r="A464" s="322"/>
      <c r="B464" s="139" t="s">
        <v>1513</v>
      </c>
      <c r="C464" s="344">
        <v>1.0</v>
      </c>
      <c r="D464" s="343">
        <f t="shared" ref="D464:D465" si="42">D420</f>
        <v>3941.3592</v>
      </c>
      <c r="E464" s="67">
        <f t="shared" ref="E464:E466" si="43">IF(OR(ISBLANK(C464),ISBLANK(D464)),"",D464*C464)</f>
        <v>3941.3592</v>
      </c>
      <c r="F464" s="324"/>
      <c r="J464" s="322"/>
      <c r="K464" s="139" t="s">
        <v>1480</v>
      </c>
      <c r="L464" s="344">
        <v>1.0</v>
      </c>
      <c r="M464" s="343">
        <f>'F&amp;B'!F120</f>
        <v>18000</v>
      </c>
      <c r="N464" s="67">
        <f t="shared" ref="N464:N466" si="44">IF(OR(ISBLANK(L464),ISBLANK(M464)),"",M464*L464)</f>
        <v>18000</v>
      </c>
      <c r="O464" s="324"/>
    </row>
    <row r="465" ht="15.75" customHeight="1">
      <c r="A465" s="322"/>
      <c r="B465" s="228" t="s">
        <v>1514</v>
      </c>
      <c r="C465" s="405">
        <v>0.06</v>
      </c>
      <c r="D465" s="371">
        <f t="shared" si="42"/>
        <v>9000</v>
      </c>
      <c r="E465" s="67">
        <f t="shared" si="43"/>
        <v>540</v>
      </c>
      <c r="F465" s="324"/>
      <c r="J465" s="322"/>
      <c r="K465" s="228" t="s">
        <v>1529</v>
      </c>
      <c r="L465" s="405">
        <v>0.12</v>
      </c>
      <c r="M465" s="371">
        <f>M242</f>
        <v>51750</v>
      </c>
      <c r="N465" s="67">
        <f t="shared" si="44"/>
        <v>6210</v>
      </c>
      <c r="O465" s="324"/>
    </row>
    <row r="466" ht="15.75" customHeight="1">
      <c r="A466" s="322"/>
      <c r="B466" s="406" t="s">
        <v>1530</v>
      </c>
      <c r="C466" s="407">
        <v>0.1</v>
      </c>
      <c r="D466" s="552">
        <f>'F&amp;B'!F39*3.2</f>
        <v>41184</v>
      </c>
      <c r="E466" s="67">
        <f t="shared" si="43"/>
        <v>4118.4</v>
      </c>
      <c r="F466" s="324"/>
      <c r="J466" s="322"/>
      <c r="K466" s="406" t="s">
        <v>1480</v>
      </c>
      <c r="L466" s="407"/>
      <c r="M466" s="552">
        <f>D288</f>
        <v>36963</v>
      </c>
      <c r="N466" s="67" t="str">
        <f t="shared" si="44"/>
        <v/>
      </c>
      <c r="O466" s="324"/>
    </row>
    <row r="467" ht="15.75" customHeight="1">
      <c r="A467" s="322"/>
      <c r="B467" s="338" t="s">
        <v>84</v>
      </c>
      <c r="C467" s="358"/>
      <c r="D467" s="358"/>
      <c r="E467" s="359">
        <f>IF(SUM(E464:E466)=0,"",SUM(E464:E466))</f>
        <v>8599.7592</v>
      </c>
      <c r="F467" s="324"/>
      <c r="J467" s="322"/>
      <c r="K467" s="338" t="s">
        <v>84</v>
      </c>
      <c r="L467" s="358"/>
      <c r="M467" s="358"/>
      <c r="N467" s="359">
        <f>IF(SUM(N464:N466)=0,"",SUM(N464:N466))</f>
        <v>24210</v>
      </c>
      <c r="O467" s="324"/>
    </row>
    <row r="468" ht="15.75" customHeight="1">
      <c r="A468" s="322"/>
      <c r="B468" s="360"/>
      <c r="C468" s="360"/>
      <c r="D468" s="360"/>
      <c r="E468" s="361"/>
      <c r="F468" s="324"/>
      <c r="J468" s="322"/>
      <c r="K468" s="360"/>
      <c r="L468" s="360"/>
      <c r="M468" s="360"/>
      <c r="N468" s="361"/>
      <c r="O468" s="324"/>
    </row>
    <row r="469" ht="15.75" customHeight="1">
      <c r="A469" s="322"/>
      <c r="B469" s="362" t="s">
        <v>972</v>
      </c>
      <c r="C469" s="363"/>
      <c r="D469" s="363"/>
      <c r="E469" s="363"/>
      <c r="F469" s="324"/>
      <c r="J469" s="322"/>
      <c r="K469" s="362" t="s">
        <v>972</v>
      </c>
      <c r="L469" s="363"/>
      <c r="M469" s="363"/>
      <c r="N469" s="363"/>
      <c r="O469" s="324"/>
    </row>
    <row r="470" ht="15.75" customHeight="1">
      <c r="A470" s="322"/>
      <c r="B470" s="365" t="s">
        <v>953</v>
      </c>
      <c r="C470" s="366" t="s">
        <v>3</v>
      </c>
      <c r="D470" s="366" t="s">
        <v>975</v>
      </c>
      <c r="E470" s="367" t="s">
        <v>35</v>
      </c>
      <c r="F470" s="324"/>
      <c r="J470" s="322"/>
      <c r="K470" s="365" t="s">
        <v>953</v>
      </c>
      <c r="L470" s="366" t="s">
        <v>3</v>
      </c>
      <c r="M470" s="366" t="s">
        <v>975</v>
      </c>
      <c r="N470" s="367" t="s">
        <v>35</v>
      </c>
      <c r="O470" s="324"/>
    </row>
    <row r="471" ht="15.75" customHeight="1">
      <c r="A471" s="322"/>
      <c r="B471" s="368"/>
      <c r="C471" s="366"/>
      <c r="D471" s="366"/>
      <c r="E471" s="368"/>
      <c r="F471" s="324"/>
      <c r="J471" s="322"/>
      <c r="K471" s="368"/>
      <c r="L471" s="366"/>
      <c r="M471" s="366"/>
      <c r="N471" s="368"/>
      <c r="O471" s="324"/>
    </row>
    <row r="472" ht="15.75" customHeight="1">
      <c r="A472" s="322"/>
      <c r="B472" s="139" t="s">
        <v>1405</v>
      </c>
      <c r="C472" s="344">
        <v>0.15</v>
      </c>
      <c r="D472" s="343">
        <f>D428</f>
        <v>8100</v>
      </c>
      <c r="E472" s="67">
        <f t="shared" ref="E472:E474" si="45">D472*C472</f>
        <v>1215</v>
      </c>
      <c r="F472" s="324"/>
      <c r="J472" s="322"/>
      <c r="K472" s="139" t="s">
        <v>1536</v>
      </c>
      <c r="L472" s="344"/>
      <c r="M472" s="343">
        <f>'F&amp;B'!F83*2</f>
        <v>59400</v>
      </c>
      <c r="N472" s="67">
        <f t="shared" ref="N472:N481" si="46">M472*L472</f>
        <v>0</v>
      </c>
      <c r="O472" s="324"/>
    </row>
    <row r="473" ht="15.75" customHeight="1">
      <c r="A473" s="322"/>
      <c r="B473" s="228" t="s">
        <v>925</v>
      </c>
      <c r="C473" s="405">
        <v>0.02</v>
      </c>
      <c r="D473" s="371">
        <f>M473</f>
        <v>122400</v>
      </c>
      <c r="E473" s="67">
        <f t="shared" si="45"/>
        <v>2448</v>
      </c>
      <c r="F473" s="324"/>
      <c r="J473" s="322"/>
      <c r="K473" s="228" t="s">
        <v>925</v>
      </c>
      <c r="L473" s="405"/>
      <c r="M473" s="371">
        <f>'F&amp;B'!F124</f>
        <v>122400</v>
      </c>
      <c r="N473" s="67">
        <f t="shared" si="46"/>
        <v>0</v>
      </c>
      <c r="O473" s="324"/>
    </row>
    <row r="474" ht="15.75" customHeight="1">
      <c r="A474" s="322"/>
      <c r="B474" s="228" t="s">
        <v>681</v>
      </c>
      <c r="C474" s="405">
        <v>0.1</v>
      </c>
      <c r="D474" s="371">
        <f>'F&amp;B'!F51*1.2</f>
        <v>29700</v>
      </c>
      <c r="E474" s="67">
        <f t="shared" si="45"/>
        <v>2970</v>
      </c>
      <c r="F474" s="324"/>
      <c r="J474" s="322"/>
      <c r="K474" s="228" t="s">
        <v>1539</v>
      </c>
      <c r="L474" s="405"/>
      <c r="M474" s="423">
        <v>10000.0</v>
      </c>
      <c r="N474" s="67">
        <f t="shared" si="46"/>
        <v>0</v>
      </c>
      <c r="O474" s="324"/>
    </row>
    <row r="475" ht="15.75" customHeight="1">
      <c r="A475" s="322"/>
      <c r="B475" s="228"/>
      <c r="C475" s="405"/>
      <c r="D475" s="423"/>
      <c r="E475" s="67"/>
      <c r="F475" s="324"/>
      <c r="J475" s="322"/>
      <c r="K475" s="75"/>
      <c r="L475" s="370"/>
      <c r="M475" s="371"/>
      <c r="N475" s="67">
        <f t="shared" si="46"/>
        <v>0</v>
      </c>
      <c r="O475" s="324"/>
    </row>
    <row r="476" ht="15.75" customHeight="1">
      <c r="A476" s="322"/>
      <c r="B476" s="228"/>
      <c r="C476" s="405"/>
      <c r="D476" s="423"/>
      <c r="E476" s="67"/>
      <c r="F476" s="324"/>
      <c r="J476" s="322"/>
      <c r="K476" s="75"/>
      <c r="L476" s="370"/>
      <c r="M476" s="371"/>
      <c r="N476" s="67">
        <f t="shared" si="46"/>
        <v>0</v>
      </c>
      <c r="O476" s="324"/>
    </row>
    <row r="477" ht="15.75" customHeight="1">
      <c r="A477" s="322"/>
      <c r="B477" s="228"/>
      <c r="C477" s="405"/>
      <c r="D477" s="423"/>
      <c r="E477" s="67"/>
      <c r="F477" s="324"/>
      <c r="J477" s="322"/>
      <c r="K477" s="75"/>
      <c r="L477" s="370"/>
      <c r="M477" s="371"/>
      <c r="N477" s="67">
        <f t="shared" si="46"/>
        <v>0</v>
      </c>
      <c r="O477" s="324"/>
    </row>
    <row r="478" ht="15.75" customHeight="1">
      <c r="A478" s="322"/>
      <c r="B478" s="228"/>
      <c r="C478" s="405"/>
      <c r="D478" s="371"/>
      <c r="E478" s="67">
        <f t="shared" ref="E478:E481" si="47">D478*C478</f>
        <v>0</v>
      </c>
      <c r="F478" s="324"/>
      <c r="J478" s="322"/>
      <c r="K478" s="75"/>
      <c r="L478" s="370"/>
      <c r="M478" s="371"/>
      <c r="N478" s="67">
        <f t="shared" si="46"/>
        <v>0</v>
      </c>
      <c r="O478" s="324"/>
    </row>
    <row r="479" ht="15.75" customHeight="1">
      <c r="A479" s="322"/>
      <c r="B479" s="75"/>
      <c r="C479" s="370"/>
      <c r="D479" s="371"/>
      <c r="E479" s="67">
        <f t="shared" si="47"/>
        <v>0</v>
      </c>
      <c r="F479" s="324"/>
      <c r="J479" s="322"/>
      <c r="K479" s="75"/>
      <c r="L479" s="370"/>
      <c r="M479" s="371"/>
      <c r="N479" s="67">
        <f t="shared" si="46"/>
        <v>0</v>
      </c>
      <c r="O479" s="324"/>
    </row>
    <row r="480" ht="15.75" customHeight="1">
      <c r="A480" s="322"/>
      <c r="B480" s="75"/>
      <c r="C480" s="370"/>
      <c r="D480" s="371"/>
      <c r="E480" s="67">
        <f t="shared" si="47"/>
        <v>0</v>
      </c>
      <c r="F480" s="324"/>
      <c r="J480" s="322"/>
      <c r="K480" s="75"/>
      <c r="L480" s="370"/>
      <c r="M480" s="371"/>
      <c r="N480" s="67">
        <f t="shared" si="46"/>
        <v>0</v>
      </c>
      <c r="O480" s="324"/>
    </row>
    <row r="481" ht="15.75" customHeight="1">
      <c r="A481" s="322"/>
      <c r="B481" s="87"/>
      <c r="C481" s="412"/>
      <c r="D481" s="408"/>
      <c r="E481" s="67">
        <f t="shared" si="47"/>
        <v>0</v>
      </c>
      <c r="F481" s="324"/>
      <c r="J481" s="322"/>
      <c r="K481" s="87"/>
      <c r="L481" s="412"/>
      <c r="M481" s="408"/>
      <c r="N481" s="67">
        <f t="shared" si="46"/>
        <v>0</v>
      </c>
      <c r="O481" s="324"/>
    </row>
    <row r="482" ht="15.75" customHeight="1">
      <c r="A482" s="322"/>
      <c r="B482" s="362" t="s">
        <v>84</v>
      </c>
      <c r="C482" s="374"/>
      <c r="D482" s="374"/>
      <c r="E482" s="375">
        <f>IF(SUM(E472:E481)=0,"",SUM(E472:E481))</f>
        <v>6633</v>
      </c>
      <c r="F482" s="324"/>
      <c r="J482" s="322"/>
      <c r="K482" s="362" t="s">
        <v>84</v>
      </c>
      <c r="L482" s="374"/>
      <c r="M482" s="374"/>
      <c r="N482" s="375" t="str">
        <f>IF(SUM(N472:N481)=0,"",SUM(N472:N481))</f>
        <v/>
      </c>
      <c r="O482" s="324"/>
    </row>
    <row r="483" ht="15.75" customHeight="1">
      <c r="A483" s="322"/>
      <c r="B483" s="360"/>
      <c r="C483" s="360"/>
      <c r="D483" s="360"/>
      <c r="E483" s="361"/>
      <c r="F483" s="324"/>
      <c r="J483" s="322"/>
      <c r="K483" s="360"/>
      <c r="L483" s="360"/>
      <c r="M483" s="360"/>
      <c r="N483" s="361"/>
      <c r="O483" s="324"/>
    </row>
    <row r="484" ht="15.75" customHeight="1">
      <c r="A484" s="322"/>
      <c r="B484" s="34" t="s">
        <v>17</v>
      </c>
      <c r="C484" s="35"/>
      <c r="D484" s="35"/>
      <c r="E484" s="35"/>
      <c r="F484" s="324"/>
      <c r="J484" s="322"/>
      <c r="K484" s="34" t="s">
        <v>17</v>
      </c>
      <c r="L484" s="35"/>
      <c r="M484" s="35"/>
      <c r="N484" s="35"/>
      <c r="O484" s="324"/>
    </row>
    <row r="485" ht="15.75" customHeight="1">
      <c r="A485" s="322"/>
      <c r="B485" s="52" t="s">
        <v>42</v>
      </c>
      <c r="C485" s="54"/>
      <c r="D485" s="54"/>
      <c r="E485" s="56" t="s">
        <v>35</v>
      </c>
      <c r="F485" s="324"/>
      <c r="J485" s="322"/>
      <c r="K485" s="52" t="s">
        <v>42</v>
      </c>
      <c r="L485" s="54"/>
      <c r="M485" s="54"/>
      <c r="N485" s="56" t="s">
        <v>35</v>
      </c>
      <c r="O485" s="324"/>
    </row>
    <row r="486" ht="15.75" customHeight="1">
      <c r="A486" s="322"/>
      <c r="B486" s="60" t="s">
        <v>40</v>
      </c>
      <c r="C486" s="343">
        <f>'UTL COST'!$B$3</f>
        <v>369000</v>
      </c>
      <c r="D486" s="379">
        <f>'UTL COST'!$C$3</f>
        <v>0.0075</v>
      </c>
      <c r="E486" s="67">
        <v>0.0</v>
      </c>
      <c r="F486" s="324"/>
      <c r="J486" s="322"/>
      <c r="K486" s="60" t="s">
        <v>40</v>
      </c>
      <c r="L486" s="343">
        <f>'UTL COST'!$B$3</f>
        <v>369000</v>
      </c>
      <c r="M486" s="379">
        <f>'UTL COST'!$C$3</f>
        <v>0.0075</v>
      </c>
      <c r="N486" s="67">
        <v>0.0</v>
      </c>
      <c r="O486" s="324"/>
    </row>
    <row r="487" ht="15.75" customHeight="1">
      <c r="A487" s="322"/>
      <c r="B487" s="75" t="s">
        <v>51</v>
      </c>
      <c r="C487" s="371" t="str">
        <f>'UTL COST'!$B$4</f>
        <v>#REF!</v>
      </c>
      <c r="D487" s="382">
        <f>'UTL COST'!$C$4</f>
        <v>7000</v>
      </c>
      <c r="E487" s="76">
        <v>0.0</v>
      </c>
      <c r="F487" s="324"/>
      <c r="J487" s="322"/>
      <c r="K487" s="75" t="s">
        <v>51</v>
      </c>
      <c r="L487" s="371" t="str">
        <f>'UTL COST'!$B$4</f>
        <v>#REF!</v>
      </c>
      <c r="M487" s="382">
        <f>'UTL COST'!$C$4</f>
        <v>7000</v>
      </c>
      <c r="N487" s="76">
        <v>0.0</v>
      </c>
      <c r="O487" s="324"/>
    </row>
    <row r="488" ht="15.75" customHeight="1">
      <c r="A488" s="322"/>
      <c r="B488" s="75" t="s">
        <v>59</v>
      </c>
      <c r="C488" s="371" t="str">
        <f>'UTL COST'!$B$5</f>
        <v>#REF!</v>
      </c>
      <c r="D488" s="382">
        <f>'UTL COST'!$C$5</f>
        <v>45000</v>
      </c>
      <c r="E488" s="76" t="str">
        <f>'UTL COST'!$D$5*2</f>
        <v>#REF!</v>
      </c>
      <c r="F488" s="324"/>
      <c r="J488" s="322"/>
      <c r="K488" s="75" t="s">
        <v>59</v>
      </c>
      <c r="L488" s="371" t="str">
        <f>'UTL COST'!$B$5</f>
        <v>#REF!</v>
      </c>
      <c r="M488" s="382">
        <f>'UTL COST'!$C$5</f>
        <v>45000</v>
      </c>
      <c r="N488" s="76" t="str">
        <f>'UTL COST'!$D$5*2</f>
        <v>#REF!</v>
      </c>
      <c r="O488" s="324"/>
    </row>
    <row r="489" ht="15.75" customHeight="1">
      <c r="A489" s="322"/>
      <c r="B489" s="87" t="s">
        <v>78</v>
      </c>
      <c r="C489" s="371" t="str">
        <f>'UTL COST'!$B$6</f>
        <v>#REF!</v>
      </c>
      <c r="D489" s="383">
        <f>'UTL COST'!$C$6</f>
        <v>525</v>
      </c>
      <c r="E489" s="89">
        <v>0.1</v>
      </c>
      <c r="F489" s="324"/>
      <c r="J489" s="322"/>
      <c r="K489" s="87" t="s">
        <v>78</v>
      </c>
      <c r="L489" s="371" t="str">
        <f>'UTL COST'!$B$6</f>
        <v>#REF!</v>
      </c>
      <c r="M489" s="383">
        <f>'UTL COST'!$C$6</f>
        <v>525</v>
      </c>
      <c r="N489" s="89">
        <v>0.1</v>
      </c>
      <c r="O489" s="324"/>
    </row>
    <row r="490" ht="15.75" customHeight="1">
      <c r="A490" s="322"/>
      <c r="B490" s="34" t="s">
        <v>84</v>
      </c>
      <c r="C490" s="102"/>
      <c r="D490" s="102"/>
      <c r="E490" s="104" t="str">
        <f>IF(SUM(E486:E489)=0,"",SUM(E486:E489))</f>
        <v>#REF!</v>
      </c>
      <c r="F490" s="324"/>
      <c r="J490" s="322"/>
      <c r="K490" s="34" t="s">
        <v>84</v>
      </c>
      <c r="L490" s="102"/>
      <c r="M490" s="102"/>
      <c r="N490" s="104" t="str">
        <f>IF(SUM(N486:N489)=0,"",SUM(N486:N489))</f>
        <v>#REF!</v>
      </c>
      <c r="O490" s="324"/>
    </row>
    <row r="491" ht="15.75" customHeight="1">
      <c r="A491" s="322"/>
      <c r="B491" s="360"/>
      <c r="C491" s="360"/>
      <c r="D491" s="360"/>
      <c r="E491" s="361"/>
      <c r="F491" s="324"/>
      <c r="J491" s="322"/>
      <c r="K491" s="360"/>
      <c r="L491" s="360"/>
      <c r="M491" s="360"/>
      <c r="N491" s="361"/>
      <c r="O491" s="324"/>
    </row>
    <row r="492" ht="15.75" customHeight="1"/>
    <row r="493" ht="15.75" customHeight="1">
      <c r="A493" s="322"/>
      <c r="B493" s="322"/>
      <c r="C493" s="322"/>
      <c r="D493" s="322"/>
      <c r="E493" s="323"/>
      <c r="F493" s="324"/>
      <c r="J493" s="322"/>
      <c r="K493" s="322"/>
      <c r="L493" s="322"/>
      <c r="M493" s="322"/>
      <c r="N493" s="323"/>
      <c r="O493" s="324"/>
    </row>
    <row r="494" ht="15.75" customHeight="1">
      <c r="A494" s="322"/>
      <c r="B494" s="325"/>
      <c r="C494" s="322"/>
      <c r="D494" s="322"/>
      <c r="E494" s="323"/>
      <c r="F494" s="326"/>
      <c r="J494" s="322"/>
      <c r="K494" s="325"/>
      <c r="L494" s="322"/>
      <c r="M494" s="322"/>
      <c r="N494" s="323"/>
      <c r="O494" s="326"/>
    </row>
    <row r="495" ht="15.75" customHeight="1">
      <c r="A495" s="322"/>
      <c r="B495" s="327" t="s">
        <v>931</v>
      </c>
      <c r="C495" s="330" t="s">
        <v>1540</v>
      </c>
      <c r="D495" s="329"/>
      <c r="E495" s="323"/>
      <c r="F495" s="326"/>
      <c r="J495" s="322"/>
      <c r="K495" s="327" t="s">
        <v>931</v>
      </c>
      <c r="L495" s="330" t="s">
        <v>818</v>
      </c>
      <c r="M495" s="329"/>
      <c r="N495" s="323"/>
      <c r="O495" s="326"/>
    </row>
    <row r="496" ht="15.75" customHeight="1">
      <c r="A496" s="322"/>
      <c r="B496" s="325"/>
      <c r="C496" s="322"/>
      <c r="D496" s="322"/>
      <c r="E496" s="323"/>
      <c r="F496" s="326"/>
      <c r="J496" s="322"/>
      <c r="K496" s="325"/>
      <c r="L496" s="322"/>
      <c r="M496" s="322"/>
      <c r="N496" s="323"/>
      <c r="O496" s="326"/>
    </row>
    <row r="497" ht="15.75" customHeight="1">
      <c r="A497" s="322"/>
      <c r="B497" s="327" t="s">
        <v>935</v>
      </c>
      <c r="C497" s="331">
        <f>E497*90000</f>
        <v>765000</v>
      </c>
      <c r="D497" s="329"/>
      <c r="E497" s="394">
        <v>8.5</v>
      </c>
      <c r="F497" s="326"/>
      <c r="J497" s="322"/>
      <c r="K497" s="327" t="s">
        <v>935</v>
      </c>
      <c r="L497" s="331" t="str">
        <f>N497*90000</f>
        <v>#REF!</v>
      </c>
      <c r="M497" s="329"/>
      <c r="N497" s="394" t="str">
        <f>N499*3</f>
        <v>#REF!</v>
      </c>
      <c r="O497" s="326"/>
    </row>
    <row r="498" ht="15.75" customHeight="1">
      <c r="A498" s="322"/>
      <c r="B498" s="327"/>
      <c r="C498" s="332"/>
      <c r="D498" s="332"/>
      <c r="E498" s="323"/>
      <c r="F498" s="326"/>
      <c r="J498" s="322"/>
      <c r="K498" s="327"/>
      <c r="L498" s="332"/>
      <c r="M498" s="332"/>
      <c r="N498" s="323"/>
      <c r="O498" s="326"/>
    </row>
    <row r="499" ht="15.75" customHeight="1">
      <c r="A499" s="322"/>
      <c r="B499" s="327" t="s">
        <v>939</v>
      </c>
      <c r="C499" s="333" t="str">
        <f>IF(SUM(E511,E526,E534)=0,"",SUM(E511,E526,E534))</f>
        <v>#REF!</v>
      </c>
      <c r="D499" s="321"/>
      <c r="E499" s="323" t="str">
        <f>C499/90000</f>
        <v>#REF!</v>
      </c>
      <c r="F499" s="326"/>
      <c r="J499" s="322"/>
      <c r="K499" s="327" t="s">
        <v>939</v>
      </c>
      <c r="L499" s="333" t="str">
        <f>IF(SUM(N511,N526,N534)=0,"",SUM(N511,N526,N534))</f>
        <v>#REF!</v>
      </c>
      <c r="M499" s="321"/>
      <c r="N499" s="323" t="str">
        <f>L499/90000</f>
        <v>#REF!</v>
      </c>
      <c r="O499" s="326"/>
    </row>
    <row r="500" ht="15.75" customHeight="1">
      <c r="A500" s="322"/>
      <c r="B500" s="327"/>
      <c r="C500" s="334"/>
      <c r="D500" s="334"/>
      <c r="E500" s="323"/>
      <c r="F500" s="326"/>
      <c r="J500" s="322"/>
      <c r="K500" s="327"/>
      <c r="L500" s="334"/>
      <c r="M500" s="334"/>
      <c r="N500" s="323"/>
      <c r="O500" s="326"/>
    </row>
    <row r="501" ht="15.75" customHeight="1">
      <c r="A501" s="322"/>
      <c r="B501" s="327" t="s">
        <v>946</v>
      </c>
      <c r="C501" s="335" t="str">
        <f>IF(C499="","",IF(ISBLANK(C497),"",C499/C497))</f>
        <v>#REF!</v>
      </c>
      <c r="D501" s="321"/>
      <c r="E501" s="323"/>
      <c r="F501" s="326"/>
      <c r="J501" s="322"/>
      <c r="K501" s="327" t="s">
        <v>946</v>
      </c>
      <c r="L501" s="335" t="str">
        <f>IF(L499="","",IF(ISBLANK(L497),"",L499/L497))</f>
        <v>#REF!</v>
      </c>
      <c r="M501" s="321"/>
      <c r="N501" s="323"/>
      <c r="O501" s="326"/>
    </row>
    <row r="502" ht="15.75" customHeight="1">
      <c r="A502" s="322"/>
      <c r="B502" s="327"/>
      <c r="C502" s="334"/>
      <c r="D502" s="334"/>
      <c r="E502" s="323"/>
      <c r="F502" s="326"/>
      <c r="J502" s="322"/>
      <c r="K502" s="327"/>
      <c r="L502" s="334"/>
      <c r="M502" s="334"/>
      <c r="N502" s="323"/>
      <c r="O502" s="326"/>
    </row>
    <row r="503" ht="15.75" customHeight="1">
      <c r="A503" s="322"/>
      <c r="B503" s="327" t="s">
        <v>950</v>
      </c>
      <c r="C503" s="333" t="str">
        <f>C497-C499</f>
        <v>#REF!</v>
      </c>
      <c r="D503" s="321"/>
      <c r="E503" s="323"/>
      <c r="F503" s="326"/>
      <c r="J503" s="322"/>
      <c r="K503" s="327" t="s">
        <v>950</v>
      </c>
      <c r="L503" s="333" t="str">
        <f>L497-L499</f>
        <v>#REF!</v>
      </c>
      <c r="M503" s="321"/>
      <c r="N503" s="323"/>
      <c r="O503" s="326"/>
    </row>
    <row r="504" ht="15.75" customHeight="1">
      <c r="A504" s="322"/>
      <c r="B504" s="322"/>
      <c r="C504" s="322"/>
      <c r="D504" s="322"/>
      <c r="E504" s="323"/>
      <c r="F504" s="324"/>
      <c r="J504" s="322"/>
      <c r="K504" s="322"/>
      <c r="L504" s="322"/>
      <c r="M504" s="322"/>
      <c r="N504" s="323"/>
      <c r="O504" s="324"/>
    </row>
    <row r="505" ht="15.75" customHeight="1">
      <c r="A505" s="322"/>
      <c r="B505" s="322"/>
      <c r="C505" s="322"/>
      <c r="D505" s="322"/>
      <c r="E505" s="337"/>
      <c r="F505" s="324"/>
      <c r="J505" s="322"/>
      <c r="K505" s="322"/>
      <c r="L505" s="322"/>
      <c r="M505" s="322"/>
      <c r="N505" s="337"/>
      <c r="O505" s="324"/>
    </row>
    <row r="506" ht="15.75" customHeight="1">
      <c r="A506" s="322"/>
      <c r="B506" s="338" t="s">
        <v>951</v>
      </c>
      <c r="C506" s="339"/>
      <c r="D506" s="339"/>
      <c r="E506" s="339"/>
      <c r="F506" s="324"/>
      <c r="J506" s="322"/>
      <c r="K506" s="338" t="s">
        <v>951</v>
      </c>
      <c r="L506" s="339"/>
      <c r="M506" s="339"/>
      <c r="N506" s="339"/>
      <c r="O506" s="324"/>
    </row>
    <row r="507" ht="15.75" customHeight="1">
      <c r="A507" s="322"/>
      <c r="B507" s="340" t="s">
        <v>953</v>
      </c>
      <c r="C507" s="341" t="s">
        <v>954</v>
      </c>
      <c r="D507" s="341" t="s">
        <v>955</v>
      </c>
      <c r="E507" s="341" t="s">
        <v>35</v>
      </c>
      <c r="F507" s="324"/>
      <c r="J507" s="322"/>
      <c r="K507" s="340" t="s">
        <v>953</v>
      </c>
      <c r="L507" s="341" t="s">
        <v>954</v>
      </c>
      <c r="M507" s="341" t="s">
        <v>955</v>
      </c>
      <c r="N507" s="341" t="s">
        <v>35</v>
      </c>
      <c r="O507" s="324"/>
    </row>
    <row r="508" ht="15.75" customHeight="1">
      <c r="A508" s="322"/>
      <c r="B508" s="60" t="s">
        <v>799</v>
      </c>
      <c r="C508" s="342">
        <v>1.0</v>
      </c>
      <c r="D508" s="343">
        <f>3.5*90000</f>
        <v>315000</v>
      </c>
      <c r="E508" s="67">
        <f t="shared" ref="E508:E509" si="48">IF(OR(ISBLANK(C508),ISBLANK(D508)),"",D508*C508)</f>
        <v>315000</v>
      </c>
      <c r="F508" s="324"/>
      <c r="J508" s="322"/>
      <c r="K508" s="60" t="s">
        <v>799</v>
      </c>
      <c r="L508" s="342">
        <v>1.0</v>
      </c>
      <c r="M508" s="343">
        <f>2.5*90000</f>
        <v>225000</v>
      </c>
      <c r="N508" s="67">
        <f t="shared" ref="N508:N509" si="49">IF(OR(ISBLANK(L508),ISBLANK(M508)),"",M508*L508)</f>
        <v>225000</v>
      </c>
      <c r="O508" s="324"/>
    </row>
    <row r="509" ht="15.75" customHeight="1">
      <c r="A509" s="322"/>
      <c r="B509" s="75" t="s">
        <v>1401</v>
      </c>
      <c r="C509" s="405">
        <v>0.0</v>
      </c>
      <c r="D509" s="371" t="str">
        <f>$L$54</f>
        <v>#REF!</v>
      </c>
      <c r="E509" s="67" t="str">
        <f t="shared" si="48"/>
        <v>#REF!</v>
      </c>
      <c r="F509" s="324"/>
      <c r="J509" s="322"/>
      <c r="K509" s="75" t="s">
        <v>1401</v>
      </c>
      <c r="L509" s="370">
        <v>1.0</v>
      </c>
      <c r="M509" s="371" t="str">
        <f>M376</f>
        <v>#REF!</v>
      </c>
      <c r="N509" s="67" t="str">
        <f t="shared" si="49"/>
        <v>#REF!</v>
      </c>
      <c r="O509" s="324"/>
    </row>
    <row r="510" ht="15.75" customHeight="1">
      <c r="A510" s="322"/>
      <c r="B510" s="87"/>
      <c r="C510" s="355"/>
      <c r="D510" s="356"/>
      <c r="E510" s="67"/>
      <c r="F510" s="324"/>
      <c r="J510" s="322"/>
      <c r="K510" s="406"/>
      <c r="L510" s="405"/>
      <c r="M510" s="371"/>
      <c r="N510" s="67"/>
      <c r="O510" s="324"/>
    </row>
    <row r="511" ht="15.75" customHeight="1">
      <c r="A511" s="322"/>
      <c r="B511" s="338" t="s">
        <v>84</v>
      </c>
      <c r="C511" s="358"/>
      <c r="D511" s="358"/>
      <c r="E511" s="359" t="str">
        <f>IF(SUM(E508:E510)=0,"",SUM(E508:E510))</f>
        <v>#REF!</v>
      </c>
      <c r="F511" s="324"/>
      <c r="J511" s="322"/>
      <c r="K511" s="338" t="s">
        <v>84</v>
      </c>
      <c r="L511" s="358"/>
      <c r="M511" s="358"/>
      <c r="N511" s="359" t="str">
        <f>IF(SUM(N508:N510)=0,"",SUM(N508:N510))</f>
        <v>#REF!</v>
      </c>
      <c r="O511" s="324"/>
    </row>
    <row r="512" ht="15.75" customHeight="1">
      <c r="A512" s="322"/>
      <c r="B512" s="360"/>
      <c r="C512" s="360"/>
      <c r="D512" s="360"/>
      <c r="E512" s="361"/>
      <c r="F512" s="324"/>
      <c r="J512" s="322"/>
      <c r="K512" s="360"/>
      <c r="L512" s="360"/>
      <c r="M512" s="360"/>
      <c r="N512" s="361"/>
      <c r="O512" s="324"/>
    </row>
    <row r="513" ht="15.75" customHeight="1">
      <c r="A513" s="322"/>
      <c r="B513" s="362" t="s">
        <v>972</v>
      </c>
      <c r="C513" s="363"/>
      <c r="D513" s="363"/>
      <c r="E513" s="363"/>
      <c r="F513" s="324"/>
      <c r="J513" s="322"/>
      <c r="K513" s="362" t="s">
        <v>972</v>
      </c>
      <c r="L513" s="363"/>
      <c r="M513" s="363"/>
      <c r="N513" s="363"/>
      <c r="O513" s="324"/>
    </row>
    <row r="514" ht="15.75" customHeight="1">
      <c r="A514" s="322"/>
      <c r="B514" s="365" t="s">
        <v>953</v>
      </c>
      <c r="C514" s="366" t="s">
        <v>3</v>
      </c>
      <c r="D514" s="366" t="s">
        <v>975</v>
      </c>
      <c r="E514" s="367" t="s">
        <v>35</v>
      </c>
      <c r="F514" s="324"/>
      <c r="J514" s="322"/>
      <c r="K514" s="365" t="s">
        <v>953</v>
      </c>
      <c r="L514" s="366" t="s">
        <v>3</v>
      </c>
      <c r="M514" s="366" t="s">
        <v>975</v>
      </c>
      <c r="N514" s="367" t="s">
        <v>35</v>
      </c>
      <c r="O514" s="324"/>
    </row>
    <row r="515" ht="15.75" customHeight="1">
      <c r="A515" s="322"/>
      <c r="B515" s="368"/>
      <c r="C515" s="366"/>
      <c r="D515" s="366"/>
      <c r="E515" s="368"/>
      <c r="F515" s="324"/>
      <c r="J515" s="322"/>
      <c r="K515" s="368"/>
      <c r="L515" s="366"/>
      <c r="M515" s="366"/>
      <c r="N515" s="368"/>
      <c r="O515" s="324"/>
    </row>
    <row r="516" ht="15.75" customHeight="1">
      <c r="A516" s="322"/>
      <c r="B516" s="60"/>
      <c r="C516" s="342"/>
      <c r="D516" s="343"/>
      <c r="E516" s="67">
        <f t="shared" ref="E516:E525" si="50">D516*C516</f>
        <v>0</v>
      </c>
      <c r="F516" s="324"/>
      <c r="J516" s="322"/>
      <c r="K516" s="60"/>
      <c r="L516" s="342"/>
      <c r="M516" s="343"/>
      <c r="N516" s="67">
        <f t="shared" ref="N516:N525" si="51">M516*L516</f>
        <v>0</v>
      </c>
      <c r="O516" s="324"/>
    </row>
    <row r="517" ht="15.75" customHeight="1">
      <c r="A517" s="322"/>
      <c r="B517" s="75"/>
      <c r="C517" s="370"/>
      <c r="D517" s="371"/>
      <c r="E517" s="67">
        <f t="shared" si="50"/>
        <v>0</v>
      </c>
      <c r="F517" s="324"/>
      <c r="J517" s="322"/>
      <c r="K517" s="75"/>
      <c r="L517" s="370"/>
      <c r="M517" s="371"/>
      <c r="N517" s="67">
        <f t="shared" si="51"/>
        <v>0</v>
      </c>
      <c r="O517" s="324"/>
    </row>
    <row r="518" ht="15.75" customHeight="1">
      <c r="A518" s="322"/>
      <c r="B518" s="75"/>
      <c r="C518" s="370"/>
      <c r="D518" s="371"/>
      <c r="E518" s="67">
        <f t="shared" si="50"/>
        <v>0</v>
      </c>
      <c r="F518" s="324"/>
      <c r="J518" s="322"/>
      <c r="K518" s="75"/>
      <c r="L518" s="370"/>
      <c r="M518" s="371"/>
      <c r="N518" s="67">
        <f t="shared" si="51"/>
        <v>0</v>
      </c>
      <c r="O518" s="324"/>
    </row>
    <row r="519" ht="15.75" customHeight="1">
      <c r="A519" s="322"/>
      <c r="B519" s="75"/>
      <c r="C519" s="346"/>
      <c r="D519" s="371"/>
      <c r="E519" s="67">
        <f t="shared" si="50"/>
        <v>0</v>
      </c>
      <c r="F519" s="324"/>
      <c r="J519" s="322"/>
      <c r="K519" s="75"/>
      <c r="L519" s="346"/>
      <c r="M519" s="371"/>
      <c r="N519" s="67">
        <f t="shared" si="51"/>
        <v>0</v>
      </c>
      <c r="O519" s="324"/>
    </row>
    <row r="520" ht="15.75" customHeight="1">
      <c r="A520" s="322"/>
      <c r="B520" s="75"/>
      <c r="C520" s="346"/>
      <c r="D520" s="371"/>
      <c r="E520" s="67">
        <f t="shared" si="50"/>
        <v>0</v>
      </c>
      <c r="F520" s="324"/>
      <c r="J520" s="322"/>
      <c r="K520" s="75"/>
      <c r="L520" s="346"/>
      <c r="M520" s="371"/>
      <c r="N520" s="67">
        <f t="shared" si="51"/>
        <v>0</v>
      </c>
      <c r="O520" s="324"/>
    </row>
    <row r="521" ht="15.75" customHeight="1">
      <c r="A521" s="322"/>
      <c r="B521" s="75"/>
      <c r="C521" s="346"/>
      <c r="D521" s="347"/>
      <c r="E521" s="67">
        <f t="shared" si="50"/>
        <v>0</v>
      </c>
      <c r="F521" s="324"/>
      <c r="J521" s="322"/>
      <c r="K521" s="75"/>
      <c r="L521" s="346"/>
      <c r="M521" s="347"/>
      <c r="N521" s="67">
        <f t="shared" si="51"/>
        <v>0</v>
      </c>
      <c r="O521" s="324"/>
    </row>
    <row r="522" ht="15.75" customHeight="1">
      <c r="A522" s="322"/>
      <c r="B522" s="348"/>
      <c r="C522" s="346"/>
      <c r="D522" s="373"/>
      <c r="E522" s="67">
        <f t="shared" si="50"/>
        <v>0</v>
      </c>
      <c r="F522" s="324"/>
      <c r="J522" s="322"/>
      <c r="K522" s="348"/>
      <c r="L522" s="346"/>
      <c r="M522" s="373"/>
      <c r="N522" s="67">
        <f t="shared" si="51"/>
        <v>0</v>
      </c>
      <c r="O522" s="324"/>
    </row>
    <row r="523" ht="15.75" customHeight="1">
      <c r="A523" s="322"/>
      <c r="B523" s="348"/>
      <c r="C523" s="346"/>
      <c r="D523" s="373"/>
      <c r="E523" s="67">
        <f t="shared" si="50"/>
        <v>0</v>
      </c>
      <c r="F523" s="324"/>
      <c r="J523" s="322"/>
      <c r="K523" s="348"/>
      <c r="L523" s="346"/>
      <c r="M523" s="373"/>
      <c r="N523" s="67">
        <f t="shared" si="51"/>
        <v>0</v>
      </c>
      <c r="O523" s="324"/>
    </row>
    <row r="524" ht="15.75" customHeight="1">
      <c r="A524" s="322"/>
      <c r="B524" s="348"/>
      <c r="C524" s="346"/>
      <c r="D524" s="373"/>
      <c r="E524" s="67">
        <f t="shared" si="50"/>
        <v>0</v>
      </c>
      <c r="F524" s="324"/>
      <c r="J524" s="322"/>
      <c r="K524" s="348"/>
      <c r="L524" s="346"/>
      <c r="M524" s="373"/>
      <c r="N524" s="67">
        <f t="shared" si="51"/>
        <v>0</v>
      </c>
      <c r="O524" s="324"/>
    </row>
    <row r="525" ht="15.75" customHeight="1">
      <c r="A525" s="322"/>
      <c r="B525" s="354"/>
      <c r="C525" s="355"/>
      <c r="D525" s="356"/>
      <c r="E525" s="67">
        <f t="shared" si="50"/>
        <v>0</v>
      </c>
      <c r="F525" s="324"/>
      <c r="J525" s="322"/>
      <c r="K525" s="354"/>
      <c r="L525" s="355"/>
      <c r="M525" s="356"/>
      <c r="N525" s="67">
        <f t="shared" si="51"/>
        <v>0</v>
      </c>
      <c r="O525" s="324"/>
    </row>
    <row r="526" ht="15.75" customHeight="1">
      <c r="A526" s="322"/>
      <c r="B526" s="362" t="s">
        <v>84</v>
      </c>
      <c r="C526" s="374"/>
      <c r="D526" s="374"/>
      <c r="E526" s="375" t="str">
        <f>IF(SUM(E516:E525)=0,"",SUM(E516:E525))</f>
        <v/>
      </c>
      <c r="F526" s="324"/>
      <c r="J526" s="322"/>
      <c r="K526" s="362" t="s">
        <v>84</v>
      </c>
      <c r="L526" s="374"/>
      <c r="M526" s="374"/>
      <c r="N526" s="375" t="str">
        <f>IF(SUM(N516:N525)=0,"",SUM(N516:N525))</f>
        <v/>
      </c>
      <c r="O526" s="324"/>
    </row>
    <row r="527" ht="15.75" customHeight="1">
      <c r="A527" s="322"/>
      <c r="B527" s="360"/>
      <c r="C527" s="360"/>
      <c r="D527" s="360"/>
      <c r="E527" s="361"/>
      <c r="F527" s="324"/>
      <c r="J527" s="322"/>
      <c r="K527" s="360"/>
      <c r="L527" s="360"/>
      <c r="M527" s="360"/>
      <c r="N527" s="361"/>
      <c r="O527" s="324"/>
    </row>
    <row r="528" ht="15.75" customHeight="1">
      <c r="A528" s="322"/>
      <c r="B528" s="34" t="s">
        <v>17</v>
      </c>
      <c r="C528" s="35"/>
      <c r="D528" s="35"/>
      <c r="E528" s="35"/>
      <c r="F528" s="324"/>
      <c r="J528" s="322"/>
      <c r="K528" s="34" t="s">
        <v>17</v>
      </c>
      <c r="L528" s="35"/>
      <c r="M528" s="35"/>
      <c r="N528" s="35"/>
      <c r="O528" s="324"/>
    </row>
    <row r="529" ht="15.75" customHeight="1">
      <c r="A529" s="322"/>
      <c r="B529" s="52" t="s">
        <v>42</v>
      </c>
      <c r="C529" s="54"/>
      <c r="D529" s="54"/>
      <c r="E529" s="56" t="s">
        <v>35</v>
      </c>
      <c r="F529" s="324"/>
      <c r="J529" s="322"/>
      <c r="K529" s="52" t="s">
        <v>42</v>
      </c>
      <c r="L529" s="54"/>
      <c r="M529" s="54"/>
      <c r="N529" s="56" t="s">
        <v>35</v>
      </c>
      <c r="O529" s="324"/>
    </row>
    <row r="530" ht="15.75" customHeight="1">
      <c r="A530" s="322"/>
      <c r="B530" s="60" t="s">
        <v>40</v>
      </c>
      <c r="C530" s="343">
        <f>'UTL COST'!$B$3</f>
        <v>369000</v>
      </c>
      <c r="D530" s="379">
        <f>'UTL COST'!$C$3</f>
        <v>0.0075</v>
      </c>
      <c r="E530" s="67">
        <v>0.0</v>
      </c>
      <c r="F530" s="324"/>
      <c r="J530" s="322"/>
      <c r="K530" s="60" t="s">
        <v>40</v>
      </c>
      <c r="L530" s="343">
        <f>'UTL COST'!$B$3</f>
        <v>369000</v>
      </c>
      <c r="M530" s="379">
        <f>'UTL COST'!$C$3</f>
        <v>0.0075</v>
      </c>
      <c r="N530" s="67">
        <v>0.0</v>
      </c>
      <c r="O530" s="324"/>
    </row>
    <row r="531" ht="15.75" customHeight="1">
      <c r="A531" s="322"/>
      <c r="B531" s="75" t="s">
        <v>51</v>
      </c>
      <c r="C531" s="371" t="str">
        <f>'UTL COST'!$B$4</f>
        <v>#REF!</v>
      </c>
      <c r="D531" s="382">
        <f>'UTL COST'!$C$4</f>
        <v>7000</v>
      </c>
      <c r="E531" s="76">
        <v>0.0</v>
      </c>
      <c r="F531" s="324"/>
      <c r="J531" s="322"/>
      <c r="K531" s="75" t="s">
        <v>51</v>
      </c>
      <c r="L531" s="371" t="str">
        <f>'UTL COST'!$B$4</f>
        <v>#REF!</v>
      </c>
      <c r="M531" s="382">
        <f>'UTL COST'!$C$4</f>
        <v>7000</v>
      </c>
      <c r="N531" s="76">
        <v>0.0</v>
      </c>
      <c r="O531" s="324"/>
    </row>
    <row r="532" ht="15.75" customHeight="1">
      <c r="A532" s="322"/>
      <c r="B532" s="75" t="s">
        <v>59</v>
      </c>
      <c r="C532" s="371" t="str">
        <f>'UTL COST'!$B$5</f>
        <v>#REF!</v>
      </c>
      <c r="D532" s="382">
        <f>'UTL COST'!$C$5</f>
        <v>45000</v>
      </c>
      <c r="E532" s="76" t="str">
        <f>'UTL COST'!$D$5</f>
        <v>#REF!</v>
      </c>
      <c r="F532" s="324"/>
      <c r="J532" s="322"/>
      <c r="K532" s="75" t="s">
        <v>59</v>
      </c>
      <c r="L532" s="371" t="str">
        <f>'UTL COST'!$B$5</f>
        <v>#REF!</v>
      </c>
      <c r="M532" s="382">
        <f>'UTL COST'!$C$5</f>
        <v>45000</v>
      </c>
      <c r="N532" s="76" t="str">
        <f>'UTL COST'!$D$5</f>
        <v>#REF!</v>
      </c>
      <c r="O532" s="324"/>
    </row>
    <row r="533" ht="15.75" customHeight="1">
      <c r="A533" s="322"/>
      <c r="B533" s="87" t="s">
        <v>78</v>
      </c>
      <c r="C533" s="371" t="str">
        <f>'UTL COST'!$B$6</f>
        <v>#REF!</v>
      </c>
      <c r="D533" s="383">
        <f>'UTL COST'!$C$6</f>
        <v>525</v>
      </c>
      <c r="E533" s="89">
        <v>0.1</v>
      </c>
      <c r="F533" s="324"/>
      <c r="J533" s="322"/>
      <c r="K533" s="87" t="s">
        <v>78</v>
      </c>
      <c r="L533" s="371" t="str">
        <f>'UTL COST'!$B$6</f>
        <v>#REF!</v>
      </c>
      <c r="M533" s="383">
        <f>'UTL COST'!$C$6</f>
        <v>525</v>
      </c>
      <c r="N533" s="89">
        <v>0.1</v>
      </c>
      <c r="O533" s="324"/>
    </row>
    <row r="534" ht="15.75" customHeight="1">
      <c r="A534" s="322"/>
      <c r="B534" s="34" t="s">
        <v>84</v>
      </c>
      <c r="C534" s="102"/>
      <c r="D534" s="102"/>
      <c r="E534" s="104" t="str">
        <f>IF(SUM(E530:E533)=0,"",SUM(E530:E533))</f>
        <v>#REF!</v>
      </c>
      <c r="F534" s="324"/>
      <c r="J534" s="322"/>
      <c r="K534" s="34" t="s">
        <v>84</v>
      </c>
      <c r="L534" s="102"/>
      <c r="M534" s="102"/>
      <c r="N534" s="104" t="str">
        <f>IF(SUM(N530:N533)=0,"",SUM(N530:N533))</f>
        <v>#REF!</v>
      </c>
      <c r="O534" s="324"/>
    </row>
    <row r="535" ht="15.75" customHeight="1">
      <c r="A535" s="322"/>
      <c r="B535" s="360"/>
      <c r="C535" s="360"/>
      <c r="D535" s="360"/>
      <c r="E535" s="361"/>
      <c r="F535" s="324"/>
      <c r="J535" s="322"/>
      <c r="K535" s="360"/>
      <c r="L535" s="360"/>
      <c r="M535" s="360"/>
      <c r="N535" s="361"/>
      <c r="O535" s="324"/>
    </row>
    <row r="536" ht="15.75" customHeight="1"/>
    <row r="537" ht="15.75" customHeight="1">
      <c r="A537" s="322"/>
      <c r="B537" s="322"/>
      <c r="C537" s="322"/>
      <c r="D537" s="322"/>
      <c r="E537" s="323"/>
      <c r="F537" s="324"/>
      <c r="J537" s="322"/>
      <c r="K537" s="322"/>
      <c r="L537" s="322"/>
      <c r="M537" s="322"/>
      <c r="N537" s="323"/>
      <c r="O537" s="324"/>
    </row>
    <row r="538" ht="15.75" customHeight="1">
      <c r="A538" s="322"/>
      <c r="B538" s="325"/>
      <c r="C538" s="322"/>
      <c r="D538" s="322"/>
      <c r="E538" s="323"/>
      <c r="F538" s="326"/>
      <c r="J538" s="322"/>
      <c r="K538" s="325"/>
      <c r="L538" s="322"/>
      <c r="M538" s="322"/>
      <c r="N538" s="323"/>
      <c r="O538" s="326"/>
    </row>
    <row r="539" ht="15.75" customHeight="1">
      <c r="A539" s="322"/>
      <c r="B539" s="327" t="s">
        <v>931</v>
      </c>
      <c r="C539" s="330" t="s">
        <v>820</v>
      </c>
      <c r="D539" s="329"/>
      <c r="E539" s="323"/>
      <c r="F539" s="326"/>
      <c r="J539" s="322"/>
      <c r="K539" s="327" t="s">
        <v>931</v>
      </c>
      <c r="L539" s="330" t="s">
        <v>1544</v>
      </c>
      <c r="M539" s="329"/>
      <c r="N539" s="323"/>
      <c r="O539" s="326"/>
    </row>
    <row r="540" ht="15.75" customHeight="1">
      <c r="A540" s="322"/>
      <c r="B540" s="325"/>
      <c r="C540" s="322"/>
      <c r="D540" s="322"/>
      <c r="E540" s="323"/>
      <c r="F540" s="326"/>
      <c r="J540" s="322"/>
      <c r="K540" s="325"/>
      <c r="L540" s="322"/>
      <c r="M540" s="322"/>
      <c r="N540" s="323"/>
      <c r="O540" s="326"/>
    </row>
    <row r="541" ht="15.75" customHeight="1">
      <c r="A541" s="322"/>
      <c r="B541" s="327" t="s">
        <v>935</v>
      </c>
      <c r="C541" s="331" t="str">
        <f>E541*90000</f>
        <v>#REF!</v>
      </c>
      <c r="D541" s="329"/>
      <c r="E541" s="394" t="str">
        <f>E543*3</f>
        <v>#REF!</v>
      </c>
      <c r="F541" s="326"/>
      <c r="J541" s="322"/>
      <c r="K541" s="327" t="s">
        <v>935</v>
      </c>
      <c r="L541" s="331">
        <f>N541*90000</f>
        <v>630000</v>
      </c>
      <c r="M541" s="329"/>
      <c r="N541" s="394">
        <v>7.0</v>
      </c>
      <c r="O541" s="326"/>
    </row>
    <row r="542" ht="15.75" customHeight="1">
      <c r="A542" s="322"/>
      <c r="B542" s="327"/>
      <c r="C542" s="332"/>
      <c r="D542" s="332"/>
      <c r="E542" s="323"/>
      <c r="F542" s="326"/>
      <c r="J542" s="322"/>
      <c r="K542" s="327"/>
      <c r="L542" s="332"/>
      <c r="M542" s="332"/>
      <c r="N542" s="323"/>
      <c r="O542" s="326"/>
    </row>
    <row r="543" ht="15.75" customHeight="1">
      <c r="A543" s="322"/>
      <c r="B543" s="327" t="s">
        <v>939</v>
      </c>
      <c r="C543" s="333" t="str">
        <f>IF(SUM(E555,E570,E578)=0,"",SUM(E555,E570,E578))</f>
        <v>#REF!</v>
      </c>
      <c r="D543" s="321"/>
      <c r="E543" s="323" t="str">
        <f>C543/90000</f>
        <v>#REF!</v>
      </c>
      <c r="F543" s="326"/>
      <c r="J543" s="322"/>
      <c r="K543" s="327" t="s">
        <v>939</v>
      </c>
      <c r="L543" s="333" t="str">
        <f>IF(SUM(N555,N570,N578)=0,"",SUM(N555,N570,N578))</f>
        <v>#REF!</v>
      </c>
      <c r="M543" s="321"/>
      <c r="N543" s="323" t="str">
        <f>L543/90000</f>
        <v>#REF!</v>
      </c>
      <c r="O543" s="326"/>
    </row>
    <row r="544" ht="15.75" customHeight="1">
      <c r="A544" s="322"/>
      <c r="B544" s="327"/>
      <c r="C544" s="334"/>
      <c r="D544" s="334"/>
      <c r="E544" s="323"/>
      <c r="F544" s="326"/>
      <c r="J544" s="322"/>
      <c r="K544" s="327"/>
      <c r="L544" s="334"/>
      <c r="M544" s="334"/>
      <c r="N544" s="323"/>
      <c r="O544" s="326"/>
    </row>
    <row r="545" ht="15.75" customHeight="1">
      <c r="A545" s="322"/>
      <c r="B545" s="327" t="s">
        <v>946</v>
      </c>
      <c r="C545" s="335" t="str">
        <f>IF(C543="","",IF(ISBLANK(C541),"",C543/C541))</f>
        <v>#REF!</v>
      </c>
      <c r="D545" s="321"/>
      <c r="E545" s="323"/>
      <c r="F545" s="326"/>
      <c r="J545" s="322"/>
      <c r="K545" s="327" t="s">
        <v>946</v>
      </c>
      <c r="L545" s="335" t="str">
        <f>IF(L543="","",IF(ISBLANK(L541),"",L543/L541))</f>
        <v>#REF!</v>
      </c>
      <c r="M545" s="321"/>
      <c r="N545" s="323"/>
      <c r="O545" s="326"/>
    </row>
    <row r="546" ht="15.75" customHeight="1">
      <c r="A546" s="322"/>
      <c r="B546" s="327"/>
      <c r="C546" s="334"/>
      <c r="D546" s="334"/>
      <c r="E546" s="323"/>
      <c r="F546" s="326"/>
      <c r="J546" s="322"/>
      <c r="K546" s="327"/>
      <c r="L546" s="334"/>
      <c r="M546" s="334"/>
      <c r="N546" s="323"/>
      <c r="O546" s="326"/>
    </row>
    <row r="547" ht="15.75" customHeight="1">
      <c r="A547" s="322"/>
      <c r="B547" s="327" t="s">
        <v>950</v>
      </c>
      <c r="C547" s="333" t="str">
        <f>C541-C543</f>
        <v>#REF!</v>
      </c>
      <c r="D547" s="321"/>
      <c r="E547" s="323"/>
      <c r="F547" s="326"/>
      <c r="J547" s="322"/>
      <c r="K547" s="327" t="s">
        <v>950</v>
      </c>
      <c r="L547" s="333" t="str">
        <f>L541-L543</f>
        <v>#REF!</v>
      </c>
      <c r="M547" s="321"/>
      <c r="N547" s="323"/>
      <c r="O547" s="326"/>
    </row>
    <row r="548" ht="15.75" customHeight="1">
      <c r="A548" s="322"/>
      <c r="B548" s="322"/>
      <c r="C548" s="322"/>
      <c r="D548" s="322"/>
      <c r="E548" s="323"/>
      <c r="F548" s="324"/>
      <c r="J548" s="322"/>
      <c r="K548" s="322"/>
      <c r="L548" s="322"/>
      <c r="M548" s="322"/>
      <c r="N548" s="323"/>
      <c r="O548" s="324"/>
    </row>
    <row r="549" ht="15.75" customHeight="1">
      <c r="A549" s="322"/>
      <c r="B549" s="322"/>
      <c r="C549" s="322"/>
      <c r="D549" s="322"/>
      <c r="E549" s="337"/>
      <c r="F549" s="324"/>
      <c r="J549" s="322"/>
      <c r="K549" s="322"/>
      <c r="L549" s="322"/>
      <c r="M549" s="322"/>
      <c r="N549" s="337"/>
      <c r="O549" s="324"/>
    </row>
    <row r="550" ht="15.75" customHeight="1">
      <c r="A550" s="322"/>
      <c r="B550" s="338" t="s">
        <v>951</v>
      </c>
      <c r="C550" s="339"/>
      <c r="D550" s="339"/>
      <c r="E550" s="339"/>
      <c r="F550" s="324"/>
      <c r="J550" s="322"/>
      <c r="K550" s="338" t="s">
        <v>951</v>
      </c>
      <c r="L550" s="339"/>
      <c r="M550" s="339"/>
      <c r="N550" s="339"/>
      <c r="O550" s="324"/>
    </row>
    <row r="551" ht="15.75" customHeight="1">
      <c r="A551" s="322"/>
      <c r="B551" s="340" t="s">
        <v>953</v>
      </c>
      <c r="C551" s="341" t="s">
        <v>954</v>
      </c>
      <c r="D551" s="341" t="s">
        <v>955</v>
      </c>
      <c r="E551" s="341" t="s">
        <v>35</v>
      </c>
      <c r="F551" s="324"/>
      <c r="J551" s="322"/>
      <c r="K551" s="340" t="s">
        <v>953</v>
      </c>
      <c r="L551" s="341" t="s">
        <v>954</v>
      </c>
      <c r="M551" s="341" t="s">
        <v>955</v>
      </c>
      <c r="N551" s="341" t="s">
        <v>35</v>
      </c>
      <c r="O551" s="324"/>
    </row>
    <row r="552" ht="15.75" customHeight="1">
      <c r="A552" s="322"/>
      <c r="B552" s="60" t="s">
        <v>799</v>
      </c>
      <c r="C552" s="342">
        <v>1.0</v>
      </c>
      <c r="D552" s="343">
        <f>3*90000</f>
        <v>270000</v>
      </c>
      <c r="E552" s="67">
        <f t="shared" ref="E552:E553" si="52">IF(OR(ISBLANK(C552),ISBLANK(D552)),"",D552*C552)</f>
        <v>270000</v>
      </c>
      <c r="F552" s="324"/>
      <c r="J552" s="322"/>
      <c r="K552" s="139" t="s">
        <v>1545</v>
      </c>
      <c r="L552" s="342">
        <v>1.0</v>
      </c>
      <c r="M552" s="403">
        <v>120000.0</v>
      </c>
      <c r="N552" s="67">
        <f t="shared" ref="N552:N554" si="53">IF(OR(ISBLANK(L552),ISBLANK(M552)),"",M552*L552)</f>
        <v>120000</v>
      </c>
      <c r="O552" s="324"/>
    </row>
    <row r="553" ht="15.75" customHeight="1">
      <c r="A553" s="322"/>
      <c r="B553" s="75" t="s">
        <v>1401</v>
      </c>
      <c r="C553" s="370">
        <v>1.0</v>
      </c>
      <c r="D553" s="371" t="str">
        <f>$L$54</f>
        <v>#REF!</v>
      </c>
      <c r="E553" s="67" t="str">
        <f t="shared" si="52"/>
        <v>#REF!</v>
      </c>
      <c r="F553" s="324"/>
      <c r="J553" s="322"/>
      <c r="K553" s="228" t="s">
        <v>1417</v>
      </c>
      <c r="L553" s="370">
        <v>1.0</v>
      </c>
      <c r="M553" s="371" t="str">
        <f>$L$54</f>
        <v>#REF!</v>
      </c>
      <c r="N553" s="67" t="str">
        <f t="shared" si="53"/>
        <v>#REF!</v>
      </c>
      <c r="O553" s="324"/>
    </row>
    <row r="554" ht="15.75" customHeight="1">
      <c r="A554" s="322"/>
      <c r="B554" s="87"/>
      <c r="C554" s="355"/>
      <c r="D554" s="356"/>
      <c r="E554" s="67"/>
      <c r="F554" s="324"/>
      <c r="J554" s="322"/>
      <c r="K554" s="406" t="s">
        <v>781</v>
      </c>
      <c r="L554" s="405">
        <v>0.1</v>
      </c>
      <c r="M554" s="371">
        <f>Prep!D133</f>
        <v>41520</v>
      </c>
      <c r="N554" s="67">
        <f t="shared" si="53"/>
        <v>4152</v>
      </c>
      <c r="O554" s="324"/>
    </row>
    <row r="555" ht="15.75" customHeight="1">
      <c r="A555" s="322"/>
      <c r="B555" s="338" t="s">
        <v>84</v>
      </c>
      <c r="C555" s="358"/>
      <c r="D555" s="358"/>
      <c r="E555" s="359" t="str">
        <f>IF(SUM(E552:E554)=0,"",SUM(E552:E554))</f>
        <v>#REF!</v>
      </c>
      <c r="F555" s="324"/>
      <c r="J555" s="322"/>
      <c r="K555" s="338" t="s">
        <v>84</v>
      </c>
      <c r="L555" s="358"/>
      <c r="M555" s="358"/>
      <c r="N555" s="359" t="str">
        <f>IF(SUM(N552:N554)=0,"",SUM(N552:N554))</f>
        <v>#REF!</v>
      </c>
      <c r="O555" s="324"/>
    </row>
    <row r="556" ht="15.75" customHeight="1">
      <c r="A556" s="322"/>
      <c r="B556" s="360"/>
      <c r="C556" s="360"/>
      <c r="D556" s="360"/>
      <c r="E556" s="361"/>
      <c r="F556" s="324"/>
      <c r="J556" s="322"/>
      <c r="K556" s="360"/>
      <c r="L556" s="360"/>
      <c r="M556" s="360"/>
      <c r="N556" s="361"/>
      <c r="O556" s="324"/>
    </row>
    <row r="557" ht="15.75" customHeight="1">
      <c r="A557" s="322"/>
      <c r="B557" s="362" t="s">
        <v>972</v>
      </c>
      <c r="C557" s="363"/>
      <c r="D557" s="363"/>
      <c r="E557" s="363"/>
      <c r="F557" s="324"/>
      <c r="J557" s="322"/>
      <c r="K557" s="362" t="s">
        <v>972</v>
      </c>
      <c r="L557" s="363"/>
      <c r="M557" s="363"/>
      <c r="N557" s="363"/>
      <c r="O557" s="324"/>
    </row>
    <row r="558" ht="15.75" customHeight="1">
      <c r="A558" s="322"/>
      <c r="B558" s="365" t="s">
        <v>953</v>
      </c>
      <c r="C558" s="366" t="s">
        <v>3</v>
      </c>
      <c r="D558" s="366" t="s">
        <v>975</v>
      </c>
      <c r="E558" s="367" t="s">
        <v>35</v>
      </c>
      <c r="F558" s="324"/>
      <c r="J558" s="322"/>
      <c r="K558" s="365" t="s">
        <v>953</v>
      </c>
      <c r="L558" s="366" t="s">
        <v>3</v>
      </c>
      <c r="M558" s="366" t="s">
        <v>975</v>
      </c>
      <c r="N558" s="367" t="s">
        <v>35</v>
      </c>
      <c r="O558" s="324"/>
    </row>
    <row r="559" ht="15.75" customHeight="1">
      <c r="A559" s="322"/>
      <c r="B559" s="368"/>
      <c r="C559" s="366"/>
      <c r="D559" s="366"/>
      <c r="E559" s="368"/>
      <c r="F559" s="324"/>
      <c r="J559" s="322"/>
      <c r="K559" s="368"/>
      <c r="L559" s="366"/>
      <c r="M559" s="366"/>
      <c r="N559" s="368"/>
      <c r="O559" s="324"/>
    </row>
    <row r="560" ht="15.75" customHeight="1">
      <c r="A560" s="322"/>
      <c r="B560" s="60"/>
      <c r="C560" s="342"/>
      <c r="D560" s="343"/>
      <c r="E560" s="67">
        <f t="shared" ref="E560:E569" si="54">D560*C560</f>
        <v>0</v>
      </c>
      <c r="F560" s="324"/>
      <c r="J560" s="322"/>
      <c r="K560" s="60"/>
      <c r="L560" s="342"/>
      <c r="M560" s="343"/>
      <c r="N560" s="67">
        <f t="shared" ref="N560:N569" si="55">M560*L560</f>
        <v>0</v>
      </c>
      <c r="O560" s="324"/>
    </row>
    <row r="561" ht="15.75" customHeight="1">
      <c r="A561" s="322"/>
      <c r="B561" s="75"/>
      <c r="C561" s="370"/>
      <c r="D561" s="371"/>
      <c r="E561" s="67">
        <f t="shared" si="54"/>
        <v>0</v>
      </c>
      <c r="F561" s="324"/>
      <c r="J561" s="322"/>
      <c r="K561" s="75"/>
      <c r="L561" s="370"/>
      <c r="M561" s="371"/>
      <c r="N561" s="67">
        <f t="shared" si="55"/>
        <v>0</v>
      </c>
      <c r="O561" s="324"/>
    </row>
    <row r="562" ht="15.75" customHeight="1">
      <c r="A562" s="322"/>
      <c r="B562" s="75"/>
      <c r="C562" s="370"/>
      <c r="D562" s="371"/>
      <c r="E562" s="67">
        <f t="shared" si="54"/>
        <v>0</v>
      </c>
      <c r="F562" s="324"/>
      <c r="J562" s="322"/>
      <c r="K562" s="75"/>
      <c r="L562" s="370"/>
      <c r="M562" s="371"/>
      <c r="N562" s="67">
        <f t="shared" si="55"/>
        <v>0</v>
      </c>
      <c r="O562" s="324"/>
    </row>
    <row r="563" ht="15.75" customHeight="1">
      <c r="A563" s="322"/>
      <c r="B563" s="75"/>
      <c r="C563" s="346"/>
      <c r="D563" s="371"/>
      <c r="E563" s="67">
        <f t="shared" si="54"/>
        <v>0</v>
      </c>
      <c r="F563" s="324"/>
      <c r="J563" s="322"/>
      <c r="K563" s="75"/>
      <c r="L563" s="346"/>
      <c r="M563" s="371"/>
      <c r="N563" s="67">
        <f t="shared" si="55"/>
        <v>0</v>
      </c>
      <c r="O563" s="324"/>
    </row>
    <row r="564" ht="15.75" customHeight="1">
      <c r="A564" s="322"/>
      <c r="B564" s="75"/>
      <c r="C564" s="346"/>
      <c r="D564" s="371"/>
      <c r="E564" s="67">
        <f t="shared" si="54"/>
        <v>0</v>
      </c>
      <c r="F564" s="324"/>
      <c r="J564" s="322"/>
      <c r="K564" s="75"/>
      <c r="L564" s="346"/>
      <c r="M564" s="371"/>
      <c r="N564" s="67">
        <f t="shared" si="55"/>
        <v>0</v>
      </c>
      <c r="O564" s="324"/>
    </row>
    <row r="565" ht="15.75" customHeight="1">
      <c r="A565" s="322"/>
      <c r="B565" s="75"/>
      <c r="C565" s="346"/>
      <c r="D565" s="347"/>
      <c r="E565" s="67">
        <f t="shared" si="54"/>
        <v>0</v>
      </c>
      <c r="F565" s="324"/>
      <c r="J565" s="322"/>
      <c r="K565" s="75"/>
      <c r="L565" s="346"/>
      <c r="M565" s="347"/>
      <c r="N565" s="67">
        <f t="shared" si="55"/>
        <v>0</v>
      </c>
      <c r="O565" s="324"/>
    </row>
    <row r="566" ht="15.75" customHeight="1">
      <c r="A566" s="322"/>
      <c r="B566" s="348"/>
      <c r="C566" s="346"/>
      <c r="D566" s="373"/>
      <c r="E566" s="67">
        <f t="shared" si="54"/>
        <v>0</v>
      </c>
      <c r="F566" s="324"/>
      <c r="J566" s="322"/>
      <c r="K566" s="348"/>
      <c r="L566" s="346"/>
      <c r="M566" s="373"/>
      <c r="N566" s="67">
        <f t="shared" si="55"/>
        <v>0</v>
      </c>
      <c r="O566" s="324"/>
    </row>
    <row r="567" ht="15.75" customHeight="1">
      <c r="A567" s="322"/>
      <c r="B567" s="348"/>
      <c r="C567" s="346"/>
      <c r="D567" s="373"/>
      <c r="E567" s="67">
        <f t="shared" si="54"/>
        <v>0</v>
      </c>
      <c r="F567" s="324"/>
      <c r="J567" s="322"/>
      <c r="K567" s="348"/>
      <c r="L567" s="346"/>
      <c r="M567" s="373"/>
      <c r="N567" s="67">
        <f t="shared" si="55"/>
        <v>0</v>
      </c>
      <c r="O567" s="324"/>
    </row>
    <row r="568" ht="15.75" customHeight="1">
      <c r="A568" s="322"/>
      <c r="B568" s="348"/>
      <c r="C568" s="346"/>
      <c r="D568" s="373"/>
      <c r="E568" s="67">
        <f t="shared" si="54"/>
        <v>0</v>
      </c>
      <c r="F568" s="324"/>
      <c r="J568" s="322"/>
      <c r="K568" s="348"/>
      <c r="L568" s="346"/>
      <c r="M568" s="373"/>
      <c r="N568" s="67">
        <f t="shared" si="55"/>
        <v>0</v>
      </c>
      <c r="O568" s="324"/>
    </row>
    <row r="569" ht="15.75" customHeight="1">
      <c r="A569" s="322"/>
      <c r="B569" s="354"/>
      <c r="C569" s="355"/>
      <c r="D569" s="356"/>
      <c r="E569" s="67">
        <f t="shared" si="54"/>
        <v>0</v>
      </c>
      <c r="F569" s="324"/>
      <c r="J569" s="322"/>
      <c r="K569" s="354"/>
      <c r="L569" s="355"/>
      <c r="M569" s="356"/>
      <c r="N569" s="67">
        <f t="shared" si="55"/>
        <v>0</v>
      </c>
      <c r="O569" s="324"/>
    </row>
    <row r="570" ht="15.75" customHeight="1">
      <c r="A570" s="322"/>
      <c r="B570" s="362" t="s">
        <v>84</v>
      </c>
      <c r="C570" s="374"/>
      <c r="D570" s="374"/>
      <c r="E570" s="375" t="str">
        <f>IF(SUM(E560:E569)=0,"",SUM(E560:E569))</f>
        <v/>
      </c>
      <c r="F570" s="324"/>
      <c r="J570" s="322"/>
      <c r="K570" s="362" t="s">
        <v>84</v>
      </c>
      <c r="L570" s="374"/>
      <c r="M570" s="374"/>
      <c r="N570" s="375" t="str">
        <f>IF(SUM(N560:N569)=0,"",SUM(N560:N569))</f>
        <v/>
      </c>
      <c r="O570" s="324"/>
    </row>
    <row r="571" ht="15.75" customHeight="1">
      <c r="A571" s="322"/>
      <c r="B571" s="360"/>
      <c r="C571" s="360"/>
      <c r="D571" s="360"/>
      <c r="E571" s="361"/>
      <c r="F571" s="324"/>
      <c r="J571" s="322"/>
      <c r="K571" s="360"/>
      <c r="L571" s="360"/>
      <c r="M571" s="360"/>
      <c r="N571" s="361"/>
      <c r="O571" s="324"/>
    </row>
    <row r="572" ht="15.75" customHeight="1">
      <c r="A572" s="322"/>
      <c r="B572" s="34" t="s">
        <v>17</v>
      </c>
      <c r="C572" s="35"/>
      <c r="D572" s="35"/>
      <c r="E572" s="35"/>
      <c r="F572" s="324"/>
      <c r="J572" s="322"/>
      <c r="K572" s="34" t="s">
        <v>17</v>
      </c>
      <c r="L572" s="35"/>
      <c r="M572" s="35"/>
      <c r="N572" s="35"/>
      <c r="O572" s="324"/>
    </row>
    <row r="573" ht="15.75" customHeight="1">
      <c r="A573" s="322"/>
      <c r="B573" s="52" t="s">
        <v>42</v>
      </c>
      <c r="C573" s="54"/>
      <c r="D573" s="54"/>
      <c r="E573" s="56" t="s">
        <v>35</v>
      </c>
      <c r="F573" s="324"/>
      <c r="J573" s="322"/>
      <c r="K573" s="52" t="s">
        <v>42</v>
      </c>
      <c r="L573" s="54"/>
      <c r="M573" s="54"/>
      <c r="N573" s="56" t="s">
        <v>35</v>
      </c>
      <c r="O573" s="324"/>
    </row>
    <row r="574" ht="15.75" customHeight="1">
      <c r="A574" s="322"/>
      <c r="B574" s="60" t="s">
        <v>40</v>
      </c>
      <c r="C574" s="343">
        <f>'UTL COST'!$B$3</f>
        <v>369000</v>
      </c>
      <c r="D574" s="379">
        <f>'UTL COST'!$C$3</f>
        <v>0.0075</v>
      </c>
      <c r="E574" s="67">
        <v>0.0</v>
      </c>
      <c r="F574" s="324"/>
      <c r="J574" s="322"/>
      <c r="K574" s="60" t="s">
        <v>40</v>
      </c>
      <c r="L574" s="343">
        <f>'UTL COST'!$B$3</f>
        <v>369000</v>
      </c>
      <c r="M574" s="379">
        <f>'UTL COST'!$C$3</f>
        <v>0.0075</v>
      </c>
      <c r="N574" s="67">
        <v>0.0</v>
      </c>
      <c r="O574" s="324"/>
    </row>
    <row r="575" ht="15.75" customHeight="1">
      <c r="A575" s="322"/>
      <c r="B575" s="75" t="s">
        <v>51</v>
      </c>
      <c r="C575" s="371" t="str">
        <f>'UTL COST'!$B$4</f>
        <v>#REF!</v>
      </c>
      <c r="D575" s="382">
        <f>'UTL COST'!$C$4</f>
        <v>7000</v>
      </c>
      <c r="E575" s="76">
        <v>0.0</v>
      </c>
      <c r="F575" s="324"/>
      <c r="J575" s="322"/>
      <c r="K575" s="75" t="s">
        <v>51</v>
      </c>
      <c r="L575" s="371" t="str">
        <f>'UTL COST'!$B$4</f>
        <v>#REF!</v>
      </c>
      <c r="M575" s="382">
        <f>'UTL COST'!$C$4</f>
        <v>7000</v>
      </c>
      <c r="N575" s="76">
        <v>0.0</v>
      </c>
      <c r="O575" s="324"/>
    </row>
    <row r="576" ht="15.75" customHeight="1">
      <c r="A576" s="322"/>
      <c r="B576" s="75" t="s">
        <v>59</v>
      </c>
      <c r="C576" s="371" t="str">
        <f>'UTL COST'!$B$5</f>
        <v>#REF!</v>
      </c>
      <c r="D576" s="382">
        <f>'UTL COST'!$C$5</f>
        <v>45000</v>
      </c>
      <c r="E576" s="76" t="str">
        <f>'UTL COST'!$D$5</f>
        <v>#REF!</v>
      </c>
      <c r="F576" s="324"/>
      <c r="J576" s="322"/>
      <c r="K576" s="75" t="s">
        <v>59</v>
      </c>
      <c r="L576" s="371" t="str">
        <f>'UTL COST'!$B$5</f>
        <v>#REF!</v>
      </c>
      <c r="M576" s="382">
        <f>'UTL COST'!$C$5</f>
        <v>45000</v>
      </c>
      <c r="N576" s="76" t="str">
        <f>'UTL COST'!$D$5</f>
        <v>#REF!</v>
      </c>
      <c r="O576" s="324"/>
    </row>
    <row r="577" ht="15.75" customHeight="1">
      <c r="A577" s="322"/>
      <c r="B577" s="87" t="s">
        <v>78</v>
      </c>
      <c r="C577" s="371" t="str">
        <f>'UTL COST'!$B$6</f>
        <v>#REF!</v>
      </c>
      <c r="D577" s="383">
        <f>'UTL COST'!$C$6</f>
        <v>525</v>
      </c>
      <c r="E577" s="89">
        <v>0.1</v>
      </c>
      <c r="F577" s="324"/>
      <c r="J577" s="322"/>
      <c r="K577" s="87" t="s">
        <v>78</v>
      </c>
      <c r="L577" s="371" t="str">
        <f>'UTL COST'!$B$6</f>
        <v>#REF!</v>
      </c>
      <c r="M577" s="383">
        <f>'UTL COST'!$C$6</f>
        <v>525</v>
      </c>
      <c r="N577" s="89">
        <v>0.1</v>
      </c>
      <c r="O577" s="324"/>
    </row>
    <row r="578" ht="15.75" customHeight="1">
      <c r="A578" s="322"/>
      <c r="B578" s="34" t="s">
        <v>84</v>
      </c>
      <c r="C578" s="102"/>
      <c r="D578" s="102"/>
      <c r="E578" s="104" t="str">
        <f>IF(SUM(E574:E577)=0,"",SUM(E574:E577))</f>
        <v>#REF!</v>
      </c>
      <c r="F578" s="324"/>
      <c r="J578" s="322"/>
      <c r="K578" s="34" t="s">
        <v>84</v>
      </c>
      <c r="L578" s="102"/>
      <c r="M578" s="102"/>
      <c r="N578" s="104" t="str">
        <f>IF(SUM(N574:N577)=0,"",SUM(N574:N577))</f>
        <v>#REF!</v>
      </c>
      <c r="O578" s="324"/>
    </row>
    <row r="579" ht="15.75" customHeight="1">
      <c r="A579" s="322"/>
      <c r="B579" s="360"/>
      <c r="C579" s="360"/>
      <c r="D579" s="360"/>
      <c r="E579" s="361"/>
      <c r="F579" s="324"/>
      <c r="J579" s="322"/>
      <c r="K579" s="360"/>
      <c r="L579" s="360"/>
      <c r="M579" s="360"/>
      <c r="N579" s="361"/>
      <c r="O579" s="324"/>
    </row>
    <row r="580" ht="15.75" customHeight="1"/>
    <row r="581" ht="15.75" customHeight="1"/>
    <row r="582" ht="15.75" customHeight="1">
      <c r="A582" s="322"/>
      <c r="B582" s="322"/>
      <c r="C582" s="322"/>
      <c r="D582" s="322"/>
      <c r="E582" s="323"/>
      <c r="F582" s="324"/>
    </row>
    <row r="583" ht="15.75" customHeight="1">
      <c r="A583" s="322"/>
      <c r="B583" s="325"/>
      <c r="C583" s="322"/>
      <c r="D583" s="322"/>
      <c r="E583" s="323"/>
      <c r="F583" s="326"/>
    </row>
    <row r="584" ht="15.75" customHeight="1">
      <c r="A584" s="322"/>
      <c r="B584" s="327" t="s">
        <v>931</v>
      </c>
      <c r="C584" s="330" t="s">
        <v>1550</v>
      </c>
      <c r="D584" s="329"/>
      <c r="E584" s="323"/>
      <c r="F584" s="326"/>
    </row>
    <row r="585" ht="15.75" customHeight="1">
      <c r="A585" s="322"/>
      <c r="B585" s="325"/>
      <c r="C585" s="322"/>
      <c r="D585" s="322"/>
      <c r="E585" s="323"/>
      <c r="F585" s="326"/>
    </row>
    <row r="586" ht="15.75" customHeight="1">
      <c r="A586" s="322"/>
      <c r="B586" s="327" t="s">
        <v>935</v>
      </c>
      <c r="C586" s="331" t="str">
        <f>E586*90000</f>
        <v>#REF!</v>
      </c>
      <c r="D586" s="329"/>
      <c r="E586" s="394" t="str">
        <f>E588*3</f>
        <v>#REF!</v>
      </c>
      <c r="F586" s="326"/>
    </row>
    <row r="587" ht="15.75" customHeight="1">
      <c r="A587" s="322"/>
      <c r="B587" s="327"/>
      <c r="C587" s="332"/>
      <c r="D587" s="332"/>
      <c r="E587" s="323"/>
      <c r="F587" s="326"/>
    </row>
    <row r="588" ht="15.75" customHeight="1">
      <c r="A588" s="322"/>
      <c r="B588" s="327" t="s">
        <v>939</v>
      </c>
      <c r="C588" s="333" t="str">
        <f>IF(SUM(E600,E615,E623)=0,"",SUM(E600,E615,E623))</f>
        <v>#REF!</v>
      </c>
      <c r="D588" s="321"/>
      <c r="E588" s="323" t="str">
        <f>C588/90000</f>
        <v>#REF!</v>
      </c>
      <c r="F588" s="326"/>
    </row>
    <row r="589" ht="15.75" customHeight="1">
      <c r="A589" s="322"/>
      <c r="B589" s="327"/>
      <c r="C589" s="334"/>
      <c r="D589" s="334"/>
      <c r="E589" s="323"/>
      <c r="F589" s="326"/>
    </row>
    <row r="590" ht="15.75" customHeight="1">
      <c r="A590" s="322"/>
      <c r="B590" s="327" t="s">
        <v>946</v>
      </c>
      <c r="C590" s="335" t="str">
        <f>IF(C588="","",IF(ISBLANK(C586),"",C588/C586))</f>
        <v>#REF!</v>
      </c>
      <c r="D590" s="321"/>
      <c r="E590" s="323"/>
      <c r="F590" s="326"/>
    </row>
    <row r="591" ht="15.75" customHeight="1">
      <c r="A591" s="322"/>
      <c r="B591" s="327"/>
      <c r="C591" s="334"/>
      <c r="D591" s="334"/>
      <c r="E591" s="323"/>
      <c r="F591" s="326"/>
    </row>
    <row r="592" ht="15.75" customHeight="1">
      <c r="A592" s="322"/>
      <c r="B592" s="327" t="s">
        <v>950</v>
      </c>
      <c r="C592" s="333" t="str">
        <f>C586-C588</f>
        <v>#REF!</v>
      </c>
      <c r="D592" s="321"/>
      <c r="E592" s="323"/>
      <c r="F592" s="326"/>
    </row>
    <row r="593" ht="15.75" customHeight="1">
      <c r="A593" s="322"/>
      <c r="B593" s="322"/>
      <c r="C593" s="322"/>
      <c r="D593" s="322"/>
      <c r="E593" s="323"/>
      <c r="F593" s="324"/>
    </row>
    <row r="594" ht="15.75" customHeight="1">
      <c r="A594" s="322"/>
      <c r="B594" s="322"/>
      <c r="C594" s="322"/>
      <c r="D594" s="322"/>
      <c r="E594" s="337"/>
      <c r="F594" s="324"/>
    </row>
    <row r="595" ht="15.75" customHeight="1">
      <c r="A595" s="322"/>
      <c r="B595" s="338" t="s">
        <v>951</v>
      </c>
      <c r="C595" s="339"/>
      <c r="D595" s="339"/>
      <c r="E595" s="339"/>
      <c r="F595" s="324"/>
    </row>
    <row r="596" ht="15.75" customHeight="1">
      <c r="A596" s="322"/>
      <c r="B596" s="340" t="s">
        <v>953</v>
      </c>
      <c r="C596" s="341" t="s">
        <v>954</v>
      </c>
      <c r="D596" s="341" t="s">
        <v>955</v>
      </c>
      <c r="E596" s="341" t="s">
        <v>35</v>
      </c>
      <c r="F596" s="324"/>
    </row>
    <row r="597" ht="15.75" customHeight="1">
      <c r="A597" s="322"/>
      <c r="B597" s="139" t="s">
        <v>86</v>
      </c>
      <c r="C597" s="344">
        <v>0.1</v>
      </c>
      <c r="D597" s="343">
        <f>'F&amp;B'!F96</f>
        <v>13050</v>
      </c>
      <c r="E597" s="67">
        <f t="shared" ref="E597:E598" si="56">IF(OR(ISBLANK(C597),ISBLANK(D597)),"",D597*C597)</f>
        <v>1305</v>
      </c>
      <c r="F597" s="324"/>
    </row>
    <row r="598" ht="15.75" customHeight="1">
      <c r="A598" s="322"/>
      <c r="B598" s="75" t="s">
        <v>1401</v>
      </c>
      <c r="C598" s="405">
        <v>2.0</v>
      </c>
      <c r="D598" s="371" t="str">
        <f>$L$54</f>
        <v>#REF!</v>
      </c>
      <c r="E598" s="67" t="str">
        <f t="shared" si="56"/>
        <v>#REF!</v>
      </c>
      <c r="F598" s="324"/>
    </row>
    <row r="599" ht="15.75" customHeight="1">
      <c r="A599" s="322"/>
      <c r="B599" s="87"/>
      <c r="C599" s="355"/>
      <c r="D599" s="356"/>
      <c r="E599" s="67"/>
      <c r="F599" s="324"/>
    </row>
    <row r="600" ht="15.75" customHeight="1">
      <c r="A600" s="322"/>
      <c r="B600" s="338" t="s">
        <v>84</v>
      </c>
      <c r="C600" s="358"/>
      <c r="D600" s="358"/>
      <c r="E600" s="359" t="str">
        <f>IF(SUM(E597:E599)=0,"",SUM(E597:E599))</f>
        <v>#REF!</v>
      </c>
      <c r="F600" s="324"/>
    </row>
    <row r="601" ht="15.75" customHeight="1">
      <c r="A601" s="322"/>
      <c r="B601" s="360"/>
      <c r="C601" s="360"/>
      <c r="D601" s="360"/>
      <c r="E601" s="361"/>
      <c r="F601" s="324"/>
    </row>
    <row r="602" ht="15.75" customHeight="1">
      <c r="A602" s="322"/>
      <c r="B602" s="362" t="s">
        <v>972</v>
      </c>
      <c r="C602" s="363"/>
      <c r="D602" s="363"/>
      <c r="E602" s="363"/>
      <c r="F602" s="324"/>
    </row>
    <row r="603" ht="15.75" customHeight="1">
      <c r="A603" s="322"/>
      <c r="B603" s="365" t="s">
        <v>953</v>
      </c>
      <c r="C603" s="366" t="s">
        <v>3</v>
      </c>
      <c r="D603" s="366" t="s">
        <v>975</v>
      </c>
      <c r="E603" s="367" t="s">
        <v>35</v>
      </c>
      <c r="F603" s="324"/>
    </row>
    <row r="604" ht="15.75" customHeight="1">
      <c r="A604" s="322"/>
      <c r="B604" s="368"/>
      <c r="C604" s="366"/>
      <c r="D604" s="366"/>
      <c r="E604" s="368"/>
      <c r="F604" s="324"/>
    </row>
    <row r="605" ht="15.75" customHeight="1">
      <c r="A605" s="322"/>
      <c r="B605" s="60"/>
      <c r="C605" s="342"/>
      <c r="D605" s="343"/>
      <c r="E605" s="67">
        <f t="shared" ref="E605:E614" si="57">D605*C605</f>
        <v>0</v>
      </c>
      <c r="F605" s="324"/>
    </row>
    <row r="606" ht="15.75" customHeight="1">
      <c r="A606" s="322"/>
      <c r="B606" s="75"/>
      <c r="C606" s="370"/>
      <c r="D606" s="371"/>
      <c r="E606" s="67">
        <f t="shared" si="57"/>
        <v>0</v>
      </c>
      <c r="F606" s="324"/>
    </row>
    <row r="607" ht="15.75" customHeight="1">
      <c r="A607" s="322"/>
      <c r="B607" s="75"/>
      <c r="C607" s="370"/>
      <c r="D607" s="371"/>
      <c r="E607" s="67">
        <f t="shared" si="57"/>
        <v>0</v>
      </c>
      <c r="F607" s="324"/>
    </row>
    <row r="608" ht="15.75" customHeight="1">
      <c r="A608" s="322"/>
      <c r="B608" s="75"/>
      <c r="C608" s="346"/>
      <c r="D608" s="371"/>
      <c r="E608" s="67">
        <f t="shared" si="57"/>
        <v>0</v>
      </c>
      <c r="F608" s="324"/>
    </row>
    <row r="609" ht="15.75" customHeight="1">
      <c r="A609" s="322"/>
      <c r="B609" s="75"/>
      <c r="C609" s="346"/>
      <c r="D609" s="371"/>
      <c r="E609" s="67">
        <f t="shared" si="57"/>
        <v>0</v>
      </c>
      <c r="F609" s="324"/>
    </row>
    <row r="610" ht="15.75" customHeight="1">
      <c r="A610" s="322"/>
      <c r="B610" s="75"/>
      <c r="C610" s="346"/>
      <c r="D610" s="347"/>
      <c r="E610" s="67">
        <f t="shared" si="57"/>
        <v>0</v>
      </c>
      <c r="F610" s="324"/>
    </row>
    <row r="611" ht="15.75" customHeight="1">
      <c r="A611" s="322"/>
      <c r="B611" s="348"/>
      <c r="C611" s="346"/>
      <c r="D611" s="373"/>
      <c r="E611" s="67">
        <f t="shared" si="57"/>
        <v>0</v>
      </c>
      <c r="F611" s="324"/>
    </row>
    <row r="612" ht="15.75" customHeight="1">
      <c r="A612" s="322"/>
      <c r="B612" s="348"/>
      <c r="C612" s="346"/>
      <c r="D612" s="373"/>
      <c r="E612" s="67">
        <f t="shared" si="57"/>
        <v>0</v>
      </c>
      <c r="F612" s="324"/>
    </row>
    <row r="613" ht="15.75" customHeight="1">
      <c r="A613" s="322"/>
      <c r="B613" s="348"/>
      <c r="C613" s="346"/>
      <c r="D613" s="373"/>
      <c r="E613" s="67">
        <f t="shared" si="57"/>
        <v>0</v>
      </c>
      <c r="F613" s="324"/>
    </row>
    <row r="614" ht="15.75" customHeight="1">
      <c r="A614" s="322"/>
      <c r="B614" s="354"/>
      <c r="C614" s="355"/>
      <c r="D614" s="356"/>
      <c r="E614" s="67">
        <f t="shared" si="57"/>
        <v>0</v>
      </c>
      <c r="F614" s="324"/>
    </row>
    <row r="615" ht="15.75" customHeight="1">
      <c r="A615" s="322"/>
      <c r="B615" s="362" t="s">
        <v>84</v>
      </c>
      <c r="C615" s="374"/>
      <c r="D615" s="374"/>
      <c r="E615" s="375" t="str">
        <f>IF(SUM(E605:E614)=0,"",SUM(E605:E614))</f>
        <v/>
      </c>
      <c r="F615" s="324"/>
    </row>
    <row r="616" ht="15.75" customHeight="1">
      <c r="A616" s="322"/>
      <c r="B616" s="360"/>
      <c r="C616" s="360"/>
      <c r="D616" s="360"/>
      <c r="E616" s="361"/>
      <c r="F616" s="324"/>
    </row>
    <row r="617" ht="15.75" customHeight="1">
      <c r="A617" s="322"/>
      <c r="B617" s="34" t="s">
        <v>17</v>
      </c>
      <c r="C617" s="35"/>
      <c r="D617" s="35"/>
      <c r="E617" s="35"/>
      <c r="F617" s="324"/>
    </row>
    <row r="618" ht="15.75" customHeight="1">
      <c r="A618" s="322"/>
      <c r="B618" s="52" t="s">
        <v>42</v>
      </c>
      <c r="C618" s="54"/>
      <c r="D618" s="54"/>
      <c r="E618" s="56" t="s">
        <v>35</v>
      </c>
      <c r="F618" s="324"/>
    </row>
    <row r="619" ht="15.75" customHeight="1">
      <c r="A619" s="322"/>
      <c r="B619" s="60" t="s">
        <v>40</v>
      </c>
      <c r="C619" s="343">
        <f>'UTL COST'!$B$3</f>
        <v>369000</v>
      </c>
      <c r="D619" s="379">
        <f>'UTL COST'!$C$3</f>
        <v>0.0075</v>
      </c>
      <c r="E619" s="67">
        <v>0.0</v>
      </c>
      <c r="F619" s="324"/>
    </row>
    <row r="620" ht="15.75" customHeight="1">
      <c r="A620" s="322"/>
      <c r="B620" s="75" t="s">
        <v>51</v>
      </c>
      <c r="C620" s="371" t="str">
        <f>'UTL COST'!$B$4</f>
        <v>#REF!</v>
      </c>
      <c r="D620" s="382">
        <f>'UTL COST'!$C$4</f>
        <v>7000</v>
      </c>
      <c r="E620" s="76">
        <v>0.0</v>
      </c>
      <c r="F620" s="324"/>
    </row>
    <row r="621" ht="15.75" customHeight="1">
      <c r="A621" s="322"/>
      <c r="B621" s="75" t="s">
        <v>59</v>
      </c>
      <c r="C621" s="371" t="str">
        <f>'UTL COST'!$B$5</f>
        <v>#REF!</v>
      </c>
      <c r="D621" s="382">
        <f>'UTL COST'!$C$5</f>
        <v>45000</v>
      </c>
      <c r="E621" s="76" t="str">
        <f>'UTL COST'!$D$5</f>
        <v>#REF!</v>
      </c>
      <c r="F621" s="324"/>
    </row>
    <row r="622" ht="15.75" customHeight="1">
      <c r="A622" s="322"/>
      <c r="B622" s="87" t="s">
        <v>78</v>
      </c>
      <c r="C622" s="371" t="str">
        <f>'UTL COST'!$B$6</f>
        <v>#REF!</v>
      </c>
      <c r="D622" s="383">
        <f>'UTL COST'!$C$6</f>
        <v>525</v>
      </c>
      <c r="E622" s="89">
        <v>0.1</v>
      </c>
      <c r="F622" s="324"/>
    </row>
    <row r="623" ht="15.75" customHeight="1">
      <c r="A623" s="322"/>
      <c r="B623" s="34" t="s">
        <v>84</v>
      </c>
      <c r="C623" s="102"/>
      <c r="D623" s="102"/>
      <c r="E623" s="104" t="str">
        <f>IF(SUM(E619:E622)=0,"",SUM(E619:E622))</f>
        <v>#REF!</v>
      </c>
      <c r="F623" s="324"/>
    </row>
    <row r="624" ht="15.75" customHeight="1">
      <c r="A624" s="322"/>
      <c r="B624" s="360"/>
      <c r="C624" s="360"/>
      <c r="D624" s="360"/>
      <c r="E624" s="361"/>
      <c r="F624" s="324"/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0">
    <mergeCell ref="L52:M52"/>
    <mergeCell ref="L54:M54"/>
    <mergeCell ref="L56:M56"/>
    <mergeCell ref="L58:M58"/>
    <mergeCell ref="K69:K70"/>
    <mergeCell ref="N69:N70"/>
    <mergeCell ref="L95:M95"/>
    <mergeCell ref="L97:M97"/>
    <mergeCell ref="L99:M99"/>
    <mergeCell ref="L101:M101"/>
    <mergeCell ref="L103:M103"/>
    <mergeCell ref="K114:K115"/>
    <mergeCell ref="N114:N115"/>
    <mergeCell ref="L140:M140"/>
    <mergeCell ref="L186:M186"/>
    <mergeCell ref="L188:M188"/>
    <mergeCell ref="L142:M142"/>
    <mergeCell ref="L144:M144"/>
    <mergeCell ref="L146:M146"/>
    <mergeCell ref="L148:M148"/>
    <mergeCell ref="K159:K160"/>
    <mergeCell ref="N159:N160"/>
    <mergeCell ref="L184:M184"/>
    <mergeCell ref="C95:D95"/>
    <mergeCell ref="C97:D97"/>
    <mergeCell ref="C99:D99"/>
    <mergeCell ref="C101:D101"/>
    <mergeCell ref="C103:D103"/>
    <mergeCell ref="B114:B115"/>
    <mergeCell ref="E114:E115"/>
    <mergeCell ref="C140:D140"/>
    <mergeCell ref="C142:D142"/>
    <mergeCell ref="C144:D144"/>
    <mergeCell ref="C146:D146"/>
    <mergeCell ref="C148:D148"/>
    <mergeCell ref="B159:B160"/>
    <mergeCell ref="E159:E160"/>
    <mergeCell ref="L235:M235"/>
    <mergeCell ref="L237:M237"/>
    <mergeCell ref="K248:K249"/>
    <mergeCell ref="N248:N249"/>
    <mergeCell ref="L274:M274"/>
    <mergeCell ref="L276:M276"/>
    <mergeCell ref="L278:M278"/>
    <mergeCell ref="L280:M280"/>
    <mergeCell ref="L282:M282"/>
    <mergeCell ref="K293:K294"/>
    <mergeCell ref="N293:N294"/>
    <mergeCell ref="L319:M319"/>
    <mergeCell ref="L321:M321"/>
    <mergeCell ref="L323:M323"/>
    <mergeCell ref="K338:K339"/>
    <mergeCell ref="N338:N339"/>
    <mergeCell ref="L363:M363"/>
    <mergeCell ref="L365:M365"/>
    <mergeCell ref="L367:M367"/>
    <mergeCell ref="L369:M369"/>
    <mergeCell ref="L371:M371"/>
    <mergeCell ref="K382:K383"/>
    <mergeCell ref="N382:N383"/>
    <mergeCell ref="L407:M407"/>
    <mergeCell ref="L409:M409"/>
    <mergeCell ref="L411:M411"/>
    <mergeCell ref="L413:M413"/>
    <mergeCell ref="L415:M415"/>
    <mergeCell ref="K426:K427"/>
    <mergeCell ref="N426:N427"/>
    <mergeCell ref="L451:M451"/>
    <mergeCell ref="L453:M453"/>
    <mergeCell ref="L455:M455"/>
    <mergeCell ref="L457:M457"/>
    <mergeCell ref="L459:M459"/>
    <mergeCell ref="K470:K471"/>
    <mergeCell ref="N470:N471"/>
    <mergeCell ref="L495:M495"/>
    <mergeCell ref="L497:M497"/>
    <mergeCell ref="L499:M499"/>
    <mergeCell ref="L501:M501"/>
    <mergeCell ref="L503:M503"/>
    <mergeCell ref="K558:K559"/>
    <mergeCell ref="N558:N559"/>
    <mergeCell ref="K514:K515"/>
    <mergeCell ref="N514:N515"/>
    <mergeCell ref="L539:M539"/>
    <mergeCell ref="L541:M541"/>
    <mergeCell ref="L543:M543"/>
    <mergeCell ref="L545:M545"/>
    <mergeCell ref="L547:M547"/>
    <mergeCell ref="L10:M10"/>
    <mergeCell ref="L12:M12"/>
    <mergeCell ref="A1:F1"/>
    <mergeCell ref="C6:D6"/>
    <mergeCell ref="L6:M6"/>
    <mergeCell ref="C8:D8"/>
    <mergeCell ref="L8:M8"/>
    <mergeCell ref="C10:D10"/>
    <mergeCell ref="C12:D12"/>
    <mergeCell ref="C14:D14"/>
    <mergeCell ref="L14:M14"/>
    <mergeCell ref="B25:B26"/>
    <mergeCell ref="E25:E26"/>
    <mergeCell ref="K25:K26"/>
    <mergeCell ref="N25:N26"/>
    <mergeCell ref="L50:M50"/>
    <mergeCell ref="C50:D50"/>
    <mergeCell ref="C52:D52"/>
    <mergeCell ref="C54:D54"/>
    <mergeCell ref="C56:D56"/>
    <mergeCell ref="C58:D58"/>
    <mergeCell ref="B69:B70"/>
    <mergeCell ref="E69:E70"/>
    <mergeCell ref="C184:D184"/>
    <mergeCell ref="C186:D186"/>
    <mergeCell ref="C188:D188"/>
    <mergeCell ref="C190:D190"/>
    <mergeCell ref="L190:M190"/>
    <mergeCell ref="C192:D192"/>
    <mergeCell ref="L192:M192"/>
    <mergeCell ref="B203:B204"/>
    <mergeCell ref="E203:E204"/>
    <mergeCell ref="K203:K204"/>
    <mergeCell ref="N203:N204"/>
    <mergeCell ref="L229:M229"/>
    <mergeCell ref="L231:M231"/>
    <mergeCell ref="L233:M233"/>
    <mergeCell ref="L325:M325"/>
    <mergeCell ref="L327:M327"/>
    <mergeCell ref="C495:D495"/>
    <mergeCell ref="C497:D497"/>
    <mergeCell ref="C499:D499"/>
    <mergeCell ref="C501:D501"/>
    <mergeCell ref="C503:D503"/>
    <mergeCell ref="B514:B515"/>
    <mergeCell ref="E514:E515"/>
    <mergeCell ref="C539:D539"/>
    <mergeCell ref="C541:D541"/>
    <mergeCell ref="C543:D543"/>
    <mergeCell ref="C545:D545"/>
    <mergeCell ref="C547:D547"/>
    <mergeCell ref="B558:B559"/>
    <mergeCell ref="E558:E559"/>
    <mergeCell ref="C229:D229"/>
    <mergeCell ref="C231:D231"/>
    <mergeCell ref="C233:D233"/>
    <mergeCell ref="C235:D235"/>
    <mergeCell ref="C237:D237"/>
    <mergeCell ref="B248:B249"/>
    <mergeCell ref="E248:E249"/>
    <mergeCell ref="C274:D274"/>
    <mergeCell ref="C276:D276"/>
    <mergeCell ref="C278:D278"/>
    <mergeCell ref="C280:D280"/>
    <mergeCell ref="C282:D282"/>
    <mergeCell ref="B293:B294"/>
    <mergeCell ref="E293:E294"/>
    <mergeCell ref="C319:D319"/>
    <mergeCell ref="C321:D321"/>
    <mergeCell ref="C323:D323"/>
    <mergeCell ref="C325:D325"/>
    <mergeCell ref="C327:D327"/>
    <mergeCell ref="B338:B339"/>
    <mergeCell ref="E338:E339"/>
    <mergeCell ref="C363:D363"/>
    <mergeCell ref="C365:D365"/>
    <mergeCell ref="C367:D367"/>
    <mergeCell ref="C369:D369"/>
    <mergeCell ref="C371:D371"/>
    <mergeCell ref="B382:B383"/>
    <mergeCell ref="E382:E383"/>
    <mergeCell ref="C407:D407"/>
    <mergeCell ref="C409:D409"/>
    <mergeCell ref="C411:D411"/>
    <mergeCell ref="C413:D413"/>
    <mergeCell ref="C415:D415"/>
    <mergeCell ref="B426:B427"/>
    <mergeCell ref="E426:E427"/>
    <mergeCell ref="C451:D451"/>
    <mergeCell ref="C453:D453"/>
    <mergeCell ref="C455:D455"/>
    <mergeCell ref="C457:D457"/>
    <mergeCell ref="C459:D459"/>
    <mergeCell ref="B470:B471"/>
    <mergeCell ref="E470:E471"/>
    <mergeCell ref="C584:D584"/>
    <mergeCell ref="C586:D586"/>
    <mergeCell ref="C588:D588"/>
    <mergeCell ref="C590:D590"/>
    <mergeCell ref="C592:D592"/>
    <mergeCell ref="B603:B604"/>
    <mergeCell ref="E603:E604"/>
  </mergeCells>
  <printOptions/>
  <pageMargins bottom="0.75" footer="0.0" header="0.0" left="0.7" right="0.7" top="0.75"/>
  <pageSetup scale="80" orientation="portrait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0.38"/>
    <col customWidth="1" min="3" max="3" width="13.13"/>
    <col customWidth="1" min="4" max="4" width="10.0"/>
    <col customWidth="1" min="5" max="5" width="14.13"/>
    <col customWidth="1" min="6" max="6" width="10.38"/>
    <col customWidth="1" min="7" max="7" width="14.38"/>
    <col customWidth="1" min="8" max="8" width="5.63"/>
    <col customWidth="1" min="9" max="9" width="4.38"/>
    <col customWidth="1" min="10" max="10" width="24.38"/>
    <col customWidth="1" min="11" max="11" width="14.13"/>
    <col customWidth="1" min="12" max="12" width="12.0"/>
    <col customWidth="1" min="13" max="13" width="11.13"/>
    <col customWidth="1" min="14" max="14" width="5.13"/>
    <col customWidth="1" min="15" max="26" width="14.38"/>
  </cols>
  <sheetData>
    <row r="1" ht="46.5" customHeight="1">
      <c r="A1" s="399" t="s">
        <v>1404</v>
      </c>
      <c r="B1" s="321"/>
      <c r="C1" s="321"/>
      <c r="D1" s="321"/>
      <c r="E1" s="321"/>
      <c r="F1" s="321"/>
      <c r="G1" s="494" t="str">
        <f>#REF!</f>
        <v>#REF!</v>
      </c>
      <c r="H1" s="387"/>
      <c r="I1" s="387"/>
      <c r="J1" s="387"/>
      <c r="K1" s="387"/>
      <c r="L1" s="387"/>
      <c r="M1" s="387"/>
      <c r="N1" s="387"/>
    </row>
    <row r="2" ht="18.0" customHeight="1">
      <c r="A2" s="388"/>
      <c r="B2" s="388"/>
      <c r="C2" s="388"/>
      <c r="D2" s="388"/>
      <c r="E2" s="389"/>
      <c r="F2" s="387"/>
      <c r="G2" s="387"/>
      <c r="H2" s="387"/>
      <c r="I2" s="387"/>
      <c r="J2" s="387"/>
      <c r="K2" s="387"/>
      <c r="L2" s="387"/>
      <c r="M2" s="387"/>
      <c r="N2" s="387"/>
    </row>
    <row r="3" ht="6.75" customHeight="1">
      <c r="A3" s="388"/>
      <c r="B3" s="388"/>
      <c r="C3" s="388"/>
      <c r="D3" s="388"/>
      <c r="E3" s="389"/>
      <c r="F3" s="387"/>
      <c r="G3" s="387"/>
      <c r="H3" s="387"/>
      <c r="I3" s="387"/>
      <c r="J3" s="387"/>
      <c r="K3" s="387"/>
      <c r="L3" s="387"/>
      <c r="M3" s="387"/>
      <c r="N3" s="387"/>
    </row>
    <row r="4" ht="15.0" customHeight="1">
      <c r="A4" s="322"/>
      <c r="B4" s="322"/>
      <c r="C4" s="322"/>
      <c r="D4" s="322"/>
      <c r="E4" s="323"/>
      <c r="F4" s="324"/>
      <c r="G4" s="387"/>
      <c r="H4" s="387"/>
      <c r="I4" s="322"/>
      <c r="J4" s="322"/>
      <c r="K4" s="322"/>
      <c r="L4" s="322"/>
      <c r="M4" s="323"/>
      <c r="N4" s="324"/>
    </row>
    <row r="5" ht="4.5" customHeight="1">
      <c r="A5" s="322"/>
      <c r="B5" s="325"/>
      <c r="C5" s="322"/>
      <c r="D5" s="322"/>
      <c r="E5" s="323"/>
      <c r="F5" s="326"/>
      <c r="G5" s="404"/>
      <c r="H5" s="404"/>
      <c r="I5" s="322"/>
      <c r="J5" s="325"/>
      <c r="K5" s="322"/>
      <c r="L5" s="322"/>
      <c r="M5" s="323"/>
      <c r="N5" s="326"/>
    </row>
    <row r="6" ht="18.0" customHeight="1">
      <c r="A6" s="322"/>
      <c r="B6" s="327" t="s">
        <v>931</v>
      </c>
      <c r="C6" s="328" t="s">
        <v>1407</v>
      </c>
      <c r="D6" s="329"/>
      <c r="E6" s="323"/>
      <c r="F6" s="326"/>
      <c r="G6" s="404"/>
      <c r="H6" s="404"/>
      <c r="I6" s="322"/>
      <c r="J6" s="327" t="s">
        <v>931</v>
      </c>
      <c r="K6" s="328" t="s">
        <v>1408</v>
      </c>
      <c r="L6" s="329"/>
      <c r="M6" s="323"/>
      <c r="N6" s="326"/>
    </row>
    <row r="7" ht="4.5" customHeight="1">
      <c r="A7" s="322"/>
      <c r="B7" s="325"/>
      <c r="C7" s="322"/>
      <c r="D7" s="322"/>
      <c r="E7" s="323"/>
      <c r="F7" s="326"/>
      <c r="G7" s="404"/>
      <c r="H7" s="404"/>
      <c r="I7" s="322"/>
      <c r="J7" s="325"/>
      <c r="K7" s="322"/>
      <c r="L7" s="322"/>
      <c r="M7" s="323"/>
      <c r="N7" s="326"/>
    </row>
    <row r="8" ht="18.0" customHeight="1">
      <c r="A8" s="322"/>
      <c r="B8" s="327" t="s">
        <v>935</v>
      </c>
      <c r="C8" s="331">
        <v>100000.0</v>
      </c>
      <c r="D8" s="329"/>
      <c r="E8" s="323"/>
      <c r="F8" s="326"/>
      <c r="G8" s="404"/>
      <c r="H8" s="404"/>
      <c r="I8" s="322"/>
      <c r="J8" s="327" t="s">
        <v>935</v>
      </c>
      <c r="K8" s="331">
        <v>100000.0</v>
      </c>
      <c r="L8" s="329"/>
      <c r="M8" s="323"/>
      <c r="N8" s="326"/>
    </row>
    <row r="9" ht="4.5" customHeight="1">
      <c r="A9" s="322"/>
      <c r="B9" s="327"/>
      <c r="C9" s="332"/>
      <c r="D9" s="332"/>
      <c r="E9" s="323"/>
      <c r="F9" s="326"/>
      <c r="G9" s="404"/>
      <c r="H9" s="404"/>
      <c r="I9" s="322"/>
      <c r="J9" s="327"/>
      <c r="K9" s="332"/>
      <c r="L9" s="332"/>
      <c r="M9" s="323"/>
      <c r="N9" s="326"/>
    </row>
    <row r="10" ht="18.0" customHeight="1">
      <c r="A10" s="322"/>
      <c r="B10" s="327" t="s">
        <v>939</v>
      </c>
      <c r="C10" s="333" t="str">
        <f>IF(SUM(E22,E37,E45)=0,"",SUM(E22,E37,E45))</f>
        <v>#REF!</v>
      </c>
      <c r="D10" s="321"/>
      <c r="E10" s="323"/>
      <c r="F10" s="326"/>
      <c r="G10" s="404"/>
      <c r="H10" s="404"/>
      <c r="I10" s="322"/>
      <c r="J10" s="327" t="s">
        <v>939</v>
      </c>
      <c r="K10" s="333" t="str">
        <f>IF(SUM(M22,M37,M45)=0,"",SUM(M22,M37,M45))</f>
        <v>#REF!</v>
      </c>
      <c r="L10" s="321"/>
      <c r="M10" s="323"/>
      <c r="N10" s="326"/>
    </row>
    <row r="11" ht="4.5" customHeight="1">
      <c r="A11" s="322"/>
      <c r="B11" s="327"/>
      <c r="C11" s="334"/>
      <c r="D11" s="334"/>
      <c r="E11" s="323"/>
      <c r="F11" s="326"/>
      <c r="G11" s="404"/>
      <c r="H11" s="404"/>
      <c r="I11" s="322"/>
      <c r="J11" s="327"/>
      <c r="K11" s="334"/>
      <c r="L11" s="334"/>
      <c r="M11" s="323"/>
      <c r="N11" s="326"/>
    </row>
    <row r="12" ht="18.0" customHeight="1">
      <c r="A12" s="322"/>
      <c r="B12" s="327" t="s">
        <v>946</v>
      </c>
      <c r="C12" s="335" t="str">
        <f>IF(C10="","",IF(ISBLANK(C8),"",C10/C8))</f>
        <v>#REF!</v>
      </c>
      <c r="D12" s="321"/>
      <c r="E12" s="323"/>
      <c r="F12" s="326"/>
      <c r="G12" s="404"/>
      <c r="H12" s="404"/>
      <c r="I12" s="322"/>
      <c r="J12" s="327" t="s">
        <v>946</v>
      </c>
      <c r="K12" s="335" t="str">
        <f>IF(K10="","",IF(ISBLANK(K8),"",K10/K8))</f>
        <v>#REF!</v>
      </c>
      <c r="L12" s="321"/>
      <c r="M12" s="323"/>
      <c r="N12" s="326"/>
    </row>
    <row r="13" ht="4.5" customHeight="1">
      <c r="A13" s="322"/>
      <c r="B13" s="327"/>
      <c r="C13" s="334"/>
      <c r="D13" s="334"/>
      <c r="E13" s="323"/>
      <c r="F13" s="326"/>
      <c r="G13" s="404"/>
      <c r="H13" s="404"/>
      <c r="I13" s="322"/>
      <c r="J13" s="327"/>
      <c r="K13" s="334"/>
      <c r="L13" s="334"/>
      <c r="M13" s="323"/>
      <c r="N13" s="326"/>
    </row>
    <row r="14" ht="18.0" customHeight="1">
      <c r="A14" s="322"/>
      <c r="B14" s="327" t="s">
        <v>950</v>
      </c>
      <c r="C14" s="333" t="str">
        <f>C8-C10</f>
        <v>#REF!</v>
      </c>
      <c r="D14" s="321"/>
      <c r="E14" s="495"/>
      <c r="F14" s="326"/>
      <c r="G14" s="404"/>
      <c r="H14" s="404"/>
      <c r="I14" s="322"/>
      <c r="J14" s="327" t="s">
        <v>950</v>
      </c>
      <c r="K14" s="333" t="str">
        <f>K8-K10</f>
        <v>#REF!</v>
      </c>
      <c r="L14" s="321"/>
      <c r="M14" s="323"/>
      <c r="N14" s="326"/>
    </row>
    <row r="15" ht="15.0" customHeight="1">
      <c r="A15" s="322"/>
      <c r="B15" s="327" t="s">
        <v>1409</v>
      </c>
      <c r="C15" s="333">
        <v>7000.0</v>
      </c>
      <c r="D15" s="321"/>
      <c r="E15" s="333">
        <f>C15+C8</f>
        <v>107000</v>
      </c>
      <c r="F15" s="321"/>
      <c r="G15" s="387"/>
      <c r="H15" s="404"/>
      <c r="I15" s="322"/>
      <c r="J15" s="327" t="s">
        <v>1409</v>
      </c>
      <c r="K15" s="333">
        <v>7000.0</v>
      </c>
      <c r="L15" s="321"/>
      <c r="M15" s="333">
        <f>K15+K8</f>
        <v>107000</v>
      </c>
      <c r="N15" s="321"/>
    </row>
    <row r="16" ht="12.75" customHeight="1">
      <c r="A16" s="322"/>
      <c r="B16" s="322"/>
      <c r="C16" s="322"/>
      <c r="D16" s="322"/>
      <c r="E16" s="337"/>
      <c r="F16" s="324"/>
      <c r="G16" s="387"/>
      <c r="H16" s="387"/>
      <c r="I16" s="322"/>
      <c r="J16" s="322"/>
      <c r="K16" s="322"/>
      <c r="L16" s="322"/>
      <c r="M16" s="337"/>
      <c r="N16" s="324"/>
    </row>
    <row r="17" ht="12.75" customHeight="1">
      <c r="A17" s="322"/>
      <c r="B17" s="338" t="s">
        <v>951</v>
      </c>
      <c r="C17" s="339"/>
      <c r="D17" s="339"/>
      <c r="E17" s="339"/>
      <c r="F17" s="324"/>
      <c r="G17" s="387"/>
      <c r="H17" s="410"/>
      <c r="I17" s="322"/>
      <c r="J17" s="338" t="s">
        <v>951</v>
      </c>
      <c r="K17" s="339"/>
      <c r="L17" s="339"/>
      <c r="M17" s="339"/>
      <c r="N17" s="324"/>
    </row>
    <row r="18" ht="12.75" customHeight="1">
      <c r="A18" s="322"/>
      <c r="B18" s="340" t="s">
        <v>953</v>
      </c>
      <c r="C18" s="341" t="s">
        <v>954</v>
      </c>
      <c r="D18" s="341" t="s">
        <v>955</v>
      </c>
      <c r="E18" s="341" t="s">
        <v>35</v>
      </c>
      <c r="F18" s="324"/>
      <c r="G18" s="387"/>
      <c r="H18" s="387"/>
      <c r="I18" s="322"/>
      <c r="J18" s="340" t="s">
        <v>953</v>
      </c>
      <c r="K18" s="341" t="s">
        <v>954</v>
      </c>
      <c r="L18" s="341" t="s">
        <v>955</v>
      </c>
      <c r="M18" s="341" t="s">
        <v>35</v>
      </c>
      <c r="N18" s="324"/>
    </row>
    <row r="19" ht="12.75" customHeight="1">
      <c r="A19" s="322"/>
      <c r="B19" s="60" t="s">
        <v>1411</v>
      </c>
      <c r="C19" s="342">
        <v>1.0</v>
      </c>
      <c r="D19" s="343" t="str">
        <f>E50</f>
        <v>#REF!</v>
      </c>
      <c r="E19" s="67" t="str">
        <f t="shared" ref="E19:E20" si="1">IF(OR(ISBLANK(C19),ISBLANK(D19)),"",D19*C19)</f>
        <v>#REF!</v>
      </c>
      <c r="F19" s="324"/>
      <c r="G19" s="387"/>
      <c r="H19" s="387"/>
      <c r="I19" s="322"/>
      <c r="J19" s="60" t="s">
        <v>1412</v>
      </c>
      <c r="K19" s="342">
        <v>1.0</v>
      </c>
      <c r="L19" s="343" t="str">
        <f>$E$52</f>
        <v>#REF!</v>
      </c>
      <c r="M19" s="67" t="str">
        <f t="shared" ref="M19:M20" si="2">IF(OR(ISBLANK(K19),ISBLANK(L19)),"",L19*K19)</f>
        <v>#REF!</v>
      </c>
      <c r="N19" s="324"/>
    </row>
    <row r="20" ht="12.75" customHeight="1">
      <c r="A20" s="322"/>
      <c r="B20" s="75" t="s">
        <v>1416</v>
      </c>
      <c r="C20" s="346">
        <v>8.0</v>
      </c>
      <c r="D20" s="371" t="str">
        <f>$E$55</f>
        <v>#REF!</v>
      </c>
      <c r="E20" s="67" t="str">
        <f t="shared" si="1"/>
        <v>#REF!</v>
      </c>
      <c r="F20" s="324"/>
      <c r="G20" s="387"/>
      <c r="H20" s="387"/>
      <c r="I20" s="322"/>
      <c r="J20" s="75" t="s">
        <v>1416</v>
      </c>
      <c r="K20" s="346">
        <v>8.0</v>
      </c>
      <c r="L20" s="371" t="str">
        <f>D20</f>
        <v>#REF!</v>
      </c>
      <c r="M20" s="67" t="str">
        <f t="shared" si="2"/>
        <v>#REF!</v>
      </c>
      <c r="N20" s="324"/>
    </row>
    <row r="21" ht="12.75" customHeight="1">
      <c r="A21" s="322"/>
      <c r="B21" s="87" t="s">
        <v>1418</v>
      </c>
      <c r="C21" s="412">
        <v>1.0</v>
      </c>
      <c r="D21" s="371" t="str">
        <f>$E$53</f>
        <v>#REF!</v>
      </c>
      <c r="E21" s="67"/>
      <c r="F21" s="324"/>
      <c r="G21" s="387"/>
      <c r="H21" s="387"/>
      <c r="I21" s="322"/>
      <c r="J21" s="87" t="s">
        <v>1418</v>
      </c>
      <c r="K21" s="412">
        <v>1.0</v>
      </c>
      <c r="L21" s="371" t="str">
        <f>$E$53</f>
        <v>#REF!</v>
      </c>
      <c r="M21" s="67"/>
      <c r="N21" s="324"/>
    </row>
    <row r="22" ht="12.75" customHeight="1">
      <c r="A22" s="322"/>
      <c r="B22" s="338" t="s">
        <v>84</v>
      </c>
      <c r="C22" s="358"/>
      <c r="D22" s="358"/>
      <c r="E22" s="359" t="str">
        <f>IF(SUM(E19:E21)=0,"",SUM(E19:E21))</f>
        <v>#REF!</v>
      </c>
      <c r="F22" s="324"/>
      <c r="G22" s="387"/>
      <c r="H22" s="387"/>
      <c r="I22" s="322"/>
      <c r="J22" s="338" t="s">
        <v>84</v>
      </c>
      <c r="K22" s="358"/>
      <c r="L22" s="358"/>
      <c r="M22" s="359" t="str">
        <f>IF(SUM(M19:M21)=0,"",SUM(M19:M21))</f>
        <v>#REF!</v>
      </c>
      <c r="N22" s="324"/>
    </row>
    <row r="23" ht="12.75" customHeight="1">
      <c r="A23" s="322"/>
      <c r="B23" s="360"/>
      <c r="C23" s="360"/>
      <c r="D23" s="360"/>
      <c r="E23" s="361"/>
      <c r="F23" s="324"/>
      <c r="G23" s="387"/>
      <c r="H23" s="387"/>
      <c r="I23" s="322"/>
      <c r="J23" s="360"/>
      <c r="K23" s="360"/>
      <c r="L23" s="360"/>
      <c r="M23" s="361"/>
      <c r="N23" s="324"/>
    </row>
    <row r="24" ht="12.75" customHeight="1">
      <c r="A24" s="322"/>
      <c r="B24" s="362" t="s">
        <v>972</v>
      </c>
      <c r="C24" s="363"/>
      <c r="D24" s="363"/>
      <c r="E24" s="363"/>
      <c r="F24" s="324"/>
      <c r="G24" s="387"/>
      <c r="H24" s="387"/>
      <c r="I24" s="322"/>
      <c r="J24" s="362" t="s">
        <v>972</v>
      </c>
      <c r="K24" s="363"/>
      <c r="L24" s="363"/>
      <c r="M24" s="363"/>
      <c r="N24" s="324"/>
    </row>
    <row r="25" ht="12.75" customHeight="1">
      <c r="A25" s="322"/>
      <c r="B25" s="365" t="s">
        <v>953</v>
      </c>
      <c r="C25" s="366" t="s">
        <v>3</v>
      </c>
      <c r="D25" s="366" t="s">
        <v>975</v>
      </c>
      <c r="E25" s="367" t="s">
        <v>35</v>
      </c>
      <c r="F25" s="324"/>
      <c r="G25" s="387"/>
      <c r="H25" s="387"/>
      <c r="I25" s="322"/>
      <c r="J25" s="365" t="s">
        <v>953</v>
      </c>
      <c r="K25" s="366" t="s">
        <v>3</v>
      </c>
      <c r="L25" s="366" t="s">
        <v>975</v>
      </c>
      <c r="M25" s="367" t="s">
        <v>35</v>
      </c>
      <c r="N25" s="324"/>
    </row>
    <row r="26" ht="12.75" customHeight="1">
      <c r="A26" s="322"/>
      <c r="B26" s="368"/>
      <c r="C26" s="366"/>
      <c r="D26" s="366"/>
      <c r="E26" s="368"/>
      <c r="F26" s="324"/>
      <c r="G26" s="387"/>
      <c r="H26" s="387"/>
      <c r="I26" s="322"/>
      <c r="J26" s="368"/>
      <c r="K26" s="366"/>
      <c r="L26" s="366"/>
      <c r="M26" s="368"/>
      <c r="N26" s="324"/>
    </row>
    <row r="27" ht="12.75" customHeight="1">
      <c r="A27" s="322"/>
      <c r="B27" s="60" t="s">
        <v>1419</v>
      </c>
      <c r="C27" s="342">
        <v>1.0</v>
      </c>
      <c r="D27" s="343">
        <f>$E$54</f>
        <v>560</v>
      </c>
      <c r="E27" s="67">
        <f t="shared" ref="E27:E36" si="3">D27*C27</f>
        <v>560</v>
      </c>
      <c r="F27" s="324"/>
      <c r="G27" s="387"/>
      <c r="H27" s="387"/>
      <c r="I27" s="322"/>
      <c r="J27" s="60" t="s">
        <v>1419</v>
      </c>
      <c r="K27" s="342">
        <v>1.0</v>
      </c>
      <c r="L27" s="343">
        <f>D27</f>
        <v>560</v>
      </c>
      <c r="M27" s="67">
        <f t="shared" ref="M27:M36" si="4">L27*K27</f>
        <v>560</v>
      </c>
      <c r="N27" s="324"/>
    </row>
    <row r="28" ht="12.75" customHeight="1">
      <c r="A28" s="322"/>
      <c r="B28" s="75" t="s">
        <v>1420</v>
      </c>
      <c r="C28" s="370">
        <v>2.0</v>
      </c>
      <c r="D28" s="371">
        <f>E56</f>
        <v>182</v>
      </c>
      <c r="E28" s="67">
        <f t="shared" si="3"/>
        <v>364</v>
      </c>
      <c r="F28" s="324"/>
      <c r="G28" s="387"/>
      <c r="H28" s="387"/>
      <c r="I28" s="322"/>
      <c r="J28" s="75" t="s">
        <v>1420</v>
      </c>
      <c r="K28" s="370">
        <v>2.0</v>
      </c>
      <c r="L28" s="371">
        <f>E56</f>
        <v>182</v>
      </c>
      <c r="M28" s="67">
        <f t="shared" si="4"/>
        <v>364</v>
      </c>
      <c r="N28" s="324"/>
    </row>
    <row r="29" ht="12.75" customHeight="1">
      <c r="A29" s="322"/>
      <c r="B29" s="75"/>
      <c r="C29" s="372"/>
      <c r="D29" s="371"/>
      <c r="E29" s="67">
        <f t="shared" si="3"/>
        <v>0</v>
      </c>
      <c r="F29" s="324"/>
      <c r="G29" s="387"/>
      <c r="H29" s="387"/>
      <c r="I29" s="322"/>
      <c r="J29" s="75"/>
      <c r="K29" s="346"/>
      <c r="L29" s="371"/>
      <c r="M29" s="67">
        <f t="shared" si="4"/>
        <v>0</v>
      </c>
      <c r="N29" s="324"/>
    </row>
    <row r="30" ht="12.75" customHeight="1">
      <c r="A30" s="322"/>
      <c r="B30" s="75"/>
      <c r="C30" s="346"/>
      <c r="D30" s="371"/>
      <c r="E30" s="67">
        <f t="shared" si="3"/>
        <v>0</v>
      </c>
      <c r="F30" s="324"/>
      <c r="G30" s="387"/>
      <c r="H30" s="387"/>
      <c r="I30" s="322"/>
      <c r="J30" s="75"/>
      <c r="K30" s="346"/>
      <c r="L30" s="371"/>
      <c r="M30" s="67">
        <f t="shared" si="4"/>
        <v>0</v>
      </c>
      <c r="N30" s="324"/>
    </row>
    <row r="31" ht="12.75" customHeight="1">
      <c r="A31" s="322"/>
      <c r="B31" s="75"/>
      <c r="C31" s="346"/>
      <c r="D31" s="371"/>
      <c r="E31" s="67">
        <f t="shared" si="3"/>
        <v>0</v>
      </c>
      <c r="F31" s="324"/>
      <c r="G31" s="387"/>
      <c r="H31" s="387"/>
      <c r="I31" s="322"/>
      <c r="J31" s="75"/>
      <c r="K31" s="370"/>
      <c r="L31" s="387"/>
      <c r="M31" s="67">
        <f t="shared" si="4"/>
        <v>0</v>
      </c>
      <c r="N31" s="324"/>
    </row>
    <row r="32" ht="12.75" customHeight="1">
      <c r="A32" s="322"/>
      <c r="B32" s="75"/>
      <c r="C32" s="346"/>
      <c r="D32" s="373"/>
      <c r="E32" s="67">
        <f t="shared" si="3"/>
        <v>0</v>
      </c>
      <c r="F32" s="324"/>
      <c r="G32" s="387"/>
      <c r="H32" s="387"/>
      <c r="I32" s="322"/>
      <c r="J32" s="75"/>
      <c r="K32" s="346"/>
      <c r="L32" s="373"/>
      <c r="M32" s="67">
        <f t="shared" si="4"/>
        <v>0</v>
      </c>
      <c r="N32" s="324"/>
    </row>
    <row r="33" ht="12.75" customHeight="1">
      <c r="A33" s="322"/>
      <c r="B33" s="348"/>
      <c r="C33" s="346"/>
      <c r="D33" s="373"/>
      <c r="E33" s="67">
        <f t="shared" si="3"/>
        <v>0</v>
      </c>
      <c r="F33" s="324"/>
      <c r="G33" s="387"/>
      <c r="H33" s="387"/>
      <c r="I33" s="322"/>
      <c r="J33" s="348"/>
      <c r="K33" s="346"/>
      <c r="L33" s="373"/>
      <c r="M33" s="67">
        <f t="shared" si="4"/>
        <v>0</v>
      </c>
      <c r="N33" s="324"/>
    </row>
    <row r="34" ht="12.75" customHeight="1">
      <c r="A34" s="322"/>
      <c r="B34" s="348"/>
      <c r="C34" s="346"/>
      <c r="D34" s="373"/>
      <c r="E34" s="67">
        <f t="shared" si="3"/>
        <v>0</v>
      </c>
      <c r="F34" s="324"/>
      <c r="G34" s="387"/>
      <c r="H34" s="387"/>
      <c r="I34" s="322"/>
      <c r="J34" s="348"/>
      <c r="K34" s="346"/>
      <c r="L34" s="373"/>
      <c r="M34" s="67">
        <f t="shared" si="4"/>
        <v>0</v>
      </c>
      <c r="N34" s="324"/>
    </row>
    <row r="35" ht="12.75" customHeight="1">
      <c r="A35" s="322"/>
      <c r="B35" s="348"/>
      <c r="C35" s="346"/>
      <c r="D35" s="373"/>
      <c r="E35" s="67">
        <f t="shared" si="3"/>
        <v>0</v>
      </c>
      <c r="F35" s="324"/>
      <c r="G35" s="387"/>
      <c r="H35" s="387"/>
      <c r="I35" s="322"/>
      <c r="J35" s="348"/>
      <c r="K35" s="346"/>
      <c r="L35" s="373"/>
      <c r="M35" s="67">
        <f t="shared" si="4"/>
        <v>0</v>
      </c>
      <c r="N35" s="324"/>
    </row>
    <row r="36" ht="12.75" customHeight="1">
      <c r="A36" s="322"/>
      <c r="B36" s="354"/>
      <c r="C36" s="355"/>
      <c r="D36" s="356"/>
      <c r="E36" s="67">
        <f t="shared" si="3"/>
        <v>0</v>
      </c>
      <c r="F36" s="324"/>
      <c r="G36" s="387"/>
      <c r="H36" s="387"/>
      <c r="I36" s="322"/>
      <c r="J36" s="354"/>
      <c r="K36" s="355"/>
      <c r="L36" s="356"/>
      <c r="M36" s="67">
        <f t="shared" si="4"/>
        <v>0</v>
      </c>
      <c r="N36" s="324"/>
    </row>
    <row r="37" ht="12.75" customHeight="1">
      <c r="A37" s="322"/>
      <c r="B37" s="362" t="s">
        <v>84</v>
      </c>
      <c r="C37" s="374"/>
      <c r="D37" s="374"/>
      <c r="E37" s="375">
        <f>IF(SUM(E27:E36)=0,"",SUM(E27:E36))</f>
        <v>924</v>
      </c>
      <c r="F37" s="324"/>
      <c r="G37" s="387"/>
      <c r="H37" s="387"/>
      <c r="I37" s="322"/>
      <c r="J37" s="362" t="s">
        <v>84</v>
      </c>
      <c r="K37" s="374"/>
      <c r="L37" s="374"/>
      <c r="M37" s="375">
        <f>IF(SUM(M27:M36)=0,"",SUM(M27:M36))</f>
        <v>924</v>
      </c>
      <c r="N37" s="324"/>
    </row>
    <row r="38" ht="12.75" customHeight="1">
      <c r="A38" s="322"/>
      <c r="B38" s="360"/>
      <c r="C38" s="360"/>
      <c r="D38" s="360"/>
      <c r="E38" s="361"/>
      <c r="F38" s="324"/>
      <c r="G38" s="387"/>
      <c r="H38" s="387"/>
      <c r="I38" s="322"/>
      <c r="J38" s="360"/>
      <c r="K38" s="360"/>
      <c r="L38" s="360"/>
      <c r="M38" s="361"/>
      <c r="N38" s="324"/>
    </row>
    <row r="39" ht="12.75" customHeight="1">
      <c r="A39" s="322"/>
      <c r="B39" s="34" t="s">
        <v>17</v>
      </c>
      <c r="C39" s="35"/>
      <c r="D39" s="35"/>
      <c r="E39" s="35"/>
      <c r="F39" s="324"/>
      <c r="G39" s="387"/>
      <c r="H39" s="387"/>
      <c r="I39" s="322"/>
      <c r="J39" s="34" t="s">
        <v>17</v>
      </c>
      <c r="K39" s="35"/>
      <c r="L39" s="35"/>
      <c r="M39" s="35"/>
      <c r="N39" s="324"/>
    </row>
    <row r="40" ht="12.75" customHeight="1">
      <c r="A40" s="322"/>
      <c r="B40" s="52" t="s">
        <v>42</v>
      </c>
      <c r="C40" s="54"/>
      <c r="D40" s="54"/>
      <c r="E40" s="56" t="s">
        <v>35</v>
      </c>
      <c r="F40" s="324"/>
      <c r="G40" s="387"/>
      <c r="H40" s="387"/>
      <c r="I40" s="322"/>
      <c r="J40" s="52" t="s">
        <v>42</v>
      </c>
      <c r="K40" s="54"/>
      <c r="L40" s="54"/>
      <c r="M40" s="56" t="s">
        <v>35</v>
      </c>
      <c r="N40" s="324"/>
    </row>
    <row r="41" ht="12.75" customHeight="1">
      <c r="A41" s="322"/>
      <c r="B41" s="60" t="s">
        <v>40</v>
      </c>
      <c r="C41" s="343">
        <f>'UTL COST'!$B$3</f>
        <v>369000</v>
      </c>
      <c r="D41" s="379">
        <f>'UTL COST'!$C$3</f>
        <v>0.0075</v>
      </c>
      <c r="E41" s="67">
        <v>0.0</v>
      </c>
      <c r="F41" s="324"/>
      <c r="G41" s="387"/>
      <c r="H41" s="387"/>
      <c r="I41" s="322"/>
      <c r="J41" s="60" t="s">
        <v>40</v>
      </c>
      <c r="K41" s="343">
        <f>'UTL COST'!$B$3</f>
        <v>369000</v>
      </c>
      <c r="L41" s="379">
        <f>'UTL COST'!$C$3</f>
        <v>0.0075</v>
      </c>
      <c r="M41" s="67">
        <v>0.0</v>
      </c>
      <c r="N41" s="324"/>
    </row>
    <row r="42" ht="12.75" customHeight="1">
      <c r="A42" s="322"/>
      <c r="B42" s="75" t="s">
        <v>51</v>
      </c>
      <c r="C42" s="371" t="str">
        <f>'UTL COST'!$B$4</f>
        <v>#REF!</v>
      </c>
      <c r="D42" s="382">
        <f>'UTL COST'!$C$4</f>
        <v>7000</v>
      </c>
      <c r="E42" s="76">
        <v>0.0</v>
      </c>
      <c r="F42" s="324"/>
      <c r="G42" s="387"/>
      <c r="H42" s="387"/>
      <c r="I42" s="322"/>
      <c r="J42" s="75" t="s">
        <v>51</v>
      </c>
      <c r="K42" s="371" t="str">
        <f>'UTL COST'!$B$4</f>
        <v>#REF!</v>
      </c>
      <c r="L42" s="382">
        <f>'UTL COST'!$C$4</f>
        <v>7000</v>
      </c>
      <c r="M42" s="76">
        <v>0.0</v>
      </c>
      <c r="N42" s="324"/>
    </row>
    <row r="43" ht="12.75" customHeight="1">
      <c r="A43" s="322"/>
      <c r="B43" s="75" t="s">
        <v>59</v>
      </c>
      <c r="C43" s="371" t="str">
        <f>'UTL COST'!$B$5</f>
        <v>#REF!</v>
      </c>
      <c r="D43" s="382">
        <f>'UTL COST'!$C$5</f>
        <v>45000</v>
      </c>
      <c r="E43" s="76" t="str">
        <f>'UTL COST'!$D$5</f>
        <v>#REF!</v>
      </c>
      <c r="F43" s="324"/>
      <c r="G43" s="387"/>
      <c r="H43" s="387"/>
      <c r="I43" s="322"/>
      <c r="J43" s="75" t="s">
        <v>59</v>
      </c>
      <c r="K43" s="371" t="str">
        <f>'UTL COST'!$B$5</f>
        <v>#REF!</v>
      </c>
      <c r="L43" s="382">
        <f>'UTL COST'!$C$5</f>
        <v>45000</v>
      </c>
      <c r="M43" s="76" t="str">
        <f>'UTL COST'!$D$5</f>
        <v>#REF!</v>
      </c>
      <c r="N43" s="324"/>
    </row>
    <row r="44" ht="12.75" customHeight="1">
      <c r="A44" s="322"/>
      <c r="B44" s="87" t="s">
        <v>78</v>
      </c>
      <c r="C44" s="371" t="str">
        <f>'UTL COST'!$B$6</f>
        <v>#REF!</v>
      </c>
      <c r="D44" s="383">
        <f>'UTL COST'!$C$6</f>
        <v>525</v>
      </c>
      <c r="E44" s="89">
        <v>0.1</v>
      </c>
      <c r="F44" s="324"/>
      <c r="G44" s="387"/>
      <c r="H44" s="387"/>
      <c r="I44" s="322"/>
      <c r="J44" s="87" t="s">
        <v>78</v>
      </c>
      <c r="K44" s="371" t="str">
        <f>'UTL COST'!$B$6</f>
        <v>#REF!</v>
      </c>
      <c r="L44" s="383">
        <f>'UTL COST'!$C$6</f>
        <v>525</v>
      </c>
      <c r="M44" s="89">
        <v>0.1</v>
      </c>
      <c r="N44" s="324"/>
    </row>
    <row r="45" ht="12.75" customHeight="1">
      <c r="A45" s="322"/>
      <c r="B45" s="34" t="s">
        <v>84</v>
      </c>
      <c r="C45" s="102"/>
      <c r="D45" s="102"/>
      <c r="E45" s="104" t="str">
        <f>IF(SUM(E41:E44)=0,"",SUM(E41:E44))</f>
        <v>#REF!</v>
      </c>
      <c r="F45" s="324"/>
      <c r="G45" s="387"/>
      <c r="H45" s="387"/>
      <c r="I45" s="322"/>
      <c r="J45" s="34" t="s">
        <v>84</v>
      </c>
      <c r="K45" s="102"/>
      <c r="L45" s="102"/>
      <c r="M45" s="104" t="str">
        <f>IF(SUM(M41:M44)=0,"",SUM(M41:M44))</f>
        <v>#REF!</v>
      </c>
      <c r="N45" s="324"/>
    </row>
    <row r="46" ht="12.75" customHeight="1">
      <c r="A46" s="322"/>
      <c r="B46" s="360"/>
      <c r="C46" s="360"/>
      <c r="D46" s="360"/>
      <c r="E46" s="361"/>
      <c r="F46" s="324"/>
      <c r="G46" s="387"/>
      <c r="H46" s="387"/>
      <c r="I46" s="322"/>
      <c r="J46" s="360"/>
      <c r="K46" s="360"/>
      <c r="L46" s="360"/>
      <c r="M46" s="361"/>
      <c r="N46" s="324"/>
    </row>
    <row r="47" ht="12.75" customHeight="1">
      <c r="A47" s="387"/>
      <c r="B47" s="387"/>
      <c r="C47" s="387"/>
      <c r="D47" s="387"/>
      <c r="E47" s="418"/>
      <c r="F47" s="387"/>
      <c r="G47" s="387"/>
      <c r="H47" s="387"/>
      <c r="I47" s="387"/>
      <c r="J47" s="387"/>
      <c r="K47" s="387"/>
      <c r="L47" s="387"/>
      <c r="M47" s="387"/>
      <c r="N47" s="387"/>
    </row>
    <row r="48" ht="12.75" customHeight="1">
      <c r="A48" s="387"/>
      <c r="B48" s="387"/>
      <c r="C48" s="387"/>
      <c r="D48" s="387"/>
      <c r="E48" s="418"/>
      <c r="F48" s="387"/>
      <c r="G48" s="387"/>
      <c r="H48" s="387"/>
      <c r="I48" s="387"/>
      <c r="J48" s="387"/>
      <c r="K48" s="387"/>
      <c r="L48" s="387"/>
      <c r="M48" s="387"/>
      <c r="N48" s="387"/>
    </row>
    <row r="49" ht="12.75" customHeight="1">
      <c r="A49" s="272" t="s">
        <v>1423</v>
      </c>
      <c r="B49" s="272" t="s">
        <v>819</v>
      </c>
      <c r="C49" s="275" t="s">
        <v>823</v>
      </c>
      <c r="D49" s="275" t="s">
        <v>2</v>
      </c>
      <c r="E49" s="275" t="s">
        <v>44</v>
      </c>
      <c r="F49" s="275" t="s">
        <v>828</v>
      </c>
      <c r="G49" s="496"/>
      <c r="H49" s="387"/>
      <c r="I49" s="322"/>
      <c r="J49" s="322"/>
      <c r="K49" s="322"/>
      <c r="L49" s="322"/>
      <c r="M49" s="323"/>
      <c r="N49" s="324"/>
    </row>
    <row r="50" ht="12.75" customHeight="1">
      <c r="A50" s="497">
        <v>31.0</v>
      </c>
      <c r="B50" s="32" t="s">
        <v>1424</v>
      </c>
      <c r="C50" s="498" t="str">
        <f>A50*G1</f>
        <v>#REF!</v>
      </c>
      <c r="D50" s="286">
        <v>0.04</v>
      </c>
      <c r="E50" s="499" t="str">
        <f t="shared" ref="E50:E51" si="5">C50*D50</f>
        <v>#REF!</v>
      </c>
      <c r="F50" s="499">
        <v>0.0</v>
      </c>
      <c r="G50" s="473"/>
      <c r="H50" s="387"/>
      <c r="I50" s="322"/>
      <c r="J50" s="325"/>
      <c r="K50" s="322"/>
      <c r="L50" s="322"/>
      <c r="M50" s="323"/>
      <c r="N50" s="326"/>
    </row>
    <row r="51" ht="12.75" customHeight="1">
      <c r="A51" s="416">
        <v>31.0</v>
      </c>
      <c r="B51" s="32" t="s">
        <v>1425</v>
      </c>
      <c r="C51" s="498" t="str">
        <f>A51*G1</f>
        <v>#REF!</v>
      </c>
      <c r="D51" s="286">
        <v>0.04</v>
      </c>
      <c r="E51" s="499" t="str">
        <f t="shared" si="5"/>
        <v>#REF!</v>
      </c>
      <c r="F51" s="499">
        <v>0.0</v>
      </c>
      <c r="G51" s="473"/>
      <c r="H51" s="387"/>
      <c r="I51" s="322"/>
      <c r="J51" s="327" t="s">
        <v>931</v>
      </c>
      <c r="K51" s="328" t="s">
        <v>1426</v>
      </c>
      <c r="L51" s="329"/>
      <c r="M51" s="323"/>
      <c r="N51" s="326"/>
    </row>
    <row r="52" ht="12.75" customHeight="1">
      <c r="A52" s="416">
        <v>22.0</v>
      </c>
      <c r="B52" s="32" t="s">
        <v>1427</v>
      </c>
      <c r="C52" s="498" t="str">
        <f>A52*G1</f>
        <v>#REF!</v>
      </c>
      <c r="D52" s="286">
        <v>40.0</v>
      </c>
      <c r="E52" s="499" t="str">
        <f t="shared" ref="E52:E56" si="6">C52/D52</f>
        <v>#REF!</v>
      </c>
      <c r="F52" s="499">
        <v>0.0</v>
      </c>
      <c r="G52" s="473"/>
      <c r="H52" s="387"/>
      <c r="I52" s="322"/>
      <c r="J52" s="325"/>
      <c r="K52" s="322"/>
      <c r="L52" s="322"/>
      <c r="M52" s="323"/>
      <c r="N52" s="326"/>
    </row>
    <row r="53" ht="12.75" customHeight="1">
      <c r="A53" s="387">
        <v>0.25</v>
      </c>
      <c r="B53" s="32" t="s">
        <v>1418</v>
      </c>
      <c r="C53" s="498" t="str">
        <f>A53*G1*1000</f>
        <v>#REF!</v>
      </c>
      <c r="D53" s="286">
        <v>1000.0</v>
      </c>
      <c r="E53" s="499" t="str">
        <f t="shared" si="6"/>
        <v>#REF!</v>
      </c>
      <c r="F53" s="499">
        <v>7000.0</v>
      </c>
      <c r="G53" s="387"/>
      <c r="H53" s="387"/>
      <c r="I53" s="322"/>
      <c r="J53" s="327" t="s">
        <v>935</v>
      </c>
      <c r="K53" s="331">
        <v>100000.0</v>
      </c>
      <c r="L53" s="329"/>
      <c r="M53" s="323"/>
      <c r="N53" s="326"/>
    </row>
    <row r="54" ht="12.75" customHeight="1">
      <c r="A54" s="387"/>
      <c r="B54" s="32" t="s">
        <v>1419</v>
      </c>
      <c r="C54" s="498">
        <f>168000/3</f>
        <v>56000</v>
      </c>
      <c r="D54" s="286">
        <v>100.0</v>
      </c>
      <c r="E54" s="499">
        <f t="shared" si="6"/>
        <v>560</v>
      </c>
      <c r="F54" s="499"/>
      <c r="G54" s="387"/>
      <c r="H54" s="387"/>
      <c r="I54" s="322"/>
      <c r="J54" s="327"/>
      <c r="K54" s="332"/>
      <c r="L54" s="332"/>
      <c r="M54" s="323"/>
      <c r="N54" s="326"/>
    </row>
    <row r="55" ht="12.75" customHeight="1">
      <c r="A55" s="416">
        <v>30.0</v>
      </c>
      <c r="B55" s="32" t="s">
        <v>1416</v>
      </c>
      <c r="C55" s="498" t="str">
        <f>A55*G1</f>
        <v>#REF!</v>
      </c>
      <c r="D55" s="286">
        <f>72*10</f>
        <v>720</v>
      </c>
      <c r="E55" s="499" t="str">
        <f t="shared" si="6"/>
        <v>#REF!</v>
      </c>
      <c r="F55" s="499"/>
      <c r="G55" s="387"/>
      <c r="H55" s="387"/>
      <c r="I55" s="322"/>
      <c r="J55" s="327" t="s">
        <v>939</v>
      </c>
      <c r="K55" s="333" t="str">
        <f>IF(SUM(M67,M82,M90)=0,"",SUM(M67,M82,M90))</f>
        <v>#REF!</v>
      </c>
      <c r="L55" s="321"/>
      <c r="M55" s="323"/>
      <c r="N55" s="326"/>
    </row>
    <row r="56" ht="12.75" customHeight="1">
      <c r="A56" s="387"/>
      <c r="B56" s="32" t="s">
        <v>1420</v>
      </c>
      <c r="C56" s="498">
        <v>182000.0</v>
      </c>
      <c r="D56" s="286">
        <v>1000.0</v>
      </c>
      <c r="E56" s="499">
        <f t="shared" si="6"/>
        <v>182</v>
      </c>
      <c r="F56" s="387"/>
      <c r="G56" s="387"/>
      <c r="H56" s="387"/>
      <c r="I56" s="322"/>
      <c r="J56" s="327"/>
      <c r="K56" s="334"/>
      <c r="L56" s="334"/>
      <c r="M56" s="323"/>
      <c r="N56" s="326"/>
    </row>
    <row r="57" ht="12.75" customHeight="1">
      <c r="A57" s="387"/>
      <c r="B57" s="32" t="s">
        <v>1429</v>
      </c>
      <c r="C57" s="498">
        <v>30000.0</v>
      </c>
      <c r="D57" s="286"/>
      <c r="E57" s="499"/>
      <c r="F57" s="387"/>
      <c r="G57" s="387"/>
      <c r="H57" s="387"/>
      <c r="I57" s="322"/>
      <c r="J57" s="327" t="s">
        <v>946</v>
      </c>
      <c r="K57" s="335" t="str">
        <f>IF(K55="","",IF(ISBLANK(K53),"",K55/K53))</f>
        <v>#REF!</v>
      </c>
      <c r="L57" s="321"/>
      <c r="M57" s="323"/>
      <c r="N57" s="326"/>
    </row>
    <row r="58" ht="12.75" customHeight="1">
      <c r="A58" s="387"/>
      <c r="B58" s="32" t="s">
        <v>1430</v>
      </c>
      <c r="C58" s="498">
        <v>82000.0</v>
      </c>
      <c r="D58" s="286"/>
      <c r="E58" s="499"/>
      <c r="F58" s="387"/>
      <c r="G58" s="387"/>
      <c r="H58" s="387"/>
      <c r="I58" s="322"/>
      <c r="J58" s="327"/>
      <c r="K58" s="334"/>
      <c r="L58" s="334"/>
      <c r="M58" s="323"/>
      <c r="N58" s="326"/>
    </row>
    <row r="59" ht="12.75" customHeight="1">
      <c r="A59" s="387"/>
      <c r="B59" s="32"/>
      <c r="C59" s="498"/>
      <c r="D59" s="286"/>
      <c r="E59" s="499"/>
      <c r="F59" s="387"/>
      <c r="G59" s="387"/>
      <c r="H59" s="387"/>
      <c r="I59" s="322"/>
      <c r="J59" s="327" t="s">
        <v>950</v>
      </c>
      <c r="K59" s="333" t="str">
        <f>K53-K55</f>
        <v>#REF!</v>
      </c>
      <c r="L59" s="321"/>
      <c r="M59" s="323"/>
      <c r="N59" s="326"/>
    </row>
    <row r="60" ht="12.75" customHeight="1">
      <c r="A60" s="387"/>
      <c r="B60" s="387"/>
      <c r="C60" s="387"/>
      <c r="D60" s="387"/>
      <c r="E60" s="418"/>
      <c r="F60" s="387"/>
      <c r="G60" s="387"/>
      <c r="H60" s="387"/>
      <c r="I60" s="322"/>
      <c r="J60" s="327" t="s">
        <v>1409</v>
      </c>
      <c r="K60" s="333">
        <v>7000.0</v>
      </c>
      <c r="L60" s="321"/>
      <c r="M60" s="333">
        <f>K60+K53</f>
        <v>107000</v>
      </c>
      <c r="N60" s="321"/>
    </row>
    <row r="61" ht="12.75" customHeight="1">
      <c r="A61" s="387"/>
      <c r="B61" s="387"/>
      <c r="C61" s="387"/>
      <c r="D61" s="387"/>
      <c r="E61" s="418"/>
      <c r="F61" s="387"/>
      <c r="G61" s="387"/>
      <c r="H61" s="387"/>
      <c r="I61" s="322"/>
      <c r="J61" s="322"/>
      <c r="K61" s="322"/>
      <c r="L61" s="322"/>
      <c r="M61" s="337"/>
      <c r="N61" s="324"/>
    </row>
    <row r="62" ht="12.75" customHeight="1">
      <c r="A62" s="387"/>
      <c r="B62" s="387"/>
      <c r="C62" s="387"/>
      <c r="D62" s="387"/>
      <c r="E62" s="418"/>
      <c r="F62" s="387"/>
      <c r="G62" s="387"/>
      <c r="H62" s="387"/>
      <c r="I62" s="322"/>
      <c r="J62" s="338" t="s">
        <v>951</v>
      </c>
      <c r="K62" s="339"/>
      <c r="L62" s="339"/>
      <c r="M62" s="339"/>
      <c r="N62" s="324"/>
    </row>
    <row r="63" ht="12.75" customHeight="1">
      <c r="A63" s="387"/>
      <c r="B63" s="387"/>
      <c r="C63" s="387"/>
      <c r="D63" s="387"/>
      <c r="E63" s="418"/>
      <c r="F63" s="387"/>
      <c r="G63" s="387"/>
      <c r="H63" s="387"/>
      <c r="I63" s="322"/>
      <c r="J63" s="340" t="s">
        <v>953</v>
      </c>
      <c r="K63" s="341" t="s">
        <v>954</v>
      </c>
      <c r="L63" s="341" t="s">
        <v>955</v>
      </c>
      <c r="M63" s="341" t="s">
        <v>35</v>
      </c>
      <c r="N63" s="324"/>
    </row>
    <row r="64" ht="12.75" customHeight="1">
      <c r="A64" s="387"/>
      <c r="B64" s="387"/>
      <c r="C64" s="387"/>
      <c r="D64" s="387"/>
      <c r="E64" s="418"/>
      <c r="F64" s="387"/>
      <c r="G64" s="387"/>
      <c r="H64" s="387"/>
      <c r="I64" s="322"/>
      <c r="J64" s="60" t="s">
        <v>1412</v>
      </c>
      <c r="K64" s="342">
        <v>1.5</v>
      </c>
      <c r="L64" s="343" t="str">
        <f>$E$52</f>
        <v>#REF!</v>
      </c>
      <c r="M64" s="67" t="str">
        <f t="shared" ref="M64:M65" si="7">IF(OR(ISBLANK(K64),ISBLANK(L64)),"",L64*K64)</f>
        <v>#REF!</v>
      </c>
      <c r="N64" s="324"/>
    </row>
    <row r="65" ht="12.75" customHeight="1">
      <c r="A65" s="387"/>
      <c r="B65" s="387"/>
      <c r="C65" s="387"/>
      <c r="D65" s="387"/>
      <c r="E65" s="418"/>
      <c r="F65" s="387"/>
      <c r="G65" s="387"/>
      <c r="H65" s="387"/>
      <c r="I65" s="322"/>
      <c r="J65" s="75" t="s">
        <v>1416</v>
      </c>
      <c r="K65" s="346">
        <v>13.0</v>
      </c>
      <c r="L65" s="371" t="str">
        <f>L20</f>
        <v>#REF!</v>
      </c>
      <c r="M65" s="67" t="str">
        <f t="shared" si="7"/>
        <v>#REF!</v>
      </c>
      <c r="N65" s="324"/>
    </row>
    <row r="66" ht="12.75" customHeight="1">
      <c r="A66" s="387"/>
      <c r="B66" s="387"/>
      <c r="C66" s="387"/>
      <c r="D66" s="387"/>
      <c r="E66" s="418"/>
      <c r="F66" s="387"/>
      <c r="G66" s="387"/>
      <c r="H66" s="387"/>
      <c r="I66" s="322"/>
      <c r="J66" s="87" t="s">
        <v>1418</v>
      </c>
      <c r="K66" s="412">
        <v>1.0</v>
      </c>
      <c r="L66" s="371" t="str">
        <f>$E$53</f>
        <v>#REF!</v>
      </c>
      <c r="M66" s="67"/>
      <c r="N66" s="324"/>
    </row>
    <row r="67" ht="12.75" customHeight="1">
      <c r="A67" s="387"/>
      <c r="B67" s="387"/>
      <c r="C67" s="387"/>
      <c r="D67" s="387"/>
      <c r="E67" s="418"/>
      <c r="F67" s="387"/>
      <c r="G67" s="387"/>
      <c r="H67" s="387"/>
      <c r="I67" s="322"/>
      <c r="J67" s="338" t="s">
        <v>84</v>
      </c>
      <c r="K67" s="358"/>
      <c r="L67" s="358"/>
      <c r="M67" s="359" t="str">
        <f>IF(SUM(M64:M66)=0,"",SUM(M64:M66))</f>
        <v>#REF!</v>
      </c>
      <c r="N67" s="324"/>
    </row>
    <row r="68" ht="12.75" customHeight="1">
      <c r="A68" s="387"/>
      <c r="B68" s="387"/>
      <c r="C68" s="387"/>
      <c r="D68" s="387"/>
      <c r="E68" s="418"/>
      <c r="F68" s="387"/>
      <c r="G68" s="387"/>
      <c r="H68" s="387"/>
      <c r="I68" s="322"/>
      <c r="J68" s="360"/>
      <c r="K68" s="360"/>
      <c r="L68" s="360"/>
      <c r="M68" s="361"/>
      <c r="N68" s="324"/>
    </row>
    <row r="69" ht="12.75" customHeight="1">
      <c r="A69" s="387"/>
      <c r="B69" s="387"/>
      <c r="C69" s="387"/>
      <c r="D69" s="387"/>
      <c r="E69" s="418"/>
      <c r="F69" s="387"/>
      <c r="G69" s="387"/>
      <c r="H69" s="387"/>
      <c r="I69" s="322"/>
      <c r="J69" s="362" t="s">
        <v>972</v>
      </c>
      <c r="K69" s="363"/>
      <c r="L69" s="363"/>
      <c r="M69" s="363"/>
      <c r="N69" s="324"/>
    </row>
    <row r="70" ht="12.75" customHeight="1">
      <c r="A70" s="387"/>
      <c r="B70" s="387"/>
      <c r="C70" s="387"/>
      <c r="D70" s="387"/>
      <c r="E70" s="418"/>
      <c r="F70" s="387"/>
      <c r="G70" s="387"/>
      <c r="H70" s="387"/>
      <c r="I70" s="322"/>
      <c r="J70" s="365" t="s">
        <v>953</v>
      </c>
      <c r="K70" s="366" t="s">
        <v>3</v>
      </c>
      <c r="L70" s="366" t="s">
        <v>975</v>
      </c>
      <c r="M70" s="367" t="s">
        <v>35</v>
      </c>
      <c r="N70" s="324"/>
    </row>
    <row r="71" ht="12.75" customHeight="1">
      <c r="A71" s="387"/>
      <c r="B71" s="387"/>
      <c r="C71" s="387"/>
      <c r="D71" s="387"/>
      <c r="E71" s="418"/>
      <c r="F71" s="387"/>
      <c r="G71" s="387"/>
      <c r="H71" s="387"/>
      <c r="I71" s="322"/>
      <c r="J71" s="368"/>
      <c r="K71" s="366"/>
      <c r="L71" s="366"/>
      <c r="M71" s="368"/>
      <c r="N71" s="324"/>
    </row>
    <row r="72" ht="12.75" customHeight="1">
      <c r="A72" s="387"/>
      <c r="B72" s="387"/>
      <c r="C72" s="387"/>
      <c r="D72" s="387"/>
      <c r="E72" s="418"/>
      <c r="F72" s="387"/>
      <c r="G72" s="387"/>
      <c r="H72" s="387"/>
      <c r="I72" s="322"/>
      <c r="J72" s="60" t="s">
        <v>1419</v>
      </c>
      <c r="K72" s="342">
        <v>1.0</v>
      </c>
      <c r="L72" s="343" t="str">
        <f>D72</f>
        <v/>
      </c>
      <c r="M72" s="67">
        <f t="shared" ref="M72:M81" si="8">L72*K72</f>
        <v>0</v>
      </c>
      <c r="N72" s="324"/>
    </row>
    <row r="73" ht="12.75" customHeight="1">
      <c r="A73" s="387"/>
      <c r="B73" s="387"/>
      <c r="C73" s="387"/>
      <c r="D73" s="387"/>
      <c r="E73" s="418"/>
      <c r="F73" s="387"/>
      <c r="G73" s="387"/>
      <c r="H73" s="387"/>
      <c r="I73" s="322"/>
      <c r="J73" s="75" t="s">
        <v>1420</v>
      </c>
      <c r="K73" s="370">
        <v>2.0</v>
      </c>
      <c r="L73" s="371" t="str">
        <f>E101</f>
        <v/>
      </c>
      <c r="M73" s="67">
        <f t="shared" si="8"/>
        <v>0</v>
      </c>
      <c r="N73" s="324"/>
    </row>
    <row r="74" ht="12.75" customHeight="1">
      <c r="A74" s="387"/>
      <c r="B74" s="387"/>
      <c r="C74" s="387"/>
      <c r="D74" s="387"/>
      <c r="E74" s="418"/>
      <c r="F74" s="387"/>
      <c r="G74" s="387"/>
      <c r="H74" s="387"/>
      <c r="I74" s="322"/>
      <c r="J74" s="75"/>
      <c r="K74" s="346"/>
      <c r="L74" s="371"/>
      <c r="M74" s="67">
        <f t="shared" si="8"/>
        <v>0</v>
      </c>
      <c r="N74" s="324"/>
    </row>
    <row r="75" ht="12.75" customHeight="1">
      <c r="A75" s="387"/>
      <c r="B75" s="387"/>
      <c r="C75" s="387"/>
      <c r="D75" s="387"/>
      <c r="E75" s="418"/>
      <c r="F75" s="387"/>
      <c r="G75" s="387"/>
      <c r="H75" s="387"/>
      <c r="I75" s="322"/>
      <c r="J75" s="75"/>
      <c r="K75" s="346"/>
      <c r="L75" s="371"/>
      <c r="M75" s="67">
        <f t="shared" si="8"/>
        <v>0</v>
      </c>
      <c r="N75" s="324"/>
    </row>
    <row r="76" ht="12.75" customHeight="1">
      <c r="A76" s="387"/>
      <c r="B76" s="387"/>
      <c r="C76" s="387"/>
      <c r="D76" s="387"/>
      <c r="E76" s="418"/>
      <c r="F76" s="387"/>
      <c r="G76" s="387"/>
      <c r="H76" s="387"/>
      <c r="I76" s="322"/>
      <c r="J76" s="75"/>
      <c r="K76" s="370"/>
      <c r="L76" s="387"/>
      <c r="M76" s="67">
        <f t="shared" si="8"/>
        <v>0</v>
      </c>
      <c r="N76" s="324"/>
    </row>
    <row r="77" ht="12.75" customHeight="1">
      <c r="A77" s="387"/>
      <c r="B77" s="387"/>
      <c r="C77" s="387"/>
      <c r="D77" s="387"/>
      <c r="E77" s="418"/>
      <c r="F77" s="387"/>
      <c r="G77" s="387"/>
      <c r="H77" s="387"/>
      <c r="I77" s="322"/>
      <c r="J77" s="75"/>
      <c r="K77" s="346"/>
      <c r="L77" s="373"/>
      <c r="M77" s="67">
        <f t="shared" si="8"/>
        <v>0</v>
      </c>
      <c r="N77" s="324"/>
    </row>
    <row r="78" ht="12.75" customHeight="1">
      <c r="A78" s="387"/>
      <c r="B78" s="387"/>
      <c r="C78" s="387"/>
      <c r="D78" s="387"/>
      <c r="E78" s="418"/>
      <c r="F78" s="387"/>
      <c r="G78" s="387"/>
      <c r="H78" s="387"/>
      <c r="I78" s="322"/>
      <c r="J78" s="348"/>
      <c r="K78" s="346"/>
      <c r="L78" s="373"/>
      <c r="M78" s="67">
        <f t="shared" si="8"/>
        <v>0</v>
      </c>
      <c r="N78" s="324"/>
    </row>
    <row r="79" ht="12.75" customHeight="1">
      <c r="A79" s="387"/>
      <c r="B79" s="387"/>
      <c r="C79" s="387"/>
      <c r="D79" s="387"/>
      <c r="E79" s="418"/>
      <c r="F79" s="387"/>
      <c r="G79" s="387"/>
      <c r="H79" s="387"/>
      <c r="I79" s="322"/>
      <c r="J79" s="348"/>
      <c r="K79" s="346"/>
      <c r="L79" s="373"/>
      <c r="M79" s="67">
        <f t="shared" si="8"/>
        <v>0</v>
      </c>
      <c r="N79" s="324"/>
    </row>
    <row r="80" ht="12.75" customHeight="1">
      <c r="A80" s="387"/>
      <c r="B80" s="387"/>
      <c r="C80" s="387"/>
      <c r="D80" s="387"/>
      <c r="E80" s="418"/>
      <c r="F80" s="387"/>
      <c r="G80" s="387"/>
      <c r="H80" s="387"/>
      <c r="I80" s="322"/>
      <c r="J80" s="348"/>
      <c r="K80" s="346"/>
      <c r="L80" s="373"/>
      <c r="M80" s="67">
        <f t="shared" si="8"/>
        <v>0</v>
      </c>
      <c r="N80" s="324"/>
    </row>
    <row r="81" ht="12.75" customHeight="1">
      <c r="A81" s="387"/>
      <c r="B81" s="387"/>
      <c r="C81" s="387"/>
      <c r="D81" s="387"/>
      <c r="E81" s="418"/>
      <c r="F81" s="387"/>
      <c r="G81" s="387"/>
      <c r="H81" s="387"/>
      <c r="I81" s="322"/>
      <c r="J81" s="354"/>
      <c r="K81" s="355"/>
      <c r="L81" s="356"/>
      <c r="M81" s="67">
        <f t="shared" si="8"/>
        <v>0</v>
      </c>
      <c r="N81" s="324"/>
    </row>
    <row r="82" ht="12.75" customHeight="1">
      <c r="A82" s="387"/>
      <c r="B82" s="387"/>
      <c r="C82" s="387"/>
      <c r="D82" s="387"/>
      <c r="E82" s="418"/>
      <c r="F82" s="387"/>
      <c r="G82" s="387"/>
      <c r="H82" s="387"/>
      <c r="I82" s="322"/>
      <c r="J82" s="362" t="s">
        <v>84</v>
      </c>
      <c r="K82" s="374"/>
      <c r="L82" s="374"/>
      <c r="M82" s="375" t="str">
        <f>IF(SUM(M72:M81)=0,"",SUM(M72:M81))</f>
        <v/>
      </c>
      <c r="N82" s="324"/>
    </row>
    <row r="83" ht="12.75" customHeight="1">
      <c r="A83" s="387"/>
      <c r="B83" s="387"/>
      <c r="C83" s="387"/>
      <c r="D83" s="387"/>
      <c r="E83" s="418"/>
      <c r="F83" s="387"/>
      <c r="G83" s="387"/>
      <c r="H83" s="387"/>
      <c r="I83" s="322"/>
      <c r="J83" s="360"/>
      <c r="K83" s="360"/>
      <c r="L83" s="360"/>
      <c r="M83" s="361"/>
      <c r="N83" s="324"/>
    </row>
    <row r="84" ht="12.75" customHeight="1">
      <c r="A84" s="387"/>
      <c r="B84" s="387"/>
      <c r="C84" s="387"/>
      <c r="D84" s="387"/>
      <c r="E84" s="418"/>
      <c r="F84" s="387"/>
      <c r="G84" s="387"/>
      <c r="H84" s="387"/>
      <c r="I84" s="322"/>
      <c r="J84" s="34" t="s">
        <v>17</v>
      </c>
      <c r="K84" s="35"/>
      <c r="L84" s="35"/>
      <c r="M84" s="35"/>
      <c r="N84" s="324"/>
    </row>
    <row r="85" ht="12.75" customHeight="1">
      <c r="A85" s="387"/>
      <c r="B85" s="387"/>
      <c r="C85" s="387"/>
      <c r="D85" s="387"/>
      <c r="E85" s="418"/>
      <c r="F85" s="387"/>
      <c r="G85" s="387"/>
      <c r="H85" s="387"/>
      <c r="I85" s="322"/>
      <c r="J85" s="52" t="s">
        <v>42</v>
      </c>
      <c r="K85" s="54"/>
      <c r="L85" s="54"/>
      <c r="M85" s="56" t="s">
        <v>35</v>
      </c>
      <c r="N85" s="324"/>
    </row>
    <row r="86" ht="12.75" customHeight="1">
      <c r="A86" s="387"/>
      <c r="B86" s="387"/>
      <c r="C86" s="387"/>
      <c r="D86" s="387"/>
      <c r="E86" s="418"/>
      <c r="F86" s="387"/>
      <c r="G86" s="387"/>
      <c r="H86" s="387"/>
      <c r="I86" s="322"/>
      <c r="J86" s="60" t="s">
        <v>40</v>
      </c>
      <c r="K86" s="343">
        <f>'UTL COST'!$B$3</f>
        <v>369000</v>
      </c>
      <c r="L86" s="379">
        <f>'UTL COST'!$C$3</f>
        <v>0.0075</v>
      </c>
      <c r="M86" s="67">
        <v>0.0</v>
      </c>
      <c r="N86" s="324"/>
    </row>
    <row r="87" ht="12.75" customHeight="1">
      <c r="A87" s="387"/>
      <c r="B87" s="387"/>
      <c r="C87" s="387"/>
      <c r="D87" s="387"/>
      <c r="E87" s="418"/>
      <c r="F87" s="387"/>
      <c r="G87" s="387"/>
      <c r="H87" s="387"/>
      <c r="I87" s="322"/>
      <c r="J87" s="75" t="s">
        <v>51</v>
      </c>
      <c r="K87" s="371" t="str">
        <f>'UTL COST'!$B$4</f>
        <v>#REF!</v>
      </c>
      <c r="L87" s="382">
        <f>'UTL COST'!$C$4</f>
        <v>7000</v>
      </c>
      <c r="M87" s="76">
        <v>0.0</v>
      </c>
      <c r="N87" s="324"/>
    </row>
    <row r="88" ht="12.75" customHeight="1">
      <c r="A88" s="387"/>
      <c r="B88" s="387"/>
      <c r="C88" s="387"/>
      <c r="D88" s="387"/>
      <c r="E88" s="418"/>
      <c r="F88" s="387"/>
      <c r="G88" s="387"/>
      <c r="H88" s="387"/>
      <c r="I88" s="322"/>
      <c r="J88" s="75" t="s">
        <v>59</v>
      </c>
      <c r="K88" s="371" t="str">
        <f>'UTL COST'!$B$5</f>
        <v>#REF!</v>
      </c>
      <c r="L88" s="382">
        <f>'UTL COST'!$C$5</f>
        <v>45000</v>
      </c>
      <c r="M88" s="76" t="str">
        <f>'UTL COST'!$D$5</f>
        <v>#REF!</v>
      </c>
      <c r="N88" s="324"/>
    </row>
    <row r="89" ht="12.75" customHeight="1">
      <c r="A89" s="387"/>
      <c r="B89" s="387"/>
      <c r="C89" s="387"/>
      <c r="D89" s="387"/>
      <c r="E89" s="418"/>
      <c r="F89" s="387"/>
      <c r="G89" s="387"/>
      <c r="H89" s="387"/>
      <c r="I89" s="322"/>
      <c r="J89" s="87" t="s">
        <v>78</v>
      </c>
      <c r="K89" s="371" t="str">
        <f>'UTL COST'!$B$6</f>
        <v>#REF!</v>
      </c>
      <c r="L89" s="383">
        <f>'UTL COST'!$C$6</f>
        <v>525</v>
      </c>
      <c r="M89" s="89">
        <v>0.1</v>
      </c>
      <c r="N89" s="324"/>
    </row>
    <row r="90" ht="12.75" customHeight="1">
      <c r="A90" s="387"/>
      <c r="B90" s="387"/>
      <c r="C90" s="387"/>
      <c r="D90" s="387"/>
      <c r="E90" s="418"/>
      <c r="F90" s="387"/>
      <c r="G90" s="387"/>
      <c r="H90" s="387"/>
      <c r="I90" s="322"/>
      <c r="J90" s="34" t="s">
        <v>84</v>
      </c>
      <c r="K90" s="102"/>
      <c r="L90" s="102"/>
      <c r="M90" s="104" t="str">
        <f>IF(SUM(M86:M89)=0,"",SUM(M86:M89))</f>
        <v>#REF!</v>
      </c>
      <c r="N90" s="324"/>
    </row>
    <row r="91" ht="12.75" customHeight="1">
      <c r="A91" s="387"/>
      <c r="B91" s="387"/>
      <c r="C91" s="387"/>
      <c r="D91" s="387"/>
      <c r="E91" s="418"/>
      <c r="F91" s="387"/>
      <c r="G91" s="387"/>
      <c r="H91" s="387"/>
      <c r="I91" s="322"/>
      <c r="J91" s="360"/>
      <c r="K91" s="360"/>
      <c r="L91" s="360"/>
      <c r="M91" s="361"/>
      <c r="N91" s="324"/>
    </row>
    <row r="92" ht="12.75" customHeight="1">
      <c r="A92" s="387"/>
      <c r="B92" s="387"/>
      <c r="C92" s="387"/>
      <c r="D92" s="387"/>
      <c r="E92" s="418"/>
      <c r="F92" s="387"/>
      <c r="G92" s="387"/>
      <c r="H92" s="387"/>
      <c r="I92" s="387"/>
      <c r="J92" s="387"/>
      <c r="K92" s="387"/>
      <c r="L92" s="387"/>
      <c r="M92" s="387"/>
      <c r="N92" s="387"/>
    </row>
    <row r="93" ht="12.75" customHeight="1">
      <c r="A93" s="387"/>
      <c r="B93" s="387"/>
      <c r="C93" s="387"/>
      <c r="D93" s="387"/>
      <c r="E93" s="418"/>
      <c r="F93" s="387"/>
      <c r="G93" s="387"/>
      <c r="H93" s="387"/>
      <c r="I93" s="387"/>
      <c r="J93" s="387"/>
      <c r="K93" s="387"/>
      <c r="L93" s="387"/>
      <c r="M93" s="387"/>
      <c r="N93" s="387"/>
    </row>
    <row r="94" ht="12.75" customHeight="1">
      <c r="A94" s="387"/>
      <c r="B94" s="387"/>
      <c r="C94" s="387"/>
      <c r="D94" s="387"/>
      <c r="E94" s="418"/>
      <c r="F94" s="387"/>
      <c r="G94" s="387"/>
      <c r="H94" s="387"/>
      <c r="I94" s="387"/>
      <c r="J94" s="387"/>
      <c r="K94" s="387"/>
      <c r="L94" s="387"/>
      <c r="M94" s="387"/>
      <c r="N94" s="387"/>
    </row>
    <row r="95" ht="12.75" customHeight="1">
      <c r="A95" s="387"/>
      <c r="B95" s="387"/>
      <c r="C95" s="387"/>
      <c r="D95" s="387"/>
      <c r="E95" s="418"/>
      <c r="F95" s="387"/>
      <c r="G95" s="387"/>
      <c r="H95" s="387"/>
      <c r="I95" s="387"/>
      <c r="J95" s="387"/>
      <c r="K95" s="387"/>
      <c r="L95" s="387"/>
      <c r="M95" s="387"/>
      <c r="N95" s="387"/>
    </row>
    <row r="96" ht="12.75" customHeight="1">
      <c r="A96" s="387"/>
      <c r="B96" s="387"/>
      <c r="C96" s="387"/>
      <c r="D96" s="387"/>
      <c r="E96" s="418"/>
      <c r="F96" s="387"/>
      <c r="G96" s="387"/>
      <c r="H96" s="387"/>
      <c r="I96" s="387"/>
      <c r="J96" s="387"/>
      <c r="K96" s="387"/>
      <c r="L96" s="387"/>
      <c r="M96" s="387"/>
      <c r="N96" s="387"/>
    </row>
    <row r="97" ht="12.75" customHeight="1">
      <c r="A97" s="387"/>
      <c r="B97" s="387"/>
      <c r="C97" s="387"/>
      <c r="D97" s="387"/>
      <c r="E97" s="418"/>
      <c r="F97" s="387"/>
      <c r="G97" s="387"/>
      <c r="H97" s="387"/>
      <c r="I97" s="387"/>
      <c r="J97" s="387"/>
      <c r="K97" s="387"/>
      <c r="L97" s="387"/>
      <c r="M97" s="387"/>
      <c r="N97" s="387"/>
    </row>
    <row r="98" ht="12.75" customHeight="1">
      <c r="A98" s="387"/>
      <c r="B98" s="387"/>
      <c r="C98" s="387"/>
      <c r="D98" s="387"/>
      <c r="E98" s="418"/>
      <c r="F98" s="387"/>
      <c r="G98" s="387"/>
      <c r="H98" s="387"/>
      <c r="I98" s="387"/>
      <c r="J98" s="387"/>
      <c r="K98" s="387"/>
      <c r="L98" s="387"/>
      <c r="M98" s="387"/>
      <c r="N98" s="387"/>
    </row>
    <row r="99" ht="12.75" customHeight="1">
      <c r="A99" s="387"/>
      <c r="B99" s="387"/>
      <c r="C99" s="387"/>
      <c r="D99" s="387"/>
      <c r="E99" s="418"/>
      <c r="F99" s="387"/>
      <c r="G99" s="387"/>
      <c r="H99" s="387"/>
      <c r="I99" s="387"/>
      <c r="J99" s="387"/>
      <c r="K99" s="387"/>
      <c r="L99" s="387"/>
      <c r="M99" s="387"/>
      <c r="N99" s="387"/>
    </row>
    <row r="100" ht="12.75" customHeight="1">
      <c r="A100" s="387"/>
      <c r="B100" s="387"/>
      <c r="C100" s="387"/>
      <c r="D100" s="387"/>
      <c r="E100" s="418"/>
      <c r="F100" s="387"/>
      <c r="G100" s="387"/>
      <c r="H100" s="387"/>
      <c r="I100" s="387"/>
      <c r="J100" s="387"/>
      <c r="K100" s="387"/>
      <c r="L100" s="387"/>
      <c r="M100" s="387"/>
      <c r="N100" s="387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F1"/>
    <mergeCell ref="C6:D6"/>
    <mergeCell ref="K6:L6"/>
    <mergeCell ref="C8:D8"/>
    <mergeCell ref="K8:L8"/>
    <mergeCell ref="C10:D10"/>
    <mergeCell ref="C12:D12"/>
    <mergeCell ref="E25:E26"/>
    <mergeCell ref="J25:J26"/>
    <mergeCell ref="C14:D14"/>
    <mergeCell ref="K14:L14"/>
    <mergeCell ref="C15:D15"/>
    <mergeCell ref="E15:F15"/>
    <mergeCell ref="K15:L15"/>
    <mergeCell ref="M15:N15"/>
    <mergeCell ref="B25:B26"/>
    <mergeCell ref="M25:M26"/>
    <mergeCell ref="K60:L60"/>
    <mergeCell ref="M60:N60"/>
    <mergeCell ref="J70:J71"/>
    <mergeCell ref="M70:M71"/>
    <mergeCell ref="K10:L10"/>
    <mergeCell ref="K12:L12"/>
    <mergeCell ref="K51:L51"/>
    <mergeCell ref="K53:L53"/>
    <mergeCell ref="K55:L55"/>
    <mergeCell ref="K57:L57"/>
    <mergeCell ref="K59:L59"/>
  </mergeCells>
  <conditionalFormatting sqref="G49">
    <cfRule type="cellIs" dxfId="0" priority="1" operator="greaterThan">
      <formula>30</formula>
    </cfRule>
  </conditionalFormatting>
  <conditionalFormatting sqref="G49">
    <cfRule type="cellIs" dxfId="0" priority="2" operator="equal">
      <formula>30</formula>
    </cfRule>
  </conditionalFormatting>
  <printOptions/>
  <pageMargins bottom="0.75" footer="0.0" header="0.0" left="0.7" right="0.7" top="0.75"/>
  <pageSetup orientation="portrait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10.63"/>
    <col customWidth="1" min="3" max="3" width="10.38"/>
    <col customWidth="1" min="4" max="5" width="10.63"/>
    <col customWidth="1" min="6" max="6" width="8.75"/>
    <col customWidth="1" min="7" max="26" width="14.38"/>
  </cols>
  <sheetData>
    <row r="1" ht="14.25" customHeight="1">
      <c r="A1" s="501" t="s">
        <v>1443</v>
      </c>
      <c r="B1" s="502" t="s">
        <v>1444</v>
      </c>
      <c r="C1" s="502" t="s">
        <v>1445</v>
      </c>
      <c r="D1" s="501" t="s">
        <v>1446</v>
      </c>
      <c r="E1" s="501" t="s">
        <v>1447</v>
      </c>
    </row>
    <row r="2" ht="14.25" customHeight="1">
      <c r="A2" s="503">
        <v>45240.208333333336</v>
      </c>
      <c r="B2" s="502" t="s">
        <v>1448</v>
      </c>
      <c r="C2" s="502" t="s">
        <v>1449</v>
      </c>
      <c r="D2" s="504" t="str">
        <f>LEFT('Live Rate'!$B2,7)</f>
        <v>89,700 </v>
      </c>
      <c r="E2" s="501"/>
    </row>
    <row r="3" ht="14.25" customHeight="1">
      <c r="A3" s="503">
        <v>45240.16736111111</v>
      </c>
      <c r="B3" s="502" t="s">
        <v>1448</v>
      </c>
      <c r="C3" s="502" t="s">
        <v>1449</v>
      </c>
      <c r="D3" s="504" t="str">
        <f>LEFT('Live Rate'!$B3,7)</f>
        <v>89,700 </v>
      </c>
      <c r="E3" s="501"/>
    </row>
    <row r="4" ht="14.25" customHeight="1">
      <c r="A4" s="503">
        <v>45240.12569444445</v>
      </c>
      <c r="B4" s="502" t="s">
        <v>1448</v>
      </c>
      <c r="C4" s="502" t="s">
        <v>1449</v>
      </c>
      <c r="D4" s="504" t="str">
        <f>LEFT('Live Rate'!$B4,7)</f>
        <v>89,700 </v>
      </c>
      <c r="E4" s="501"/>
    </row>
    <row r="5" ht="14.25" customHeight="1">
      <c r="A5" s="503">
        <v>45240.084027777775</v>
      </c>
      <c r="B5" s="502" t="s">
        <v>1448</v>
      </c>
      <c r="C5" s="502" t="s">
        <v>1449</v>
      </c>
      <c r="D5" s="504" t="str">
        <f>LEFT('Live Rate'!$B5,7)</f>
        <v>89,700 </v>
      </c>
      <c r="E5" s="501"/>
    </row>
    <row r="6" ht="14.25" customHeight="1">
      <c r="A6" s="503">
        <v>45240.04236111111</v>
      </c>
      <c r="B6" s="502" t="s">
        <v>1448</v>
      </c>
      <c r="C6" s="502" t="s">
        <v>1449</v>
      </c>
      <c r="D6" s="504" t="str">
        <f>LEFT('Live Rate'!$B6,7)</f>
        <v>89,700 </v>
      </c>
      <c r="E6" s="501"/>
    </row>
    <row r="7" ht="14.25" customHeight="1">
      <c r="A7" s="503">
        <v>45240.0</v>
      </c>
      <c r="B7" s="502" t="s">
        <v>1448</v>
      </c>
      <c r="C7" s="502" t="s">
        <v>1449</v>
      </c>
      <c r="D7" s="504" t="str">
        <f>LEFT('Live Rate'!$B7,7)</f>
        <v>89,700 </v>
      </c>
      <c r="E7" s="501"/>
    </row>
    <row r="8" ht="14.25" customHeight="1">
      <c r="A8" s="503">
        <v>45239.958333333336</v>
      </c>
      <c r="B8" s="502" t="s">
        <v>1448</v>
      </c>
      <c r="C8" s="502" t="s">
        <v>1449</v>
      </c>
      <c r="D8" s="504" t="str">
        <f>LEFT('Live Rate'!$B8,7)</f>
        <v>89,700 </v>
      </c>
      <c r="E8" s="501"/>
    </row>
    <row r="9" ht="14.25" customHeight="1">
      <c r="A9" s="503">
        <v>45239.459027777775</v>
      </c>
      <c r="B9" s="502" t="s">
        <v>1448</v>
      </c>
      <c r="C9" s="502" t="s">
        <v>1449</v>
      </c>
      <c r="D9" s="504" t="str">
        <f>LEFT('Live Rate'!$B9,7)</f>
        <v>89,700 </v>
      </c>
      <c r="E9" s="501"/>
    </row>
    <row r="10" ht="14.25" customHeight="1">
      <c r="A10" s="503">
        <v>45239.41736111111</v>
      </c>
      <c r="B10" s="502" t="s">
        <v>1448</v>
      </c>
      <c r="C10" s="502" t="s">
        <v>1449</v>
      </c>
      <c r="D10" s="504" t="str">
        <f>LEFT('Live Rate'!$B10,7)</f>
        <v>89,700 </v>
      </c>
      <c r="E10" s="501"/>
    </row>
    <row r="11" ht="14.25" customHeight="1">
      <c r="A11" s="503">
        <v>45239.37569444445</v>
      </c>
      <c r="B11" s="502" t="s">
        <v>1448</v>
      </c>
      <c r="C11" s="502" t="s">
        <v>1449</v>
      </c>
      <c r="D11" s="504" t="str">
        <f>LEFT('Live Rate'!$B11,7)</f>
        <v>89,700 </v>
      </c>
      <c r="E11" s="501"/>
    </row>
    <row r="12" ht="14.25" customHeight="1">
      <c r="A12" s="503">
        <v>45239.333333333336</v>
      </c>
      <c r="B12" s="502" t="s">
        <v>1448</v>
      </c>
      <c r="C12" s="502" t="s">
        <v>1449</v>
      </c>
      <c r="D12" s="504" t="str">
        <f>LEFT('Live Rate'!$B12,7)</f>
        <v>89,700 </v>
      </c>
      <c r="E12" s="501"/>
    </row>
    <row r="13" ht="14.25" customHeight="1">
      <c r="A13" s="503">
        <v>45239.29236111111</v>
      </c>
      <c r="B13" s="502" t="s">
        <v>1448</v>
      </c>
      <c r="C13" s="502" t="s">
        <v>1449</v>
      </c>
      <c r="D13" s="504" t="str">
        <f>LEFT('Live Rate'!$B13,7)</f>
        <v>89,700 </v>
      </c>
      <c r="E13" s="501"/>
    </row>
    <row r="14" ht="14.25" customHeight="1">
      <c r="A14" s="503">
        <v>45239.25069444445</v>
      </c>
      <c r="B14" s="502" t="s">
        <v>1448</v>
      </c>
      <c r="C14" s="502" t="s">
        <v>1449</v>
      </c>
      <c r="D14" s="504" t="str">
        <f>LEFT('Live Rate'!$B14,7)</f>
        <v>89,700 </v>
      </c>
      <c r="E14" s="501"/>
    </row>
    <row r="15" ht="14.25" customHeight="1">
      <c r="A15" s="503">
        <v>45239.209027777775</v>
      </c>
      <c r="B15" s="502" t="s">
        <v>1448</v>
      </c>
      <c r="C15" s="502" t="s">
        <v>1449</v>
      </c>
      <c r="D15" s="504" t="str">
        <f>LEFT('Live Rate'!$B15,7)</f>
        <v>89,700 </v>
      </c>
      <c r="E15" s="501"/>
    </row>
    <row r="16" ht="14.25" customHeight="1">
      <c r="A16" s="503">
        <v>45239.16736111111</v>
      </c>
      <c r="B16" s="502" t="s">
        <v>1448</v>
      </c>
      <c r="C16" s="502" t="s">
        <v>1449</v>
      </c>
      <c r="D16" s="504" t="str">
        <f>LEFT('Live Rate'!$B16,7)</f>
        <v>89,700 </v>
      </c>
      <c r="E16" s="501"/>
    </row>
    <row r="17" ht="14.25" customHeight="1">
      <c r="A17" s="503">
        <v>45239.12569444445</v>
      </c>
      <c r="B17" s="502" t="s">
        <v>1448</v>
      </c>
      <c r="C17" s="502" t="s">
        <v>1449</v>
      </c>
      <c r="D17" s="504" t="str">
        <f>LEFT('Live Rate'!$B17,7)</f>
        <v>89,700 </v>
      </c>
      <c r="E17" s="501"/>
    </row>
    <row r="18" ht="14.25" customHeight="1">
      <c r="A18" s="503">
        <v>45239.083333333336</v>
      </c>
      <c r="B18" s="502" t="s">
        <v>1448</v>
      </c>
      <c r="C18" s="502" t="s">
        <v>1449</v>
      </c>
      <c r="D18" s="504" t="str">
        <f>LEFT('Live Rate'!$B18,7)</f>
        <v>89,700 </v>
      </c>
      <c r="E18" s="501"/>
    </row>
    <row r="19" ht="14.25" customHeight="1">
      <c r="A19" s="503">
        <v>45239.041666666664</v>
      </c>
      <c r="B19" s="502" t="s">
        <v>1448</v>
      </c>
      <c r="C19" s="502" t="s">
        <v>1449</v>
      </c>
      <c r="D19" s="504" t="str">
        <f>LEFT('Live Rate'!$B19,7)</f>
        <v>89,700 </v>
      </c>
      <c r="E19" s="501"/>
    </row>
    <row r="20" ht="14.25" customHeight="1">
      <c r="A20" s="503">
        <v>45239.0</v>
      </c>
      <c r="B20" s="502" t="s">
        <v>1448</v>
      </c>
      <c r="C20" s="502" t="s">
        <v>1449</v>
      </c>
      <c r="D20" s="504" t="str">
        <f>LEFT('Live Rate'!$B20,7)</f>
        <v>89,700 </v>
      </c>
      <c r="E20" s="501"/>
    </row>
    <row r="21" ht="14.25" customHeight="1">
      <c r="A21" s="503">
        <v>45238.959027777775</v>
      </c>
      <c r="B21" s="502" t="s">
        <v>1448</v>
      </c>
      <c r="C21" s="502" t="s">
        <v>1449</v>
      </c>
      <c r="D21" s="504" t="str">
        <f>LEFT('Live Rate'!$B21,7)</f>
        <v>89,700 </v>
      </c>
      <c r="E21" s="501"/>
    </row>
    <row r="22" ht="14.25" customHeight="1">
      <c r="A22" s="503">
        <v>45238.459027777775</v>
      </c>
      <c r="B22" s="502" t="s">
        <v>1448</v>
      </c>
      <c r="C22" s="502" t="s">
        <v>1449</v>
      </c>
      <c r="D22" s="504" t="str">
        <f>LEFT('Live Rate'!$B22,7)</f>
        <v>89,700 </v>
      </c>
      <c r="E22" s="501"/>
    </row>
    <row r="23" ht="14.25" customHeight="1">
      <c r="A23" s="503">
        <v>45238.41736111111</v>
      </c>
      <c r="B23" s="502" t="s">
        <v>1448</v>
      </c>
      <c r="C23" s="502" t="s">
        <v>1449</v>
      </c>
      <c r="D23" s="504" t="str">
        <f>LEFT('Live Rate'!$B23,7)</f>
        <v>89,700 </v>
      </c>
      <c r="E23" s="501"/>
    </row>
    <row r="24" ht="14.25" customHeight="1">
      <c r="A24" s="503">
        <v>45238.375</v>
      </c>
      <c r="B24" s="502" t="s">
        <v>1448</v>
      </c>
      <c r="C24" s="502" t="s">
        <v>1449</v>
      </c>
      <c r="D24" s="504" t="str">
        <f>LEFT('Live Rate'!$B24,7)</f>
        <v>89,700 </v>
      </c>
      <c r="E24" s="501"/>
    </row>
    <row r="25" ht="14.25" customHeight="1">
      <c r="A25" s="503">
        <v>45238.334027777775</v>
      </c>
      <c r="B25" s="502" t="s">
        <v>1448</v>
      </c>
      <c r="C25" s="502" t="s">
        <v>1449</v>
      </c>
      <c r="D25" s="504" t="str">
        <f>LEFT('Live Rate'!$B25,7)</f>
        <v>89,700 </v>
      </c>
      <c r="E25" s="501"/>
    </row>
    <row r="26" ht="14.25" customHeight="1">
      <c r="A26" s="503">
        <v>45238.291666666664</v>
      </c>
      <c r="B26" s="502" t="s">
        <v>1448</v>
      </c>
      <c r="C26" s="502" t="s">
        <v>1449</v>
      </c>
      <c r="D26" s="504" t="str">
        <f>LEFT('Live Rate'!$B26,7)</f>
        <v>89,700 </v>
      </c>
      <c r="E26" s="501"/>
    </row>
    <row r="27" ht="14.25" customHeight="1">
      <c r="A27" s="503">
        <v>45238.25</v>
      </c>
      <c r="B27" s="502" t="s">
        <v>1448</v>
      </c>
      <c r="C27" s="502" t="s">
        <v>1449</v>
      </c>
      <c r="D27" s="504" t="str">
        <f>LEFT('Live Rate'!$B27,7)</f>
        <v>89,700 </v>
      </c>
      <c r="E27" s="501"/>
    </row>
    <row r="28" ht="14.25" customHeight="1">
      <c r="A28" s="503">
        <v>45238.208333333336</v>
      </c>
      <c r="B28" s="502" t="s">
        <v>1448</v>
      </c>
      <c r="C28" s="502" t="s">
        <v>1449</v>
      </c>
      <c r="D28" s="504" t="str">
        <f>LEFT('Live Rate'!$B28,7)</f>
        <v>89,700 </v>
      </c>
      <c r="E28" s="501"/>
    </row>
    <row r="29" ht="14.25" customHeight="1">
      <c r="A29" s="503">
        <v>45238.16736111111</v>
      </c>
      <c r="B29" s="502" t="s">
        <v>1448</v>
      </c>
      <c r="C29" s="502" t="s">
        <v>1449</v>
      </c>
      <c r="D29" s="504" t="str">
        <f>LEFT('Live Rate'!$B29,7)</f>
        <v>89,700 </v>
      </c>
      <c r="E29" s="501"/>
    </row>
    <row r="30" ht="14.25" customHeight="1">
      <c r="A30" s="503">
        <v>45238.125</v>
      </c>
      <c r="B30" s="502" t="s">
        <v>1448</v>
      </c>
      <c r="C30" s="502" t="s">
        <v>1449</v>
      </c>
      <c r="D30" s="504" t="str">
        <f>LEFT('Live Rate'!$B30,7)</f>
        <v>89,700 </v>
      </c>
      <c r="E30" s="501"/>
    </row>
    <row r="31" ht="14.25" customHeight="1">
      <c r="A31" s="503">
        <v>45238.084027777775</v>
      </c>
      <c r="B31" s="502" t="s">
        <v>1448</v>
      </c>
      <c r="C31" s="502" t="s">
        <v>1449</v>
      </c>
      <c r="D31" s="504" t="str">
        <f>LEFT('Live Rate'!$B31,7)</f>
        <v>89,700 </v>
      </c>
      <c r="E31" s="501"/>
    </row>
    <row r="32" ht="14.25" customHeight="1">
      <c r="A32" s="503">
        <v>45238.04236111111</v>
      </c>
      <c r="B32" s="502" t="s">
        <v>1448</v>
      </c>
      <c r="C32" s="502" t="s">
        <v>1449</v>
      </c>
      <c r="D32" s="504" t="str">
        <f>LEFT('Live Rate'!$B32,7)</f>
        <v>89,700 </v>
      </c>
      <c r="E32" s="501"/>
    </row>
    <row r="33" ht="14.25" customHeight="1">
      <c r="A33" s="503">
        <v>45238.0</v>
      </c>
      <c r="B33" s="502" t="s">
        <v>1448</v>
      </c>
      <c r="C33" s="502" t="s">
        <v>1449</v>
      </c>
      <c r="D33" s="504" t="str">
        <f>LEFT('Live Rate'!$B33,7)</f>
        <v>89,700 </v>
      </c>
      <c r="E33" s="501"/>
    </row>
    <row r="34" ht="14.25" customHeight="1">
      <c r="A34" s="503">
        <v>45237.958333333336</v>
      </c>
      <c r="B34" s="502" t="s">
        <v>1448</v>
      </c>
      <c r="C34" s="502" t="s">
        <v>1449</v>
      </c>
      <c r="D34" s="504" t="str">
        <f>LEFT('Live Rate'!$B34,7)</f>
        <v>89,700 </v>
      </c>
      <c r="E34" s="501"/>
    </row>
    <row r="35" ht="14.25" customHeight="1">
      <c r="A35" s="503">
        <v>45237.459027777775</v>
      </c>
      <c r="B35" s="502" t="s">
        <v>1448</v>
      </c>
      <c r="C35" s="502" t="s">
        <v>1449</v>
      </c>
      <c r="D35" s="504" t="str">
        <f>LEFT('Live Rate'!$B35,7)</f>
        <v>89,700 </v>
      </c>
      <c r="E35" s="501"/>
    </row>
    <row r="36" ht="14.25" customHeight="1">
      <c r="A36" s="503">
        <v>45237.41736111111</v>
      </c>
      <c r="B36" s="502" t="s">
        <v>1448</v>
      </c>
      <c r="C36" s="502" t="s">
        <v>1449</v>
      </c>
      <c r="D36" s="504" t="str">
        <f>LEFT('Live Rate'!$B36,7)</f>
        <v>89,700 </v>
      </c>
      <c r="E36" s="501"/>
    </row>
    <row r="37" ht="14.25" customHeight="1">
      <c r="A37" s="503">
        <v>45237.37569444445</v>
      </c>
      <c r="B37" s="502" t="s">
        <v>1448</v>
      </c>
      <c r="C37" s="502" t="s">
        <v>1449</v>
      </c>
      <c r="D37" s="504" t="str">
        <f>LEFT('Live Rate'!$B37,7)</f>
        <v>89,700 </v>
      </c>
      <c r="E37" s="501"/>
    </row>
    <row r="38" ht="14.25" customHeight="1">
      <c r="A38" s="503">
        <v>45237.334027777775</v>
      </c>
      <c r="B38" s="502" t="s">
        <v>1448</v>
      </c>
      <c r="C38" s="502" t="s">
        <v>1449</v>
      </c>
      <c r="D38" s="504" t="str">
        <f>LEFT('Live Rate'!$B38,7)</f>
        <v>89,700 </v>
      </c>
      <c r="E38" s="501"/>
    </row>
    <row r="39" ht="14.25" customHeight="1">
      <c r="A39" s="503">
        <v>45237.29236111111</v>
      </c>
      <c r="B39" s="502" t="s">
        <v>1448</v>
      </c>
      <c r="C39" s="502" t="s">
        <v>1449</v>
      </c>
      <c r="D39" s="504" t="str">
        <f>LEFT('Live Rate'!$B39,7)</f>
        <v>89,700 </v>
      </c>
      <c r="E39" s="501"/>
    </row>
    <row r="40" ht="14.25" customHeight="1">
      <c r="A40" s="503">
        <v>45237.25069444445</v>
      </c>
      <c r="B40" s="502" t="s">
        <v>1448</v>
      </c>
      <c r="C40" s="502" t="s">
        <v>1449</v>
      </c>
      <c r="D40" s="504" t="str">
        <f>LEFT('Live Rate'!$B40,7)</f>
        <v>89,700 </v>
      </c>
      <c r="E40" s="501"/>
    </row>
    <row r="41" ht="14.25" customHeight="1">
      <c r="A41" s="503">
        <v>45237.209027777775</v>
      </c>
      <c r="B41" s="502" t="s">
        <v>1448</v>
      </c>
      <c r="C41" s="502" t="s">
        <v>1449</v>
      </c>
      <c r="D41" s="504" t="str">
        <f>LEFT('Live Rate'!$B41,7)</f>
        <v>89,700 </v>
      </c>
      <c r="E41" s="501"/>
    </row>
    <row r="42" ht="14.25" customHeight="1">
      <c r="A42" s="503">
        <v>45237.16736111111</v>
      </c>
      <c r="B42" s="502" t="s">
        <v>1448</v>
      </c>
      <c r="C42" s="502" t="s">
        <v>1449</v>
      </c>
      <c r="D42" s="504" t="str">
        <f>LEFT('Live Rate'!$B42,7)</f>
        <v>89,700 </v>
      </c>
      <c r="E42" s="501"/>
    </row>
    <row r="43" ht="14.25" customHeight="1">
      <c r="A43" s="503">
        <v>45237.12569444445</v>
      </c>
      <c r="B43" s="502" t="s">
        <v>1448</v>
      </c>
      <c r="C43" s="502" t="s">
        <v>1449</v>
      </c>
      <c r="D43" s="504" t="str">
        <f>LEFT('Live Rate'!$B43,7)</f>
        <v>89,700 </v>
      </c>
      <c r="E43" s="501"/>
    </row>
    <row r="44" ht="14.25" customHeight="1">
      <c r="A44" s="503">
        <v>45237.084027777775</v>
      </c>
      <c r="B44" s="502" t="s">
        <v>1448</v>
      </c>
      <c r="C44" s="502" t="s">
        <v>1449</v>
      </c>
      <c r="D44" s="504" t="str">
        <f>LEFT('Live Rate'!$B44,7)</f>
        <v>89,700 </v>
      </c>
      <c r="E44" s="501"/>
    </row>
    <row r="45" ht="14.25" customHeight="1">
      <c r="A45" s="503">
        <v>45237.04236111111</v>
      </c>
      <c r="B45" s="502" t="s">
        <v>1448</v>
      </c>
      <c r="C45" s="502" t="s">
        <v>1449</v>
      </c>
      <c r="D45" s="504" t="str">
        <f>LEFT('Live Rate'!$B45,7)</f>
        <v>89,700 </v>
      </c>
      <c r="E45" s="501"/>
    </row>
    <row r="46" ht="14.25" customHeight="1">
      <c r="A46" s="503">
        <v>45237.00069444445</v>
      </c>
      <c r="B46" s="502" t="s">
        <v>1448</v>
      </c>
      <c r="C46" s="502" t="s">
        <v>1449</v>
      </c>
      <c r="D46" s="504" t="str">
        <f>LEFT('Live Rate'!$B46,7)</f>
        <v>89,700 </v>
      </c>
      <c r="E46" s="501"/>
    </row>
    <row r="47" ht="14.25" customHeight="1">
      <c r="A47" s="503">
        <v>45236.958333333336</v>
      </c>
      <c r="B47" s="502" t="s">
        <v>1448</v>
      </c>
      <c r="C47" s="502" t="s">
        <v>1449</v>
      </c>
      <c r="D47" s="504" t="str">
        <f>LEFT('Live Rate'!$B47,7)</f>
        <v>89,700 </v>
      </c>
      <c r="E47" s="501"/>
    </row>
    <row r="48" ht="14.25" customHeight="1">
      <c r="A48" s="503">
        <v>45236.458333333336</v>
      </c>
      <c r="B48" s="502" t="s">
        <v>1448</v>
      </c>
      <c r="C48" s="502" t="s">
        <v>1449</v>
      </c>
      <c r="D48" s="504" t="str">
        <f>LEFT('Live Rate'!$B48,7)</f>
        <v>89,700 </v>
      </c>
      <c r="E48" s="501"/>
    </row>
    <row r="49" ht="14.25" customHeight="1">
      <c r="A49" s="503">
        <v>45236.41736111111</v>
      </c>
      <c r="B49" s="502" t="s">
        <v>1448</v>
      </c>
      <c r="C49" s="502" t="s">
        <v>1449</v>
      </c>
      <c r="D49" s="504" t="str">
        <f>LEFT('Live Rate'!$B49,7)</f>
        <v>89,700 </v>
      </c>
      <c r="E49" s="501"/>
    </row>
    <row r="50" ht="14.25" customHeight="1">
      <c r="A50" s="503">
        <v>45236.375</v>
      </c>
      <c r="B50" s="502" t="s">
        <v>1448</v>
      </c>
      <c r="C50" s="502" t="s">
        <v>1449</v>
      </c>
      <c r="D50" s="504" t="str">
        <f>LEFT('Live Rate'!$B50,7)</f>
        <v>89,700 </v>
      </c>
      <c r="E50" s="501"/>
    </row>
    <row r="51" ht="14.25" customHeight="1">
      <c r="A51" s="503">
        <v>45236.333333333336</v>
      </c>
      <c r="B51" s="502" t="s">
        <v>1448</v>
      </c>
      <c r="C51" s="502" t="s">
        <v>1449</v>
      </c>
      <c r="D51" s="504" t="str">
        <f>LEFT('Live Rate'!$B51,7)</f>
        <v>89,700 </v>
      </c>
      <c r="E51" s="501"/>
    </row>
    <row r="52" ht="14.25" customHeight="1">
      <c r="A52" s="503">
        <v>45236.29236111111</v>
      </c>
      <c r="B52" s="502" t="s">
        <v>1448</v>
      </c>
      <c r="C52" s="502" t="s">
        <v>1449</v>
      </c>
      <c r="D52" s="504" t="str">
        <f>LEFT('Live Rate'!$B52,7)</f>
        <v>89,700 </v>
      </c>
      <c r="E52" s="501"/>
    </row>
    <row r="53" ht="14.25" customHeight="1">
      <c r="A53" s="503">
        <v>45236.25</v>
      </c>
      <c r="B53" s="502" t="s">
        <v>1448</v>
      </c>
      <c r="C53" s="502" t="s">
        <v>1449</v>
      </c>
      <c r="D53" s="504" t="str">
        <f>LEFT('Live Rate'!$B53,7)</f>
        <v>89,700 </v>
      </c>
      <c r="E53" s="501"/>
    </row>
    <row r="54" ht="14.25" customHeight="1">
      <c r="A54" s="503">
        <v>45236.208333333336</v>
      </c>
      <c r="B54" s="502" t="s">
        <v>1448</v>
      </c>
      <c r="C54" s="502" t="s">
        <v>1449</v>
      </c>
      <c r="D54" s="504" t="str">
        <f>LEFT('Live Rate'!$B54,7)</f>
        <v>89,700 </v>
      </c>
      <c r="E54" s="501"/>
    </row>
    <row r="55" ht="14.25" customHeight="1">
      <c r="A55" s="503">
        <v>45236.16736111111</v>
      </c>
      <c r="B55" s="502" t="s">
        <v>1448</v>
      </c>
      <c r="C55" s="502" t="s">
        <v>1449</v>
      </c>
      <c r="D55" s="504" t="str">
        <f>LEFT('Live Rate'!$B55,7)</f>
        <v>89,700 </v>
      </c>
      <c r="E55" s="501"/>
    </row>
    <row r="56" ht="14.25" customHeight="1">
      <c r="A56" s="503">
        <v>45236.125</v>
      </c>
      <c r="B56" s="502" t="s">
        <v>1448</v>
      </c>
      <c r="C56" s="502" t="s">
        <v>1449</v>
      </c>
      <c r="D56" s="504" t="str">
        <f>LEFT('Live Rate'!$B56,7)</f>
        <v>89,700 </v>
      </c>
      <c r="E56" s="501"/>
    </row>
    <row r="57" ht="14.25" customHeight="1">
      <c r="A57" s="503">
        <v>45236.084027777775</v>
      </c>
      <c r="B57" s="502" t="s">
        <v>1448</v>
      </c>
      <c r="C57" s="502" t="s">
        <v>1449</v>
      </c>
      <c r="D57" s="504" t="str">
        <f>LEFT('Live Rate'!$B57,7)</f>
        <v>89,700 </v>
      </c>
      <c r="E57" s="501"/>
    </row>
    <row r="58" ht="14.25" customHeight="1">
      <c r="A58" s="503">
        <v>45236.041666666664</v>
      </c>
      <c r="B58" s="502" t="s">
        <v>1448</v>
      </c>
      <c r="C58" s="502" t="s">
        <v>1449</v>
      </c>
      <c r="D58" s="504" t="str">
        <f>LEFT('Live Rate'!$B58,7)</f>
        <v>89,700 </v>
      </c>
      <c r="E58" s="501"/>
    </row>
    <row r="59" ht="14.25" customHeight="1">
      <c r="A59" s="503">
        <v>45236.00069444445</v>
      </c>
      <c r="B59" s="502" t="s">
        <v>1448</v>
      </c>
      <c r="C59" s="502" t="s">
        <v>1449</v>
      </c>
      <c r="D59" s="504" t="str">
        <f>LEFT('Live Rate'!$B59,7)</f>
        <v>89,700 </v>
      </c>
      <c r="E59" s="501"/>
    </row>
    <row r="60" ht="14.25" customHeight="1">
      <c r="A60" s="503">
        <v>45235.959027777775</v>
      </c>
      <c r="B60" s="502" t="s">
        <v>1448</v>
      </c>
      <c r="C60" s="502" t="s">
        <v>1449</v>
      </c>
      <c r="D60" s="504" t="str">
        <f>LEFT('Live Rate'!$B60,7)</f>
        <v>89,700 </v>
      </c>
      <c r="E60" s="501"/>
    </row>
    <row r="61" ht="14.25" customHeight="1">
      <c r="A61" s="503">
        <v>45235.458333333336</v>
      </c>
      <c r="B61" s="502" t="s">
        <v>1448</v>
      </c>
      <c r="C61" s="502" t="s">
        <v>1449</v>
      </c>
      <c r="D61" s="504" t="str">
        <f>LEFT('Live Rate'!$B61,7)</f>
        <v>89,700 </v>
      </c>
      <c r="E61" s="501"/>
    </row>
    <row r="62" ht="14.25" customHeight="1">
      <c r="A62" s="503">
        <v>45235.41736111111</v>
      </c>
      <c r="B62" s="502" t="s">
        <v>1448</v>
      </c>
      <c r="C62" s="502" t="s">
        <v>1449</v>
      </c>
      <c r="D62" s="504" t="str">
        <f>LEFT('Live Rate'!$B62,7)</f>
        <v>89,700 </v>
      </c>
      <c r="E62" s="501"/>
    </row>
    <row r="63" ht="14.25" customHeight="1">
      <c r="A63" s="503">
        <v>45235.37569444445</v>
      </c>
      <c r="B63" s="502" t="s">
        <v>1448</v>
      </c>
      <c r="C63" s="502" t="s">
        <v>1449</v>
      </c>
      <c r="D63" s="504" t="str">
        <f>LEFT('Live Rate'!$B63,7)</f>
        <v>89,700 </v>
      </c>
      <c r="E63" s="501"/>
    </row>
    <row r="64" ht="14.25" customHeight="1">
      <c r="A64" s="503">
        <v>45235.334027777775</v>
      </c>
      <c r="B64" s="502" t="s">
        <v>1448</v>
      </c>
      <c r="C64" s="502" t="s">
        <v>1449</v>
      </c>
      <c r="D64" s="504" t="str">
        <f>LEFT('Live Rate'!$B64,7)</f>
        <v>89,700 </v>
      </c>
      <c r="E64" s="501"/>
    </row>
    <row r="65" ht="14.25" customHeight="1">
      <c r="A65" s="503">
        <v>45235.291666666664</v>
      </c>
      <c r="B65" s="502" t="s">
        <v>1448</v>
      </c>
      <c r="C65" s="502" t="s">
        <v>1449</v>
      </c>
      <c r="D65" s="504" t="str">
        <f>LEFT('Live Rate'!$B65,7)</f>
        <v>89,700 </v>
      </c>
      <c r="E65" s="501"/>
    </row>
    <row r="66" ht="14.25" customHeight="1">
      <c r="A66" s="503">
        <v>45235.25069444445</v>
      </c>
      <c r="B66" s="502" t="s">
        <v>1448</v>
      </c>
      <c r="C66" s="502" t="s">
        <v>1449</v>
      </c>
      <c r="D66" s="504" t="str">
        <f>LEFT('Live Rate'!$B66,7)</f>
        <v>89,700 </v>
      </c>
      <c r="E66" s="501"/>
    </row>
    <row r="67" ht="14.25" customHeight="1">
      <c r="A67" s="503">
        <v>45235.208333333336</v>
      </c>
      <c r="B67" s="502" t="s">
        <v>1448</v>
      </c>
      <c r="C67" s="502" t="s">
        <v>1449</v>
      </c>
      <c r="D67" s="504" t="str">
        <f>LEFT('Live Rate'!$B67,7)</f>
        <v>89,700 </v>
      </c>
      <c r="E67" s="501"/>
    </row>
    <row r="68" ht="14.25" customHeight="1">
      <c r="A68" s="503">
        <v>45235.16736111111</v>
      </c>
      <c r="B68" s="502" t="s">
        <v>1448</v>
      </c>
      <c r="C68" s="502" t="s">
        <v>1449</v>
      </c>
      <c r="D68" s="504" t="str">
        <f>LEFT('Live Rate'!$B68,7)</f>
        <v>89,700 </v>
      </c>
      <c r="E68" s="501"/>
    </row>
    <row r="69" ht="14.25" customHeight="1">
      <c r="A69" s="503">
        <v>45235.125</v>
      </c>
      <c r="B69" s="502" t="s">
        <v>1448</v>
      </c>
      <c r="C69" s="502" t="s">
        <v>1449</v>
      </c>
      <c r="D69" s="504" t="str">
        <f>LEFT('Live Rate'!$B69,7)</f>
        <v>89,700 </v>
      </c>
      <c r="E69" s="501"/>
    </row>
    <row r="70" ht="14.25" customHeight="1">
      <c r="A70" s="503">
        <v>45235.084027777775</v>
      </c>
      <c r="B70" s="502" t="s">
        <v>1448</v>
      </c>
      <c r="C70" s="502" t="s">
        <v>1449</v>
      </c>
      <c r="D70" s="504" t="str">
        <f>LEFT('Live Rate'!$B70,7)</f>
        <v>89,700 </v>
      </c>
      <c r="E70" s="501"/>
    </row>
    <row r="71" ht="14.25" customHeight="1">
      <c r="A71" s="503">
        <v>45235.04236111111</v>
      </c>
      <c r="B71" s="502" t="s">
        <v>1448</v>
      </c>
      <c r="C71" s="502" t="s">
        <v>1449</v>
      </c>
      <c r="D71" s="504" t="str">
        <f>LEFT('Live Rate'!$B71,7)</f>
        <v>89,700 </v>
      </c>
      <c r="E71" s="501"/>
    </row>
    <row r="72" ht="14.25" customHeight="1">
      <c r="A72" s="503">
        <v>45235.04305555556</v>
      </c>
      <c r="B72" s="502" t="s">
        <v>1448</v>
      </c>
      <c r="C72" s="502" t="s">
        <v>1449</v>
      </c>
      <c r="D72" s="504" t="str">
        <f>LEFT('Live Rate'!$B72,7)</f>
        <v>89,700 </v>
      </c>
      <c r="E72" s="501"/>
    </row>
    <row r="73" ht="14.25" customHeight="1">
      <c r="A73" s="503">
        <v>45235.00069444445</v>
      </c>
      <c r="B73" s="502" t="s">
        <v>1448</v>
      </c>
      <c r="C73" s="502" t="s">
        <v>1449</v>
      </c>
      <c r="D73" s="504" t="str">
        <f>LEFT('Live Rate'!$B73,7)</f>
        <v>89,700 </v>
      </c>
      <c r="E73" s="501"/>
    </row>
    <row r="74" ht="14.25" customHeight="1">
      <c r="A74" s="503">
        <v>45234.50069444445</v>
      </c>
      <c r="B74" s="502" t="s">
        <v>1448</v>
      </c>
      <c r="C74" s="502" t="s">
        <v>1449</v>
      </c>
      <c r="D74" s="504" t="str">
        <f>LEFT('Live Rate'!$B74,7)</f>
        <v>89,700 </v>
      </c>
      <c r="E74" s="501"/>
    </row>
    <row r="75" ht="14.25" customHeight="1">
      <c r="A75" s="503">
        <v>45234.458333333336</v>
      </c>
      <c r="B75" s="502" t="s">
        <v>1448</v>
      </c>
      <c r="C75" s="502" t="s">
        <v>1449</v>
      </c>
      <c r="D75" s="504" t="str">
        <f>LEFT('Live Rate'!$B75,7)</f>
        <v>89,700 </v>
      </c>
      <c r="E75" s="501"/>
    </row>
    <row r="76" ht="14.25" customHeight="1">
      <c r="A76" s="503">
        <v>45234.41736111111</v>
      </c>
      <c r="B76" s="502" t="s">
        <v>1448</v>
      </c>
      <c r="C76" s="502" t="s">
        <v>1449</v>
      </c>
      <c r="D76" s="504" t="str">
        <f>LEFT('Live Rate'!$B76,7)</f>
        <v>89,700 </v>
      </c>
      <c r="E76" s="501"/>
    </row>
    <row r="77" ht="14.25" customHeight="1">
      <c r="A77" s="503">
        <v>45234.37569444445</v>
      </c>
      <c r="B77" s="502" t="s">
        <v>1448</v>
      </c>
      <c r="C77" s="502" t="s">
        <v>1449</v>
      </c>
      <c r="D77" s="504" t="str">
        <f>LEFT('Live Rate'!$B77,7)</f>
        <v>89,700 </v>
      </c>
      <c r="E77" s="501"/>
    </row>
    <row r="78" ht="14.25" customHeight="1">
      <c r="A78" s="503">
        <v>45234.334027777775</v>
      </c>
      <c r="B78" s="502" t="s">
        <v>1448</v>
      </c>
      <c r="C78" s="502" t="s">
        <v>1449</v>
      </c>
      <c r="D78" s="504" t="str">
        <f>LEFT('Live Rate'!$B78,7)</f>
        <v>89,700 </v>
      </c>
      <c r="E78" s="501"/>
    </row>
    <row r="79" ht="14.25" customHeight="1">
      <c r="A79" s="503">
        <v>45234.291666666664</v>
      </c>
      <c r="B79" s="502" t="s">
        <v>1448</v>
      </c>
      <c r="C79" s="502" t="s">
        <v>1449</v>
      </c>
      <c r="D79" s="504" t="str">
        <f>LEFT('Live Rate'!$B79,7)</f>
        <v>89,700 </v>
      </c>
      <c r="E79" s="501"/>
    </row>
    <row r="80" ht="14.25" customHeight="1">
      <c r="A80" s="503">
        <v>45234.25069444445</v>
      </c>
      <c r="B80" s="502" t="s">
        <v>1448</v>
      </c>
      <c r="C80" s="502" t="s">
        <v>1449</v>
      </c>
      <c r="D80" s="504" t="str">
        <f>LEFT('Live Rate'!$B80,7)</f>
        <v>89,700 </v>
      </c>
      <c r="E80" s="501"/>
    </row>
    <row r="81" ht="14.25" customHeight="1">
      <c r="A81" s="503">
        <v>45234.209027777775</v>
      </c>
      <c r="B81" s="502" t="s">
        <v>1448</v>
      </c>
      <c r="C81" s="502" t="s">
        <v>1449</v>
      </c>
      <c r="D81" s="504" t="str">
        <f>LEFT('Live Rate'!$B81,7)</f>
        <v>89,700 </v>
      </c>
      <c r="E81" s="501"/>
    </row>
    <row r="82" ht="14.25" customHeight="1">
      <c r="A82" s="503">
        <v>45234.16736111111</v>
      </c>
      <c r="B82" s="502" t="s">
        <v>1448</v>
      </c>
      <c r="C82" s="502" t="s">
        <v>1449</v>
      </c>
      <c r="D82" s="504" t="str">
        <f>LEFT('Live Rate'!$B82,7)</f>
        <v>89,700 </v>
      </c>
      <c r="E82" s="501"/>
    </row>
    <row r="83" ht="14.25" customHeight="1">
      <c r="A83" s="503">
        <v>45234.12569444445</v>
      </c>
      <c r="B83" s="502" t="s">
        <v>1448</v>
      </c>
      <c r="C83" s="502" t="s">
        <v>1449</v>
      </c>
      <c r="D83" s="504" t="str">
        <f>LEFT('Live Rate'!$B83,7)</f>
        <v>89,700 </v>
      </c>
      <c r="E83" s="501"/>
    </row>
    <row r="84" ht="14.25" customHeight="1">
      <c r="A84" s="503">
        <v>45234.083333333336</v>
      </c>
      <c r="B84" s="502" t="s">
        <v>1448</v>
      </c>
      <c r="C84" s="502" t="s">
        <v>1449</v>
      </c>
      <c r="D84" s="504" t="str">
        <f>LEFT('Live Rate'!$B84,7)</f>
        <v>89,700 </v>
      </c>
      <c r="E84" s="501"/>
    </row>
    <row r="85" ht="14.25" customHeight="1">
      <c r="A85" s="503">
        <v>45234.04236111111</v>
      </c>
      <c r="B85" s="502" t="s">
        <v>1448</v>
      </c>
      <c r="C85" s="502" t="s">
        <v>1449</v>
      </c>
      <c r="D85" s="504" t="str">
        <f>LEFT('Live Rate'!$B85,7)</f>
        <v>89,700 </v>
      </c>
      <c r="E85" s="501"/>
    </row>
    <row r="86" ht="14.25" customHeight="1">
      <c r="A86" s="503">
        <v>45234.00069444445</v>
      </c>
      <c r="B86" s="502" t="s">
        <v>1448</v>
      </c>
      <c r="C86" s="502" t="s">
        <v>1449</v>
      </c>
      <c r="D86" s="504" t="str">
        <f>LEFT('Live Rate'!$B86,7)</f>
        <v>89,700 </v>
      </c>
      <c r="E86" s="501"/>
    </row>
    <row r="87" ht="14.25" customHeight="1">
      <c r="A87" s="503">
        <v>45233.50069444445</v>
      </c>
      <c r="B87" s="502" t="s">
        <v>1448</v>
      </c>
      <c r="C87" s="502" t="s">
        <v>1449</v>
      </c>
      <c r="D87" s="504" t="str">
        <f>LEFT('Live Rate'!$B87,7)</f>
        <v>89,700 </v>
      </c>
      <c r="E87" s="501"/>
    </row>
    <row r="88" ht="14.25" customHeight="1">
      <c r="A88" s="503">
        <v>45233.458333333336</v>
      </c>
      <c r="B88" s="502" t="s">
        <v>1448</v>
      </c>
      <c r="C88" s="502" t="s">
        <v>1449</v>
      </c>
      <c r="D88" s="504" t="str">
        <f>LEFT('Live Rate'!$B88,7)</f>
        <v>89,700 </v>
      </c>
      <c r="E88" s="501"/>
    </row>
    <row r="89" ht="14.25" customHeight="1">
      <c r="A89" s="503">
        <v>45233.41736111111</v>
      </c>
      <c r="B89" s="502" t="s">
        <v>1448</v>
      </c>
      <c r="C89" s="502" t="s">
        <v>1449</v>
      </c>
      <c r="D89" s="504" t="str">
        <f>LEFT('Live Rate'!$B89,7)</f>
        <v>89,700 </v>
      </c>
      <c r="E89" s="501"/>
    </row>
    <row r="90" ht="14.25" customHeight="1">
      <c r="A90" s="503">
        <v>45233.375</v>
      </c>
      <c r="B90" s="502" t="s">
        <v>1448</v>
      </c>
      <c r="C90" s="502" t="s">
        <v>1449</v>
      </c>
      <c r="D90" s="504" t="str">
        <f>LEFT('Live Rate'!$B90,7)</f>
        <v>89,700 </v>
      </c>
      <c r="E90" s="501"/>
    </row>
    <row r="91" ht="14.25" customHeight="1">
      <c r="A91" s="503">
        <v>45233.333333333336</v>
      </c>
      <c r="B91" s="502" t="s">
        <v>1448</v>
      </c>
      <c r="C91" s="502" t="s">
        <v>1449</v>
      </c>
      <c r="D91" s="504" t="str">
        <f>LEFT('Live Rate'!$B91,7)</f>
        <v>89,700 </v>
      </c>
      <c r="E91" s="501"/>
    </row>
    <row r="92" ht="14.25" customHeight="1">
      <c r="A92" s="503">
        <v>45233.291666666664</v>
      </c>
      <c r="B92" s="502" t="s">
        <v>1448</v>
      </c>
      <c r="C92" s="502" t="s">
        <v>1449</v>
      </c>
      <c r="D92" s="504" t="str">
        <f>LEFT('Live Rate'!$B92,7)</f>
        <v>89,700 </v>
      </c>
      <c r="E92" s="501"/>
    </row>
    <row r="93" ht="14.25" customHeight="1">
      <c r="A93" s="503">
        <v>45233.25069444445</v>
      </c>
      <c r="B93" s="502" t="s">
        <v>1448</v>
      </c>
      <c r="C93" s="502" t="s">
        <v>1449</v>
      </c>
      <c r="D93" s="504" t="str">
        <f>LEFT('Live Rate'!$B93,7)</f>
        <v>89,700 </v>
      </c>
      <c r="E93" s="501"/>
    </row>
    <row r="94" ht="14.25" customHeight="1">
      <c r="A94" s="503">
        <v>45233.208333333336</v>
      </c>
      <c r="B94" s="502" t="s">
        <v>1448</v>
      </c>
      <c r="C94" s="502" t="s">
        <v>1449</v>
      </c>
      <c r="D94" s="504" t="str">
        <f>LEFT('Live Rate'!$B94,7)</f>
        <v>89,700 </v>
      </c>
      <c r="E94" s="501"/>
    </row>
    <row r="95" ht="14.25" customHeight="1">
      <c r="A95" s="503">
        <v>45233.16736111111</v>
      </c>
      <c r="B95" s="502" t="s">
        <v>1448</v>
      </c>
      <c r="C95" s="502" t="s">
        <v>1449</v>
      </c>
      <c r="D95" s="504" t="str">
        <f>LEFT('Live Rate'!$B95,7)</f>
        <v>89,700 </v>
      </c>
      <c r="E95" s="501"/>
    </row>
    <row r="96" ht="14.25" customHeight="1">
      <c r="A96" s="503">
        <v>45233.125</v>
      </c>
      <c r="B96" s="502" t="s">
        <v>1448</v>
      </c>
      <c r="C96" s="502" t="s">
        <v>1449</v>
      </c>
      <c r="D96" s="504" t="str">
        <f>LEFT('Live Rate'!$B96,7)</f>
        <v>89,700 </v>
      </c>
      <c r="E96" s="501"/>
    </row>
    <row r="97" ht="14.25" customHeight="1">
      <c r="A97" s="503">
        <v>45233.084027777775</v>
      </c>
      <c r="B97" s="502" t="s">
        <v>1448</v>
      </c>
      <c r="C97" s="502" t="s">
        <v>1449</v>
      </c>
      <c r="D97" s="504" t="str">
        <f>LEFT('Live Rate'!$B97,7)</f>
        <v>89,700 </v>
      </c>
      <c r="E97" s="501"/>
    </row>
    <row r="98" ht="14.25" customHeight="1">
      <c r="A98" s="503">
        <v>45233.04236111111</v>
      </c>
      <c r="B98" s="502" t="s">
        <v>1448</v>
      </c>
      <c r="C98" s="502" t="s">
        <v>1449</v>
      </c>
      <c r="D98" s="504" t="str">
        <f>LEFT('Live Rate'!$B98,7)</f>
        <v>89,700 </v>
      </c>
      <c r="E98" s="501"/>
    </row>
    <row r="99" ht="14.25" customHeight="1">
      <c r="A99" s="503">
        <v>45233.00069444445</v>
      </c>
      <c r="B99" s="502" t="s">
        <v>1448</v>
      </c>
      <c r="C99" s="502" t="s">
        <v>1449</v>
      </c>
      <c r="D99" s="504" t="str">
        <f>LEFT('Live Rate'!$B99,7)</f>
        <v>89,700 </v>
      </c>
      <c r="E99" s="501"/>
    </row>
    <row r="100" ht="14.25" customHeight="1">
      <c r="A100" s="503">
        <v>45232.50069444445</v>
      </c>
      <c r="B100" s="502" t="s">
        <v>1448</v>
      </c>
      <c r="C100" s="502" t="s">
        <v>1449</v>
      </c>
      <c r="D100" s="504" t="str">
        <f>LEFT('Live Rate'!$B100,7)</f>
        <v>89,700 </v>
      </c>
      <c r="E100" s="501"/>
    </row>
    <row r="101" ht="14.25" customHeight="1">
      <c r="A101" s="503">
        <v>45232.459027777775</v>
      </c>
      <c r="B101" s="502" t="s">
        <v>1448</v>
      </c>
      <c r="C101" s="502" t="s">
        <v>1449</v>
      </c>
      <c r="D101" s="504" t="str">
        <f>LEFT('Live Rate'!$B101,7)</f>
        <v>89,700 </v>
      </c>
      <c r="E101" s="501"/>
    </row>
    <row r="102" ht="14.25" customHeight="1">
      <c r="A102" s="503">
        <v>45232.41736111111</v>
      </c>
      <c r="B102" s="502" t="s">
        <v>1448</v>
      </c>
      <c r="C102" s="502" t="s">
        <v>1449</v>
      </c>
      <c r="D102" s="504" t="str">
        <f>LEFT('Live Rate'!$B102,7)</f>
        <v>89,700 </v>
      </c>
      <c r="E102" s="501"/>
    </row>
    <row r="103" ht="14.25" customHeight="1">
      <c r="A103" s="503">
        <v>45232.37569444445</v>
      </c>
      <c r="B103" s="502" t="s">
        <v>1448</v>
      </c>
      <c r="C103" s="502" t="s">
        <v>1449</v>
      </c>
      <c r="D103" s="504" t="str">
        <f>LEFT('Live Rate'!$B103,7)</f>
        <v>89,700 </v>
      </c>
      <c r="E103" s="501"/>
    </row>
    <row r="104" ht="14.25" customHeight="1">
      <c r="A104" s="503">
        <v>45232.333333333336</v>
      </c>
      <c r="B104" s="502" t="s">
        <v>1448</v>
      </c>
      <c r="C104" s="502" t="s">
        <v>1449</v>
      </c>
      <c r="D104" s="504" t="str">
        <f>LEFT('Live Rate'!$B104,7)</f>
        <v>89,700 </v>
      </c>
      <c r="E104" s="501"/>
    </row>
    <row r="105" ht="14.25" customHeight="1">
      <c r="A105" s="503">
        <v>45232.291666666664</v>
      </c>
      <c r="B105" s="502" t="s">
        <v>1448</v>
      </c>
      <c r="C105" s="502" t="s">
        <v>1449</v>
      </c>
      <c r="D105" s="504" t="str">
        <f>LEFT('Live Rate'!$B105,7)</f>
        <v>89,700 </v>
      </c>
      <c r="E105" s="501"/>
    </row>
    <row r="106" ht="14.25" customHeight="1">
      <c r="A106" s="503">
        <v>45232.25069444445</v>
      </c>
      <c r="B106" s="502" t="s">
        <v>1448</v>
      </c>
      <c r="C106" s="502" t="s">
        <v>1449</v>
      </c>
      <c r="D106" s="504" t="str">
        <f>LEFT('Live Rate'!$B106,7)</f>
        <v>89,700 </v>
      </c>
      <c r="E106" s="501"/>
    </row>
    <row r="107" ht="14.25" customHeight="1">
      <c r="A107" s="503">
        <v>45232.209027777775</v>
      </c>
      <c r="B107" s="502" t="s">
        <v>1448</v>
      </c>
      <c r="C107" s="502" t="s">
        <v>1449</v>
      </c>
      <c r="D107" s="504" t="str">
        <f>LEFT('Live Rate'!$B107,7)</f>
        <v>89,700 </v>
      </c>
      <c r="E107" s="501"/>
    </row>
    <row r="108" ht="14.25" customHeight="1">
      <c r="A108" s="503">
        <v>45232.16736111111</v>
      </c>
      <c r="B108" s="502" t="s">
        <v>1448</v>
      </c>
      <c r="C108" s="502" t="s">
        <v>1449</v>
      </c>
      <c r="D108" s="504" t="str">
        <f>LEFT('Live Rate'!$B108,7)</f>
        <v>89,700 </v>
      </c>
      <c r="E108" s="501"/>
    </row>
    <row r="109" ht="14.25" customHeight="1">
      <c r="A109" s="503">
        <v>45232.12569444445</v>
      </c>
      <c r="B109" s="502" t="s">
        <v>1448</v>
      </c>
      <c r="C109" s="502" t="s">
        <v>1449</v>
      </c>
      <c r="D109" s="504" t="str">
        <f>LEFT('Live Rate'!$B109,7)</f>
        <v>89,700 </v>
      </c>
      <c r="E109" s="501"/>
    </row>
    <row r="110" ht="14.25" customHeight="1">
      <c r="A110" s="503">
        <v>45232.083333333336</v>
      </c>
      <c r="B110" s="502" t="s">
        <v>1448</v>
      </c>
      <c r="C110" s="502" t="s">
        <v>1449</v>
      </c>
      <c r="D110" s="504" t="str">
        <f>LEFT('Live Rate'!$B110,7)</f>
        <v>89,700 </v>
      </c>
      <c r="E110" s="501"/>
    </row>
    <row r="111" ht="14.25" customHeight="1">
      <c r="A111" s="503">
        <v>45232.041666666664</v>
      </c>
      <c r="B111" s="502" t="s">
        <v>1448</v>
      </c>
      <c r="C111" s="502" t="s">
        <v>1449</v>
      </c>
      <c r="D111" s="504" t="str">
        <f>LEFT('Live Rate'!$B111,7)</f>
        <v>89,700 </v>
      </c>
      <c r="E111" s="501"/>
    </row>
    <row r="112" ht="14.25" customHeight="1">
      <c r="A112" s="503">
        <v>45232.00069444445</v>
      </c>
      <c r="B112" s="502" t="s">
        <v>1448</v>
      </c>
      <c r="C112" s="502" t="s">
        <v>1449</v>
      </c>
      <c r="D112" s="504" t="str">
        <f>LEFT('Live Rate'!$B112,7)</f>
        <v>89,700 </v>
      </c>
      <c r="E112" s="501"/>
    </row>
    <row r="113" ht="14.25" customHeight="1">
      <c r="A113" s="503">
        <v>45231.50069444445</v>
      </c>
      <c r="B113" s="502" t="s">
        <v>1448</v>
      </c>
      <c r="C113" s="502" t="s">
        <v>1449</v>
      </c>
      <c r="D113" s="504" t="str">
        <f>LEFT('Live Rate'!$B113,7)</f>
        <v>89,700 </v>
      </c>
      <c r="E113" s="501"/>
    </row>
    <row r="114" ht="14.25" customHeight="1">
      <c r="A114" s="503">
        <v>45231.458333333336</v>
      </c>
      <c r="B114" s="502" t="s">
        <v>1448</v>
      </c>
      <c r="C114" s="502" t="s">
        <v>1449</v>
      </c>
      <c r="D114" s="504" t="str">
        <f>LEFT('Live Rate'!$B114,7)</f>
        <v>89,700 </v>
      </c>
      <c r="E114" s="501"/>
    </row>
    <row r="115" ht="14.25" customHeight="1">
      <c r="A115" s="503">
        <v>45231.416666666664</v>
      </c>
      <c r="B115" s="502" t="s">
        <v>1448</v>
      </c>
      <c r="C115" s="502" t="s">
        <v>1449</v>
      </c>
      <c r="D115" s="504" t="str">
        <f>LEFT('Live Rate'!$B115,7)</f>
        <v>89,700 </v>
      </c>
      <c r="E115" s="501"/>
    </row>
    <row r="116" ht="14.25" customHeight="1">
      <c r="A116" s="503">
        <v>45231.375</v>
      </c>
      <c r="B116" s="502" t="s">
        <v>1448</v>
      </c>
      <c r="C116" s="502" t="s">
        <v>1449</v>
      </c>
      <c r="D116" s="504" t="str">
        <f>LEFT('Live Rate'!$B116,7)</f>
        <v>89,700 </v>
      </c>
      <c r="E116" s="501"/>
    </row>
    <row r="117" ht="14.25" customHeight="1">
      <c r="A117" s="503">
        <v>45231.334027777775</v>
      </c>
      <c r="B117" s="502" t="s">
        <v>1448</v>
      </c>
      <c r="C117" s="502" t="s">
        <v>1449</v>
      </c>
      <c r="D117" s="504" t="str">
        <f>LEFT('Live Rate'!$B117,7)</f>
        <v>89,700 </v>
      </c>
      <c r="E117" s="501"/>
    </row>
    <row r="118" ht="14.25" customHeight="1">
      <c r="A118" s="503">
        <v>45231.291666666664</v>
      </c>
      <c r="B118" s="502" t="s">
        <v>1448</v>
      </c>
      <c r="C118" s="502" t="s">
        <v>1449</v>
      </c>
      <c r="D118" s="504" t="str">
        <f>LEFT('Live Rate'!$B118,7)</f>
        <v>89,700 </v>
      </c>
      <c r="E118" s="501"/>
    </row>
    <row r="119" ht="14.25" customHeight="1">
      <c r="A119" s="503">
        <v>45231.25069444445</v>
      </c>
      <c r="B119" s="502" t="s">
        <v>1448</v>
      </c>
      <c r="C119" s="502" t="s">
        <v>1449</v>
      </c>
      <c r="D119" s="504" t="str">
        <f>LEFT('Live Rate'!$B119,7)</f>
        <v>89,700 </v>
      </c>
      <c r="E119" s="501"/>
    </row>
    <row r="120" ht="14.25" customHeight="1">
      <c r="A120" s="503">
        <v>45231.208333333336</v>
      </c>
      <c r="B120" s="502" t="s">
        <v>1448</v>
      </c>
      <c r="C120" s="502" t="s">
        <v>1449</v>
      </c>
      <c r="D120" s="504" t="str">
        <f>LEFT('Live Rate'!$B120,7)</f>
        <v>89,700 </v>
      </c>
      <c r="E120" s="501"/>
    </row>
    <row r="121" ht="14.25" customHeight="1">
      <c r="A121" s="503">
        <v>45231.16736111111</v>
      </c>
      <c r="B121" s="502" t="s">
        <v>1448</v>
      </c>
      <c r="C121" s="502" t="s">
        <v>1449</v>
      </c>
      <c r="D121" s="504" t="str">
        <f>LEFT('Live Rate'!$B121,7)</f>
        <v>89,700 </v>
      </c>
      <c r="E121" s="501"/>
    </row>
    <row r="122" ht="14.25" customHeight="1">
      <c r="A122" s="503">
        <v>45231.12569444445</v>
      </c>
      <c r="B122" s="502" t="s">
        <v>1448</v>
      </c>
      <c r="C122" s="502" t="s">
        <v>1449</v>
      </c>
      <c r="D122" s="504" t="str">
        <f>LEFT('Live Rate'!$B122,7)</f>
        <v>89,700 </v>
      </c>
      <c r="E122" s="501"/>
    </row>
    <row r="123" ht="14.25" customHeight="1">
      <c r="A123" s="503">
        <v>45231.084027777775</v>
      </c>
      <c r="B123" s="502" t="s">
        <v>1448</v>
      </c>
      <c r="C123" s="502" t="s">
        <v>1449</v>
      </c>
      <c r="D123" s="504" t="str">
        <f>LEFT('Live Rate'!$B123,7)</f>
        <v>89,700 </v>
      </c>
      <c r="E123" s="501"/>
    </row>
    <row r="124" ht="14.25" customHeight="1">
      <c r="A124" s="503">
        <v>45231.04236111111</v>
      </c>
      <c r="B124" s="502" t="s">
        <v>1448</v>
      </c>
      <c r="C124" s="502" t="s">
        <v>1449</v>
      </c>
      <c r="D124" s="504" t="str">
        <f>LEFT('Live Rate'!$B124,7)</f>
        <v>89,700 </v>
      </c>
      <c r="E124" s="501"/>
    </row>
    <row r="125" ht="14.25" customHeight="1">
      <c r="A125" s="503">
        <v>45231.00069444445</v>
      </c>
      <c r="B125" s="502" t="s">
        <v>1448</v>
      </c>
      <c r="C125" s="502" t="s">
        <v>1449</v>
      </c>
      <c r="D125" s="504" t="str">
        <f>LEFT('Live Rate'!$B125,7)</f>
        <v>89,700 </v>
      </c>
      <c r="E125" s="501"/>
    </row>
    <row r="126" ht="14.25" customHeight="1">
      <c r="A126" s="503">
        <v>45230.50069444445</v>
      </c>
      <c r="B126" s="502" t="s">
        <v>1448</v>
      </c>
      <c r="C126" s="502" t="s">
        <v>1449</v>
      </c>
      <c r="D126" s="504" t="str">
        <f>LEFT('Live Rate'!$B126,7)</f>
        <v>89,700 </v>
      </c>
      <c r="E126" s="501"/>
    </row>
    <row r="127" ht="14.25" customHeight="1">
      <c r="A127" s="503">
        <v>45230.459027777775</v>
      </c>
      <c r="B127" s="502" t="s">
        <v>1448</v>
      </c>
      <c r="C127" s="502" t="s">
        <v>1449</v>
      </c>
      <c r="D127" s="504" t="str">
        <f>LEFT('Live Rate'!$B127,7)</f>
        <v>89,700 </v>
      </c>
      <c r="E127" s="501"/>
    </row>
    <row r="128" ht="14.25" customHeight="1">
      <c r="A128" s="503">
        <v>45230.41736111111</v>
      </c>
      <c r="B128" s="502" t="s">
        <v>1448</v>
      </c>
      <c r="C128" s="502" t="s">
        <v>1449</v>
      </c>
      <c r="D128" s="504" t="str">
        <f>LEFT('Live Rate'!$B128,7)</f>
        <v>89,700 </v>
      </c>
      <c r="E128" s="501"/>
    </row>
    <row r="129" ht="14.25" customHeight="1">
      <c r="A129" s="503">
        <v>45230.375</v>
      </c>
      <c r="B129" s="502" t="s">
        <v>1448</v>
      </c>
      <c r="C129" s="502" t="s">
        <v>1449</v>
      </c>
      <c r="D129" s="504" t="str">
        <f>LEFT('Live Rate'!$B129,7)</f>
        <v>89,700 </v>
      </c>
      <c r="E129" s="501"/>
    </row>
    <row r="130" ht="14.25" customHeight="1">
      <c r="A130" s="503">
        <v>45230.333333333336</v>
      </c>
      <c r="B130" s="502" t="s">
        <v>1448</v>
      </c>
      <c r="C130" s="502" t="s">
        <v>1449</v>
      </c>
      <c r="D130" s="504" t="str">
        <f>LEFT('Live Rate'!$B130,7)</f>
        <v>89,700 </v>
      </c>
      <c r="E130" s="501"/>
    </row>
    <row r="131" ht="14.25" customHeight="1">
      <c r="A131" s="503">
        <v>45230.29236111111</v>
      </c>
      <c r="B131" s="502" t="s">
        <v>1448</v>
      </c>
      <c r="C131" s="502" t="s">
        <v>1449</v>
      </c>
      <c r="D131" s="504" t="str">
        <f>LEFT('Live Rate'!$B131,7)</f>
        <v>89,700 </v>
      </c>
      <c r="E131" s="501"/>
    </row>
    <row r="132" ht="14.25" customHeight="1">
      <c r="A132" s="503">
        <v>45230.25</v>
      </c>
      <c r="B132" s="502" t="s">
        <v>1448</v>
      </c>
      <c r="C132" s="502" t="s">
        <v>1449</v>
      </c>
      <c r="D132" s="504" t="str">
        <f>LEFT('Live Rate'!$B132,7)</f>
        <v>89,700 </v>
      </c>
      <c r="E132" s="501"/>
    </row>
    <row r="133" ht="14.25" customHeight="1">
      <c r="A133" s="503">
        <v>45230.209027777775</v>
      </c>
      <c r="B133" s="502" t="s">
        <v>1448</v>
      </c>
      <c r="C133" s="502" t="s">
        <v>1449</v>
      </c>
      <c r="D133" s="504" t="str">
        <f>LEFT('Live Rate'!$B133,7)</f>
        <v>89,700 </v>
      </c>
      <c r="E133" s="501"/>
    </row>
    <row r="134" ht="14.25" customHeight="1">
      <c r="A134" s="503">
        <v>45230.16736111111</v>
      </c>
      <c r="B134" s="502" t="s">
        <v>1448</v>
      </c>
      <c r="C134" s="502" t="s">
        <v>1449</v>
      </c>
      <c r="D134" s="504" t="str">
        <f>LEFT('Live Rate'!$B134,7)</f>
        <v>89,700 </v>
      </c>
      <c r="E134" s="501"/>
    </row>
    <row r="135" ht="14.25" customHeight="1">
      <c r="A135" s="503">
        <v>45230.12569444445</v>
      </c>
      <c r="B135" s="502" t="s">
        <v>1448</v>
      </c>
      <c r="C135" s="502" t="s">
        <v>1449</v>
      </c>
      <c r="D135" s="504" t="str">
        <f>LEFT('Live Rate'!$B135,7)</f>
        <v>89,700 </v>
      </c>
      <c r="E135" s="501"/>
    </row>
    <row r="136" ht="14.25" customHeight="1">
      <c r="A136" s="503">
        <v>45230.084027777775</v>
      </c>
      <c r="B136" s="502" t="s">
        <v>1448</v>
      </c>
      <c r="C136" s="502" t="s">
        <v>1449</v>
      </c>
      <c r="D136" s="504" t="str">
        <f>LEFT('Live Rate'!$B136,7)</f>
        <v>89,700 </v>
      </c>
      <c r="E136" s="501"/>
    </row>
    <row r="137" ht="14.25" customHeight="1">
      <c r="A137" s="503">
        <v>45230.04236111111</v>
      </c>
      <c r="B137" s="502" t="s">
        <v>1448</v>
      </c>
      <c r="C137" s="502" t="s">
        <v>1449</v>
      </c>
      <c r="D137" s="504" t="str">
        <f>LEFT('Live Rate'!$B137,7)</f>
        <v>89,700 </v>
      </c>
      <c r="E137" s="501"/>
    </row>
    <row r="138" ht="14.25" customHeight="1">
      <c r="A138" s="503">
        <v>45230.00069444445</v>
      </c>
      <c r="B138" s="502" t="s">
        <v>1448</v>
      </c>
      <c r="C138" s="502" t="s">
        <v>1449</v>
      </c>
      <c r="D138" s="504" t="str">
        <f>LEFT('Live Rate'!$B138,7)</f>
        <v>89,700 </v>
      </c>
      <c r="E138" s="501"/>
    </row>
    <row r="139" ht="14.25" customHeight="1">
      <c r="A139" s="503">
        <v>45229.5</v>
      </c>
      <c r="B139" s="502" t="s">
        <v>1448</v>
      </c>
      <c r="C139" s="502" t="s">
        <v>1449</v>
      </c>
      <c r="D139" s="504" t="str">
        <f>LEFT('Live Rate'!$B139,7)</f>
        <v>89,700 </v>
      </c>
      <c r="E139" s="501"/>
    </row>
    <row r="140" ht="14.25" customHeight="1">
      <c r="A140" s="503">
        <v>45229.458333333336</v>
      </c>
      <c r="B140" s="502" t="s">
        <v>1448</v>
      </c>
      <c r="C140" s="502" t="s">
        <v>1449</v>
      </c>
      <c r="D140" s="504" t="str">
        <f>LEFT('Live Rate'!$B140,7)</f>
        <v>89,700 </v>
      </c>
      <c r="E140" s="501"/>
    </row>
    <row r="141" ht="14.25" customHeight="1">
      <c r="A141" s="503">
        <v>45229.41736111111</v>
      </c>
      <c r="B141" s="502" t="s">
        <v>1448</v>
      </c>
      <c r="C141" s="502" t="s">
        <v>1449</v>
      </c>
      <c r="D141" s="504" t="str">
        <f>LEFT('Live Rate'!$B141,7)</f>
        <v>89,700 </v>
      </c>
      <c r="E141" s="501"/>
    </row>
    <row r="142" ht="14.25" customHeight="1">
      <c r="A142" s="503">
        <v>45229.37569444445</v>
      </c>
      <c r="B142" s="502" t="s">
        <v>1448</v>
      </c>
      <c r="C142" s="502" t="s">
        <v>1449</v>
      </c>
      <c r="D142" s="504" t="str">
        <f>LEFT('Live Rate'!$B142,7)</f>
        <v>89,700 </v>
      </c>
      <c r="E142" s="501"/>
    </row>
    <row r="143" ht="14.25" customHeight="1">
      <c r="A143" s="503">
        <v>45229.333333333336</v>
      </c>
      <c r="B143" s="502" t="s">
        <v>1448</v>
      </c>
      <c r="C143" s="502" t="s">
        <v>1449</v>
      </c>
      <c r="D143" s="504" t="str">
        <f>LEFT('Live Rate'!$B143,7)</f>
        <v>89,700 </v>
      </c>
      <c r="E143" s="501"/>
    </row>
    <row r="144" ht="14.25" customHeight="1">
      <c r="A144" s="503">
        <v>45229.291666666664</v>
      </c>
      <c r="B144" s="502" t="s">
        <v>1448</v>
      </c>
      <c r="C144" s="502" t="s">
        <v>1449</v>
      </c>
      <c r="D144" s="504" t="str">
        <f>LEFT('Live Rate'!$B144,7)</f>
        <v>89,700 </v>
      </c>
      <c r="E144" s="501"/>
    </row>
    <row r="145" ht="14.25" customHeight="1">
      <c r="A145" s="503">
        <v>45229.25069444445</v>
      </c>
      <c r="B145" s="502" t="s">
        <v>1448</v>
      </c>
      <c r="C145" s="502" t="s">
        <v>1449</v>
      </c>
      <c r="D145" s="504" t="str">
        <f>LEFT('Live Rate'!$B145,7)</f>
        <v>89,700 </v>
      </c>
      <c r="E145" s="501"/>
    </row>
    <row r="146" ht="14.25" customHeight="1">
      <c r="A146" s="503">
        <v>45229.208333333336</v>
      </c>
      <c r="B146" s="502" t="s">
        <v>1448</v>
      </c>
      <c r="C146" s="502" t="s">
        <v>1449</v>
      </c>
      <c r="D146" s="504" t="str">
        <f>LEFT('Live Rate'!$B146,7)</f>
        <v>89,700 </v>
      </c>
      <c r="E146" s="501"/>
    </row>
    <row r="147" ht="14.25" customHeight="1">
      <c r="A147" s="503">
        <v>45229.16736111111</v>
      </c>
      <c r="B147" s="502" t="s">
        <v>1448</v>
      </c>
      <c r="C147" s="502" t="s">
        <v>1449</v>
      </c>
      <c r="D147" s="504" t="str">
        <f>LEFT('Live Rate'!$B147,7)</f>
        <v>89,700 </v>
      </c>
      <c r="E147" s="501"/>
    </row>
    <row r="148" ht="14.25" customHeight="1">
      <c r="A148" s="503">
        <v>45229.125</v>
      </c>
      <c r="B148" s="502" t="s">
        <v>1448</v>
      </c>
      <c r="C148" s="502" t="s">
        <v>1449</v>
      </c>
      <c r="D148" s="504" t="str">
        <f>LEFT('Live Rate'!$B148,7)</f>
        <v>89,700 </v>
      </c>
      <c r="E148" s="501"/>
    </row>
    <row r="149" ht="14.25" customHeight="1">
      <c r="A149" s="503">
        <v>45229.083333333336</v>
      </c>
      <c r="B149" s="502" t="s">
        <v>1448</v>
      </c>
      <c r="C149" s="502" t="s">
        <v>1449</v>
      </c>
      <c r="D149" s="504" t="str">
        <f>LEFT('Live Rate'!$B149,7)</f>
        <v>89,700 </v>
      </c>
      <c r="E149" s="501"/>
    </row>
    <row r="150" ht="14.25" customHeight="1">
      <c r="A150" s="503">
        <v>45229.04236111111</v>
      </c>
      <c r="B150" s="502" t="s">
        <v>1448</v>
      </c>
      <c r="C150" s="502" t="s">
        <v>1449</v>
      </c>
      <c r="D150" s="504" t="str">
        <f>LEFT('Live Rate'!$B150,7)</f>
        <v>89,700 </v>
      </c>
      <c r="E150" s="501"/>
    </row>
    <row r="151" ht="14.25" customHeight="1">
      <c r="A151" s="503">
        <v>45229.00069444445</v>
      </c>
      <c r="B151" s="502" t="s">
        <v>1448</v>
      </c>
      <c r="C151" s="502" t="s">
        <v>1449</v>
      </c>
      <c r="D151" s="504" t="str">
        <f>LEFT('Live Rate'!$B151,7)</f>
        <v>89,700 </v>
      </c>
      <c r="E151" s="501"/>
    </row>
    <row r="152" ht="14.25" customHeight="1">
      <c r="A152" s="503">
        <v>45228.50069444445</v>
      </c>
      <c r="B152" s="502" t="s">
        <v>1448</v>
      </c>
      <c r="C152" s="502" t="s">
        <v>1449</v>
      </c>
      <c r="D152" s="504" t="str">
        <f>LEFT('Live Rate'!$B152,7)</f>
        <v>89,700 </v>
      </c>
      <c r="E152" s="501"/>
    </row>
    <row r="153" ht="14.25" customHeight="1">
      <c r="A153" s="503">
        <v>45228.459027777775</v>
      </c>
      <c r="B153" s="502" t="s">
        <v>1448</v>
      </c>
      <c r="C153" s="502" t="s">
        <v>1449</v>
      </c>
      <c r="D153" s="504" t="str">
        <f>LEFT('Live Rate'!$B153,7)</f>
        <v>89,700 </v>
      </c>
      <c r="E153" s="501"/>
    </row>
    <row r="154" ht="14.25" customHeight="1">
      <c r="A154" s="503">
        <v>45228.41736111111</v>
      </c>
      <c r="B154" s="502" t="s">
        <v>1448</v>
      </c>
      <c r="C154" s="502" t="s">
        <v>1449</v>
      </c>
      <c r="D154" s="504" t="str">
        <f>LEFT('Live Rate'!$B154,7)</f>
        <v>89,700 </v>
      </c>
      <c r="E154" s="501"/>
    </row>
    <row r="155" ht="14.25" customHeight="1">
      <c r="A155" s="503">
        <v>45228.37569444445</v>
      </c>
      <c r="B155" s="502" t="s">
        <v>1448</v>
      </c>
      <c r="C155" s="502" t="s">
        <v>1449</v>
      </c>
      <c r="D155" s="504" t="str">
        <f>LEFT('Live Rate'!$B155,7)</f>
        <v>89,700 </v>
      </c>
      <c r="E155" s="501"/>
    </row>
    <row r="156" ht="14.25" customHeight="1">
      <c r="A156" s="503">
        <v>45228.334027777775</v>
      </c>
      <c r="B156" s="502" t="s">
        <v>1448</v>
      </c>
      <c r="C156" s="502" t="s">
        <v>1449</v>
      </c>
      <c r="D156" s="504" t="str">
        <f>LEFT('Live Rate'!$B156,7)</f>
        <v>89,700 </v>
      </c>
      <c r="E156" s="501"/>
    </row>
    <row r="157" ht="14.25" customHeight="1">
      <c r="A157" s="503">
        <v>45228.29236111111</v>
      </c>
      <c r="B157" s="502" t="s">
        <v>1448</v>
      </c>
      <c r="C157" s="502" t="s">
        <v>1449</v>
      </c>
      <c r="D157" s="504" t="str">
        <f>LEFT('Live Rate'!$B157,7)</f>
        <v>89,700 </v>
      </c>
      <c r="E157" s="501"/>
    </row>
    <row r="158" ht="14.25" customHeight="1">
      <c r="A158" s="503">
        <v>45228.25</v>
      </c>
      <c r="B158" s="502" t="s">
        <v>1448</v>
      </c>
      <c r="C158" s="502" t="s">
        <v>1449</v>
      </c>
      <c r="D158" s="504" t="str">
        <f>LEFT('Live Rate'!$B158,7)</f>
        <v>89,700 </v>
      </c>
      <c r="E158" s="501"/>
    </row>
    <row r="159" ht="14.25" customHeight="1">
      <c r="A159" s="503">
        <v>45228.208333333336</v>
      </c>
      <c r="B159" s="502" t="s">
        <v>1448</v>
      </c>
      <c r="C159" s="502" t="s">
        <v>1449</v>
      </c>
      <c r="D159" s="504" t="str">
        <f>LEFT('Live Rate'!$B159,7)</f>
        <v>89,700 </v>
      </c>
      <c r="E159" s="501"/>
    </row>
    <row r="160" ht="14.25" customHeight="1">
      <c r="A160" s="503">
        <v>45228.16736111111</v>
      </c>
      <c r="B160" s="502" t="s">
        <v>1448</v>
      </c>
      <c r="C160" s="502" t="s">
        <v>1449</v>
      </c>
      <c r="D160" s="504" t="str">
        <f>LEFT('Live Rate'!$B160,7)</f>
        <v>89,700 </v>
      </c>
      <c r="E160" s="501"/>
    </row>
    <row r="161" ht="14.25" customHeight="1">
      <c r="A161" s="503">
        <v>45228.12569444445</v>
      </c>
      <c r="B161" s="502" t="s">
        <v>1448</v>
      </c>
      <c r="C161" s="502" t="s">
        <v>1449</v>
      </c>
      <c r="D161" s="504" t="str">
        <f>LEFT('Live Rate'!$B161,7)</f>
        <v>89,700 </v>
      </c>
      <c r="E161" s="501"/>
    </row>
    <row r="162" ht="14.25" customHeight="1">
      <c r="A162" s="503">
        <v>45228.084027777775</v>
      </c>
      <c r="B162" s="502" t="s">
        <v>1448</v>
      </c>
      <c r="C162" s="502" t="s">
        <v>1449</v>
      </c>
      <c r="D162" s="504" t="str">
        <f>LEFT('Live Rate'!$B162,7)</f>
        <v>89,700 </v>
      </c>
      <c r="E162" s="501"/>
    </row>
    <row r="163" ht="14.25" customHeight="1">
      <c r="A163" s="503">
        <v>45228.041666666664</v>
      </c>
      <c r="B163" s="502" t="s">
        <v>1448</v>
      </c>
      <c r="C163" s="502" t="s">
        <v>1449</v>
      </c>
      <c r="D163" s="504" t="str">
        <f>LEFT('Live Rate'!$B163,7)</f>
        <v>89,700 </v>
      </c>
      <c r="E163" s="501"/>
    </row>
    <row r="164" ht="14.25" customHeight="1">
      <c r="A164" s="503">
        <v>45228.00069444445</v>
      </c>
      <c r="B164" s="502" t="s">
        <v>1448</v>
      </c>
      <c r="C164" s="502" t="s">
        <v>1449</v>
      </c>
      <c r="D164" s="504" t="str">
        <f>LEFT('Live Rate'!$B164,7)</f>
        <v>89,700 </v>
      </c>
      <c r="E164" s="501"/>
    </row>
    <row r="165" ht="14.25" customHeight="1">
      <c r="A165" s="503">
        <v>45227.50069444445</v>
      </c>
      <c r="B165" s="502" t="s">
        <v>1448</v>
      </c>
      <c r="C165" s="502" t="s">
        <v>1449</v>
      </c>
      <c r="D165" s="504" t="str">
        <f>LEFT('Live Rate'!$B165,7)</f>
        <v>89,700 </v>
      </c>
      <c r="E165" s="501"/>
    </row>
    <row r="166" ht="14.25" customHeight="1">
      <c r="A166" s="503">
        <v>45227.459027777775</v>
      </c>
      <c r="B166" s="502" t="s">
        <v>1448</v>
      </c>
      <c r="C166" s="502" t="s">
        <v>1449</v>
      </c>
      <c r="D166" s="504" t="str">
        <f>LEFT('Live Rate'!$B166,7)</f>
        <v>89,700 </v>
      </c>
      <c r="E166" s="501"/>
    </row>
    <row r="167" ht="14.25" customHeight="1">
      <c r="A167" s="503">
        <v>45227.416666666664</v>
      </c>
      <c r="B167" s="502" t="s">
        <v>1448</v>
      </c>
      <c r="C167" s="502" t="s">
        <v>1449</v>
      </c>
      <c r="D167" s="504" t="str">
        <f>LEFT('Live Rate'!$B167,7)</f>
        <v>89,700 </v>
      </c>
      <c r="E167" s="501"/>
    </row>
    <row r="168" ht="14.25" customHeight="1">
      <c r="A168" s="503">
        <v>45227.37569444445</v>
      </c>
      <c r="B168" s="502" t="s">
        <v>1448</v>
      </c>
      <c r="C168" s="502" t="s">
        <v>1449</v>
      </c>
      <c r="D168" s="504" t="str">
        <f>LEFT('Live Rate'!$B168,7)</f>
        <v>89,700 </v>
      </c>
      <c r="E168" s="501"/>
    </row>
    <row r="169" ht="14.25" customHeight="1">
      <c r="A169" s="503">
        <v>45227.334027777775</v>
      </c>
      <c r="B169" s="502" t="s">
        <v>1448</v>
      </c>
      <c r="C169" s="502" t="s">
        <v>1449</v>
      </c>
      <c r="D169" s="504" t="str">
        <f>LEFT('Live Rate'!$B169,7)</f>
        <v>89,700 </v>
      </c>
      <c r="E169" s="501"/>
    </row>
    <row r="170" ht="14.25" customHeight="1">
      <c r="A170" s="503">
        <v>45227.291666666664</v>
      </c>
      <c r="B170" s="502" t="s">
        <v>1448</v>
      </c>
      <c r="C170" s="502" t="s">
        <v>1449</v>
      </c>
      <c r="D170" s="504" t="str">
        <f>LEFT('Live Rate'!$B170,7)</f>
        <v>89,700 </v>
      </c>
      <c r="E170" s="501"/>
    </row>
    <row r="171" ht="14.25" customHeight="1">
      <c r="A171" s="503">
        <v>45227.25069444445</v>
      </c>
      <c r="B171" s="502" t="s">
        <v>1448</v>
      </c>
      <c r="C171" s="502" t="s">
        <v>1449</v>
      </c>
      <c r="D171" s="504" t="str">
        <f>LEFT('Live Rate'!$B171,7)</f>
        <v>89,700 </v>
      </c>
      <c r="E171" s="501"/>
    </row>
    <row r="172" ht="14.25" customHeight="1">
      <c r="A172" s="503">
        <v>45227.209027777775</v>
      </c>
      <c r="B172" s="502" t="s">
        <v>1448</v>
      </c>
      <c r="C172" s="502" t="s">
        <v>1449</v>
      </c>
      <c r="D172" s="504" t="str">
        <f>LEFT('Live Rate'!$B172,7)</f>
        <v>89,700 </v>
      </c>
      <c r="E172" s="501"/>
    </row>
    <row r="173" ht="14.25" customHeight="1">
      <c r="A173" s="503">
        <v>45227.16736111111</v>
      </c>
      <c r="B173" s="502" t="s">
        <v>1448</v>
      </c>
      <c r="C173" s="502" t="s">
        <v>1449</v>
      </c>
      <c r="D173" s="504" t="str">
        <f>LEFT('Live Rate'!$B173,7)</f>
        <v>89,700 </v>
      </c>
      <c r="E173" s="501"/>
    </row>
    <row r="174" ht="14.25" customHeight="1">
      <c r="A174" s="503">
        <v>45227.12569444445</v>
      </c>
      <c r="B174" s="502" t="s">
        <v>1448</v>
      </c>
      <c r="C174" s="502" t="s">
        <v>1449</v>
      </c>
      <c r="D174" s="504" t="str">
        <f>LEFT('Live Rate'!$B174,7)</f>
        <v>89,700 </v>
      </c>
      <c r="E174" s="501"/>
    </row>
    <row r="175" ht="14.25" customHeight="1">
      <c r="A175" s="503">
        <v>45227.084027777775</v>
      </c>
      <c r="B175" s="502" t="s">
        <v>1448</v>
      </c>
      <c r="C175" s="502" t="s">
        <v>1449</v>
      </c>
      <c r="D175" s="504" t="str">
        <f>LEFT('Live Rate'!$B175,7)</f>
        <v>89,700 </v>
      </c>
      <c r="E175" s="501"/>
    </row>
    <row r="176" ht="14.25" customHeight="1">
      <c r="A176" s="503">
        <v>45227.04236111111</v>
      </c>
      <c r="B176" s="502" t="s">
        <v>1448</v>
      </c>
      <c r="C176" s="502" t="s">
        <v>1449</v>
      </c>
      <c r="D176" s="504" t="str">
        <f>LEFT('Live Rate'!$B176,7)</f>
        <v>89,700 </v>
      </c>
      <c r="E176" s="501"/>
    </row>
    <row r="177" ht="14.25" customHeight="1">
      <c r="A177" s="503">
        <v>45227.00069444445</v>
      </c>
      <c r="B177" s="502" t="s">
        <v>1448</v>
      </c>
      <c r="C177" s="502" t="s">
        <v>1449</v>
      </c>
      <c r="D177" s="504" t="str">
        <f>LEFT('Live Rate'!$B177,7)</f>
        <v>89,700 </v>
      </c>
      <c r="E177" s="501"/>
    </row>
    <row r="178" ht="14.25" customHeight="1">
      <c r="A178" s="503">
        <v>45226.50069444445</v>
      </c>
      <c r="B178" s="502" t="s">
        <v>1448</v>
      </c>
      <c r="C178" s="502" t="s">
        <v>1449</v>
      </c>
      <c r="D178" s="504" t="str">
        <f>LEFT('Live Rate'!$B178,7)</f>
        <v>89,700 </v>
      </c>
      <c r="E178" s="501"/>
    </row>
    <row r="179" ht="14.25" customHeight="1">
      <c r="A179" s="503">
        <v>45226.459027777775</v>
      </c>
      <c r="B179" s="502" t="s">
        <v>1448</v>
      </c>
      <c r="C179" s="502" t="s">
        <v>1449</v>
      </c>
      <c r="D179" s="504" t="str">
        <f>LEFT('Live Rate'!$B179,7)</f>
        <v>89,700 </v>
      </c>
      <c r="E179" s="501"/>
    </row>
    <row r="180" ht="14.25" customHeight="1">
      <c r="A180" s="503">
        <v>45226.41736111111</v>
      </c>
      <c r="B180" s="502" t="s">
        <v>1448</v>
      </c>
      <c r="C180" s="502" t="s">
        <v>1449</v>
      </c>
      <c r="D180" s="504" t="str">
        <f>LEFT('Live Rate'!$B180,7)</f>
        <v>89,700 </v>
      </c>
      <c r="E180" s="501"/>
    </row>
    <row r="181" ht="14.25" customHeight="1">
      <c r="A181" s="503">
        <v>45226.37569444445</v>
      </c>
      <c r="B181" s="502" t="s">
        <v>1448</v>
      </c>
      <c r="C181" s="502" t="s">
        <v>1449</v>
      </c>
      <c r="D181" s="504" t="str">
        <f>LEFT('Live Rate'!$B181,7)</f>
        <v>89,700 </v>
      </c>
      <c r="E181" s="501"/>
    </row>
    <row r="182" ht="14.25" customHeight="1">
      <c r="A182" s="503">
        <v>45226.334027777775</v>
      </c>
      <c r="B182" s="502" t="s">
        <v>1448</v>
      </c>
      <c r="C182" s="502" t="s">
        <v>1449</v>
      </c>
      <c r="D182" s="504" t="str">
        <f>LEFT('Live Rate'!$B182,7)</f>
        <v>89,700 </v>
      </c>
      <c r="E182" s="501"/>
    </row>
    <row r="183" ht="14.25" customHeight="1">
      <c r="A183" s="503">
        <v>45226.29236111111</v>
      </c>
      <c r="B183" s="502" t="s">
        <v>1448</v>
      </c>
      <c r="C183" s="502" t="s">
        <v>1449</v>
      </c>
      <c r="D183" s="504" t="str">
        <f>LEFT('Live Rate'!$B183,7)</f>
        <v>89,700 </v>
      </c>
      <c r="E183" s="501"/>
    </row>
    <row r="184" ht="14.25" customHeight="1">
      <c r="A184" s="503">
        <v>45226.25</v>
      </c>
      <c r="B184" s="502" t="s">
        <v>1448</v>
      </c>
      <c r="C184" s="502" t="s">
        <v>1449</v>
      </c>
      <c r="D184" s="504" t="str">
        <f>LEFT('Live Rate'!$B184,7)</f>
        <v>89,700 </v>
      </c>
      <c r="E184" s="501"/>
    </row>
    <row r="185" ht="14.25" customHeight="1">
      <c r="A185" s="503">
        <v>45226.209027777775</v>
      </c>
      <c r="B185" s="502" t="s">
        <v>1448</v>
      </c>
      <c r="C185" s="502" t="s">
        <v>1449</v>
      </c>
      <c r="D185" s="504" t="str">
        <f>LEFT('Live Rate'!$B185,7)</f>
        <v>89,700 </v>
      </c>
      <c r="E185" s="501"/>
    </row>
    <row r="186" ht="14.25" customHeight="1">
      <c r="A186" s="503">
        <v>45226.16736111111</v>
      </c>
      <c r="B186" s="502" t="s">
        <v>1448</v>
      </c>
      <c r="C186" s="502" t="s">
        <v>1449</v>
      </c>
      <c r="D186" s="504" t="str">
        <f>LEFT('Live Rate'!$B186,7)</f>
        <v>89,700 </v>
      </c>
      <c r="E186" s="501"/>
    </row>
    <row r="187" ht="14.25" customHeight="1">
      <c r="A187" s="503">
        <v>45226.12569444445</v>
      </c>
      <c r="B187" s="502" t="s">
        <v>1448</v>
      </c>
      <c r="C187" s="502" t="s">
        <v>1449</v>
      </c>
      <c r="D187" s="504" t="str">
        <f>LEFT('Live Rate'!$B187,7)</f>
        <v>89,700 </v>
      </c>
      <c r="E187" s="501"/>
    </row>
    <row r="188" ht="14.25" customHeight="1">
      <c r="A188" s="503">
        <v>45226.084027777775</v>
      </c>
      <c r="B188" s="502" t="s">
        <v>1448</v>
      </c>
      <c r="C188" s="502" t="s">
        <v>1449</v>
      </c>
      <c r="D188" s="504" t="str">
        <f>LEFT('Live Rate'!$B188,7)</f>
        <v>89,700 </v>
      </c>
      <c r="E188" s="501"/>
    </row>
    <row r="189" ht="14.25" customHeight="1">
      <c r="A189" s="503">
        <v>45226.04236111111</v>
      </c>
      <c r="B189" s="502" t="s">
        <v>1448</v>
      </c>
      <c r="C189" s="502" t="s">
        <v>1449</v>
      </c>
      <c r="D189" s="504" t="str">
        <f>LEFT('Live Rate'!$B189,7)</f>
        <v>89,700 </v>
      </c>
      <c r="E189" s="501"/>
    </row>
    <row r="190" ht="14.25" customHeight="1">
      <c r="A190" s="503">
        <v>45226.00069444445</v>
      </c>
      <c r="B190" s="502" t="s">
        <v>1448</v>
      </c>
      <c r="C190" s="502" t="s">
        <v>1449</v>
      </c>
      <c r="D190" s="504" t="str">
        <f>LEFT('Live Rate'!$B190,7)</f>
        <v>89,700 </v>
      </c>
      <c r="E190" s="501"/>
    </row>
    <row r="191" ht="14.25" customHeight="1">
      <c r="A191" s="503">
        <v>45225.5</v>
      </c>
      <c r="B191" s="502" t="s">
        <v>1448</v>
      </c>
      <c r="C191" s="502" t="s">
        <v>1449</v>
      </c>
      <c r="D191" s="504" t="str">
        <f>LEFT('Live Rate'!$B191,7)</f>
        <v>89,700 </v>
      </c>
      <c r="E191" s="501"/>
    </row>
    <row r="192" ht="14.25" customHeight="1">
      <c r="A192" s="503">
        <v>45225.459027777775</v>
      </c>
      <c r="B192" s="502" t="s">
        <v>1448</v>
      </c>
      <c r="C192" s="502" t="s">
        <v>1449</v>
      </c>
      <c r="D192" s="504" t="str">
        <f>LEFT('Live Rate'!$B192,7)</f>
        <v>89,700 </v>
      </c>
      <c r="E192" s="501"/>
    </row>
    <row r="193" ht="14.25" customHeight="1">
      <c r="A193" s="503">
        <v>45225.416666666664</v>
      </c>
      <c r="B193" s="502" t="s">
        <v>1448</v>
      </c>
      <c r="C193" s="502" t="s">
        <v>1449</v>
      </c>
      <c r="D193" s="504" t="str">
        <f>LEFT('Live Rate'!$B193,7)</f>
        <v>89,700 </v>
      </c>
      <c r="E193" s="501"/>
    </row>
    <row r="194" ht="14.25" customHeight="1">
      <c r="A194" s="503">
        <v>45225.37569444445</v>
      </c>
      <c r="B194" s="502" t="s">
        <v>1448</v>
      </c>
      <c r="C194" s="502" t="s">
        <v>1449</v>
      </c>
      <c r="D194" s="504" t="str">
        <f>LEFT('Live Rate'!$B194,7)</f>
        <v>89,700 </v>
      </c>
      <c r="E194" s="501"/>
    </row>
    <row r="195" ht="14.25" customHeight="1">
      <c r="A195" s="503">
        <v>45225.334027777775</v>
      </c>
      <c r="B195" s="502" t="s">
        <v>1448</v>
      </c>
      <c r="C195" s="502" t="s">
        <v>1449</v>
      </c>
      <c r="D195" s="504" t="str">
        <f>LEFT('Live Rate'!$B195,7)</f>
        <v>89,700 </v>
      </c>
      <c r="E195" s="501"/>
    </row>
    <row r="196" ht="14.25" customHeight="1">
      <c r="A196" s="503">
        <v>45225.291666666664</v>
      </c>
      <c r="B196" s="502" t="s">
        <v>1448</v>
      </c>
      <c r="C196" s="502" t="s">
        <v>1449</v>
      </c>
      <c r="D196" s="504" t="str">
        <f>LEFT('Live Rate'!$B196,7)</f>
        <v>89,700 </v>
      </c>
      <c r="E196" s="501"/>
    </row>
    <row r="197" ht="14.25" customHeight="1">
      <c r="A197" s="503">
        <v>45225.25</v>
      </c>
      <c r="B197" s="502" t="s">
        <v>1448</v>
      </c>
      <c r="C197" s="502" t="s">
        <v>1449</v>
      </c>
      <c r="D197" s="504" t="str">
        <f>LEFT('Live Rate'!$B197,7)</f>
        <v>89,700 </v>
      </c>
      <c r="E197" s="501"/>
    </row>
    <row r="198" ht="14.25" customHeight="1">
      <c r="A198" s="503">
        <v>45225.209027777775</v>
      </c>
      <c r="B198" s="502" t="s">
        <v>1448</v>
      </c>
      <c r="C198" s="502" t="s">
        <v>1449</v>
      </c>
      <c r="D198" s="504" t="str">
        <f>LEFT('Live Rate'!$B198,7)</f>
        <v>89,700 </v>
      </c>
      <c r="E198" s="501"/>
    </row>
    <row r="199" ht="14.25" customHeight="1">
      <c r="A199" s="503">
        <v>45225.166666666664</v>
      </c>
      <c r="B199" s="502" t="s">
        <v>1448</v>
      </c>
      <c r="C199" s="502" t="s">
        <v>1449</v>
      </c>
      <c r="D199" s="504" t="str">
        <f>LEFT('Live Rate'!$B199,7)</f>
        <v>89,700 </v>
      </c>
      <c r="E199" s="501"/>
    </row>
    <row r="200" ht="14.25" customHeight="1">
      <c r="A200" s="503">
        <v>45225.125</v>
      </c>
      <c r="B200" s="502" t="s">
        <v>1448</v>
      </c>
      <c r="C200" s="502" t="s">
        <v>1449</v>
      </c>
      <c r="D200" s="504" t="str">
        <f>LEFT('Live Rate'!$B200,7)</f>
        <v>89,700 </v>
      </c>
      <c r="E200" s="501"/>
    </row>
    <row r="201" ht="14.25" customHeight="1">
      <c r="A201" s="503">
        <v>45225.083333333336</v>
      </c>
      <c r="B201" s="502" t="s">
        <v>1448</v>
      </c>
      <c r="C201" s="502" t="s">
        <v>1449</v>
      </c>
      <c r="D201" s="504" t="str">
        <f>LEFT('Live Rate'!$B201,7)</f>
        <v>89,700 </v>
      </c>
      <c r="E201" s="501"/>
    </row>
    <row r="202" ht="14.25" customHeight="1">
      <c r="A202" s="503">
        <v>45225.041666666664</v>
      </c>
      <c r="B202" s="502" t="s">
        <v>1448</v>
      </c>
      <c r="C202" s="502" t="s">
        <v>1449</v>
      </c>
      <c r="D202" s="504" t="str">
        <f>LEFT('Live Rate'!$B202,7)</f>
        <v>89,700 </v>
      </c>
      <c r="E202" s="501"/>
    </row>
    <row r="203" ht="14.25" customHeight="1">
      <c r="A203" s="503">
        <v>45225.0</v>
      </c>
      <c r="B203" s="502" t="s">
        <v>1448</v>
      </c>
      <c r="C203" s="502" t="s">
        <v>1449</v>
      </c>
      <c r="D203" s="504" t="str">
        <f>LEFT('Live Rate'!$B203,7)</f>
        <v>89,700 </v>
      </c>
      <c r="E203" s="501"/>
    </row>
    <row r="204" ht="14.25" customHeight="1">
      <c r="A204" s="503">
        <v>45224.5</v>
      </c>
      <c r="B204" s="502" t="s">
        <v>1448</v>
      </c>
      <c r="C204" s="502" t="s">
        <v>1449</v>
      </c>
      <c r="D204" s="504" t="str">
        <f>LEFT('Live Rate'!$B204,7)</f>
        <v>89,700 </v>
      </c>
      <c r="E204" s="501"/>
    </row>
    <row r="205" ht="14.25" customHeight="1">
      <c r="A205" s="503">
        <v>45224.458333333336</v>
      </c>
      <c r="B205" s="502" t="s">
        <v>1448</v>
      </c>
      <c r="C205" s="502" t="s">
        <v>1449</v>
      </c>
      <c r="D205" s="504" t="str">
        <f>LEFT('Live Rate'!$B205,7)</f>
        <v>89,700 </v>
      </c>
      <c r="E205" s="501"/>
    </row>
    <row r="206" ht="14.25" customHeight="1">
      <c r="A206" s="503">
        <v>45224.41736111111</v>
      </c>
      <c r="B206" s="502" t="s">
        <v>1448</v>
      </c>
      <c r="C206" s="502" t="s">
        <v>1449</v>
      </c>
      <c r="D206" s="504" t="str">
        <f>LEFT('Live Rate'!$B206,7)</f>
        <v>89,700 </v>
      </c>
      <c r="E206" s="501"/>
    </row>
    <row r="207" ht="14.25" customHeight="1">
      <c r="A207" s="503">
        <v>45224.375</v>
      </c>
      <c r="B207" s="502" t="s">
        <v>1448</v>
      </c>
      <c r="C207" s="502" t="s">
        <v>1449</v>
      </c>
      <c r="D207" s="504" t="str">
        <f>LEFT('Live Rate'!$B207,7)</f>
        <v>89,700 </v>
      </c>
      <c r="E207" s="501"/>
    </row>
    <row r="208" ht="14.25" customHeight="1">
      <c r="A208" s="503">
        <v>45224.334027777775</v>
      </c>
      <c r="B208" s="502" t="s">
        <v>1448</v>
      </c>
      <c r="C208" s="502" t="s">
        <v>1449</v>
      </c>
      <c r="D208" s="504" t="str">
        <f>LEFT('Live Rate'!$B208,7)</f>
        <v>89,700 </v>
      </c>
      <c r="E208" s="501"/>
    </row>
    <row r="209" ht="14.25" customHeight="1">
      <c r="A209" s="503">
        <v>45224.291666666664</v>
      </c>
      <c r="B209" s="502" t="s">
        <v>1448</v>
      </c>
      <c r="C209" s="502" t="s">
        <v>1449</v>
      </c>
      <c r="D209" s="504" t="str">
        <f>LEFT('Live Rate'!$B209,7)</f>
        <v>89,700 </v>
      </c>
      <c r="E209" s="501"/>
    </row>
    <row r="210" ht="14.25" customHeight="1">
      <c r="A210" s="503">
        <v>45224.25069444445</v>
      </c>
      <c r="B210" s="502" t="s">
        <v>1448</v>
      </c>
      <c r="C210" s="502" t="s">
        <v>1449</v>
      </c>
      <c r="D210" s="504" t="str">
        <f>LEFT('Live Rate'!$B210,7)</f>
        <v>89,700 </v>
      </c>
      <c r="E210" s="501"/>
    </row>
    <row r="211" ht="14.25" customHeight="1">
      <c r="A211" s="503">
        <v>45224.209027777775</v>
      </c>
      <c r="B211" s="502" t="s">
        <v>1448</v>
      </c>
      <c r="C211" s="502" t="s">
        <v>1449</v>
      </c>
      <c r="D211" s="504" t="str">
        <f>LEFT('Live Rate'!$B211,7)</f>
        <v>89,700 </v>
      </c>
      <c r="E211" s="501"/>
    </row>
    <row r="212" ht="14.25" customHeight="1">
      <c r="A212" s="503">
        <v>45224.16736111111</v>
      </c>
      <c r="B212" s="502" t="s">
        <v>1448</v>
      </c>
      <c r="C212" s="502" t="s">
        <v>1449</v>
      </c>
      <c r="D212" s="504" t="str">
        <f>LEFT('Live Rate'!$B212,7)</f>
        <v>89,700 </v>
      </c>
      <c r="E212" s="501"/>
    </row>
    <row r="213" ht="14.25" customHeight="1">
      <c r="A213" s="503">
        <v>45224.125</v>
      </c>
      <c r="B213" s="502" t="s">
        <v>1448</v>
      </c>
      <c r="C213" s="502" t="s">
        <v>1449</v>
      </c>
      <c r="D213" s="504" t="str">
        <f>LEFT('Live Rate'!$B213,7)</f>
        <v>89,700 </v>
      </c>
      <c r="E213" s="501"/>
    </row>
    <row r="214" ht="14.25" customHeight="1">
      <c r="A214" s="503">
        <v>45224.084027777775</v>
      </c>
      <c r="B214" s="502" t="s">
        <v>1448</v>
      </c>
      <c r="C214" s="502" t="s">
        <v>1449</v>
      </c>
      <c r="D214" s="504" t="str">
        <f>LEFT('Live Rate'!$B214,7)</f>
        <v>89,700 </v>
      </c>
      <c r="E214" s="501"/>
    </row>
    <row r="215" ht="14.25" customHeight="1">
      <c r="A215" s="503">
        <v>45224.041666666664</v>
      </c>
      <c r="B215" s="502" t="s">
        <v>1448</v>
      </c>
      <c r="C215" s="502" t="s">
        <v>1449</v>
      </c>
      <c r="D215" s="504" t="str">
        <f>LEFT('Live Rate'!$B215,7)</f>
        <v>89,700 </v>
      </c>
      <c r="E215" s="501"/>
    </row>
    <row r="216" ht="14.25" customHeight="1">
      <c r="A216" s="503">
        <v>45224.00069444445</v>
      </c>
      <c r="B216" s="502" t="s">
        <v>1448</v>
      </c>
      <c r="C216" s="502" t="s">
        <v>1449</v>
      </c>
      <c r="D216" s="504" t="str">
        <f>LEFT('Live Rate'!$B216,7)</f>
        <v>89,700 </v>
      </c>
      <c r="E216" s="501"/>
    </row>
    <row r="217" ht="14.25" customHeight="1">
      <c r="A217" s="503">
        <v>45223.5</v>
      </c>
      <c r="B217" s="502" t="s">
        <v>1448</v>
      </c>
      <c r="C217" s="502" t="s">
        <v>1449</v>
      </c>
      <c r="D217" s="504" t="str">
        <f>LEFT('Live Rate'!$B217,7)</f>
        <v>89,700 </v>
      </c>
      <c r="E217" s="501"/>
    </row>
    <row r="218" ht="14.25" customHeight="1">
      <c r="A218" s="503">
        <v>45223.459027777775</v>
      </c>
      <c r="B218" s="502" t="s">
        <v>1448</v>
      </c>
      <c r="C218" s="502" t="s">
        <v>1449</v>
      </c>
      <c r="D218" s="504" t="str">
        <f>LEFT('Live Rate'!$B218,7)</f>
        <v>89,700 </v>
      </c>
      <c r="E218" s="501"/>
    </row>
    <row r="219" ht="14.25" customHeight="1">
      <c r="A219" s="503">
        <v>45223.416666666664</v>
      </c>
      <c r="B219" s="502" t="s">
        <v>1448</v>
      </c>
      <c r="C219" s="502" t="s">
        <v>1449</v>
      </c>
      <c r="D219" s="504" t="str">
        <f>LEFT('Live Rate'!$B219,7)</f>
        <v>89,700 </v>
      </c>
      <c r="E219" s="501"/>
    </row>
    <row r="220" ht="14.25" customHeight="1">
      <c r="A220" s="503">
        <v>45223.375</v>
      </c>
      <c r="B220" s="502" t="s">
        <v>1448</v>
      </c>
      <c r="C220" s="502" t="s">
        <v>1449</v>
      </c>
      <c r="D220" s="504" t="str">
        <f>LEFT('Live Rate'!$B220,7)</f>
        <v>89,700 </v>
      </c>
      <c r="E220" s="501"/>
    </row>
    <row r="221" ht="14.25" customHeight="1">
      <c r="A221" s="503">
        <v>45223.333333333336</v>
      </c>
      <c r="B221" s="502" t="s">
        <v>1448</v>
      </c>
      <c r="C221" s="502" t="s">
        <v>1449</v>
      </c>
      <c r="D221" s="504" t="str">
        <f>LEFT('Live Rate'!$B221,7)</f>
        <v>89,700 </v>
      </c>
      <c r="E221" s="501"/>
    </row>
    <row r="222" ht="14.25" customHeight="1">
      <c r="A222" s="503">
        <v>45223.29236111111</v>
      </c>
      <c r="B222" s="502" t="s">
        <v>1448</v>
      </c>
      <c r="C222" s="502" t="s">
        <v>1449</v>
      </c>
      <c r="D222" s="504" t="str">
        <f>LEFT('Live Rate'!$B222,7)</f>
        <v>89,700 </v>
      </c>
      <c r="E222" s="501"/>
    </row>
    <row r="223" ht="14.25" customHeight="1">
      <c r="A223" s="503">
        <v>45223.25</v>
      </c>
      <c r="B223" s="502" t="s">
        <v>1448</v>
      </c>
      <c r="C223" s="502" t="s">
        <v>1449</v>
      </c>
      <c r="D223" s="504" t="str">
        <f>LEFT('Live Rate'!$B223,7)</f>
        <v>89,700 </v>
      </c>
      <c r="E223" s="501"/>
    </row>
    <row r="224" ht="14.25" customHeight="1">
      <c r="A224" s="503">
        <v>45223.208333333336</v>
      </c>
      <c r="B224" s="502" t="s">
        <v>1448</v>
      </c>
      <c r="C224" s="502" t="s">
        <v>1449</v>
      </c>
      <c r="D224" s="504" t="str">
        <f>LEFT('Live Rate'!$B224,7)</f>
        <v>89,700 </v>
      </c>
      <c r="E224" s="501"/>
    </row>
    <row r="225" ht="14.25" customHeight="1">
      <c r="A225" s="503">
        <v>45223.166666666664</v>
      </c>
      <c r="B225" s="502" t="s">
        <v>1448</v>
      </c>
      <c r="C225" s="502" t="s">
        <v>1449</v>
      </c>
      <c r="D225" s="504" t="str">
        <f>LEFT('Live Rate'!$B225,7)</f>
        <v>89,700 </v>
      </c>
      <c r="E225" s="501"/>
    </row>
    <row r="226" ht="14.25" customHeight="1">
      <c r="A226" s="503">
        <v>45223.12569444445</v>
      </c>
      <c r="B226" s="502" t="s">
        <v>1448</v>
      </c>
      <c r="C226" s="502" t="s">
        <v>1449</v>
      </c>
      <c r="D226" s="504" t="str">
        <f>LEFT('Live Rate'!$B226,7)</f>
        <v>89,700 </v>
      </c>
      <c r="E226" s="501"/>
    </row>
    <row r="227" ht="14.25" customHeight="1">
      <c r="A227" s="503">
        <v>45223.084027777775</v>
      </c>
      <c r="B227" s="502" t="s">
        <v>1448</v>
      </c>
      <c r="C227" s="502" t="s">
        <v>1449</v>
      </c>
      <c r="D227" s="504" t="str">
        <f>LEFT('Live Rate'!$B227,7)</f>
        <v>89,700 </v>
      </c>
      <c r="E227" s="501"/>
    </row>
    <row r="228" ht="14.25" customHeight="1">
      <c r="A228" s="503">
        <v>45223.041666666664</v>
      </c>
      <c r="B228" s="502" t="s">
        <v>1448</v>
      </c>
      <c r="C228" s="502" t="s">
        <v>1449</v>
      </c>
      <c r="D228" s="504" t="str">
        <f>LEFT('Live Rate'!$B228,7)</f>
        <v>89,700 </v>
      </c>
      <c r="E228" s="501"/>
    </row>
    <row r="229" ht="14.25" customHeight="1">
      <c r="A229" s="503">
        <v>45223.00069444445</v>
      </c>
      <c r="B229" s="502" t="s">
        <v>1448</v>
      </c>
      <c r="C229" s="502" t="s">
        <v>1449</v>
      </c>
      <c r="D229" s="504" t="str">
        <f>LEFT('Live Rate'!$B229,7)</f>
        <v>89,700 </v>
      </c>
      <c r="E229" s="501"/>
    </row>
    <row r="230" ht="14.25" customHeight="1">
      <c r="A230" s="503">
        <v>45222.50069444445</v>
      </c>
      <c r="B230" s="502" t="s">
        <v>1448</v>
      </c>
      <c r="C230" s="502" t="s">
        <v>1449</v>
      </c>
      <c r="D230" s="504" t="str">
        <f>LEFT('Live Rate'!$B230,7)</f>
        <v>89,700 </v>
      </c>
      <c r="E230" s="501"/>
    </row>
    <row r="231" ht="14.25" customHeight="1">
      <c r="A231" s="503">
        <v>45222.459027777775</v>
      </c>
      <c r="B231" s="502" t="s">
        <v>1448</v>
      </c>
      <c r="C231" s="502" t="s">
        <v>1449</v>
      </c>
      <c r="D231" s="504" t="str">
        <f>LEFT('Live Rate'!$B231,7)</f>
        <v>89,700 </v>
      </c>
      <c r="E231" s="501"/>
    </row>
    <row r="232" ht="14.25" customHeight="1">
      <c r="A232" s="503">
        <v>45222.41736111111</v>
      </c>
      <c r="B232" s="502" t="s">
        <v>1448</v>
      </c>
      <c r="C232" s="502" t="s">
        <v>1449</v>
      </c>
      <c r="D232" s="504" t="str">
        <f>LEFT('Live Rate'!$B232,7)</f>
        <v>89,700 </v>
      </c>
      <c r="E232" s="501"/>
    </row>
    <row r="233" ht="14.25" customHeight="1">
      <c r="A233" s="503">
        <v>45222.37569444445</v>
      </c>
      <c r="B233" s="502" t="s">
        <v>1448</v>
      </c>
      <c r="C233" s="502" t="s">
        <v>1449</v>
      </c>
      <c r="D233" s="504" t="str">
        <f>LEFT('Live Rate'!$B233,7)</f>
        <v>89,700 </v>
      </c>
      <c r="E233" s="501"/>
    </row>
    <row r="234" ht="14.25" customHeight="1">
      <c r="A234" s="503">
        <v>45222.333333333336</v>
      </c>
      <c r="B234" s="502" t="s">
        <v>1448</v>
      </c>
      <c r="C234" s="502" t="s">
        <v>1449</v>
      </c>
      <c r="D234" s="504" t="str">
        <f>LEFT('Live Rate'!$B234,7)</f>
        <v>89,700 </v>
      </c>
      <c r="E234" s="501"/>
    </row>
    <row r="235" ht="14.25" customHeight="1">
      <c r="A235" s="503">
        <v>45222.29305555556</v>
      </c>
      <c r="B235" s="502" t="s">
        <v>1448</v>
      </c>
      <c r="C235" s="502" t="s">
        <v>1449</v>
      </c>
      <c r="D235" s="504" t="str">
        <f>LEFT('Live Rate'!$B235,7)</f>
        <v>89,700 </v>
      </c>
      <c r="E235" s="501"/>
    </row>
    <row r="236" ht="14.25" customHeight="1">
      <c r="A236" s="503">
        <v>45222.25208333333</v>
      </c>
      <c r="B236" s="502" t="s">
        <v>1448</v>
      </c>
      <c r="C236" s="502" t="s">
        <v>1449</v>
      </c>
      <c r="D236" s="504" t="str">
        <f>LEFT('Live Rate'!$B236,7)</f>
        <v>89,700 </v>
      </c>
      <c r="E236" s="501"/>
    </row>
    <row r="237" ht="14.25" customHeight="1">
      <c r="A237" s="503">
        <v>45222.20972222222</v>
      </c>
      <c r="B237" s="502" t="s">
        <v>1448</v>
      </c>
      <c r="C237" s="502" t="s">
        <v>1449</v>
      </c>
      <c r="D237" s="504" t="str">
        <f>LEFT('Live Rate'!$B237,7)</f>
        <v>89,700 </v>
      </c>
      <c r="E237" s="501"/>
    </row>
    <row r="238" ht="14.25" customHeight="1">
      <c r="A238" s="503">
        <v>45222.16736111111</v>
      </c>
      <c r="B238" s="502" t="s">
        <v>1448</v>
      </c>
      <c r="C238" s="502" t="s">
        <v>1449</v>
      </c>
      <c r="D238" s="504" t="str">
        <f>LEFT('Live Rate'!$B238,7)</f>
        <v>89,700 </v>
      </c>
      <c r="E238" s="501"/>
    </row>
    <row r="239" ht="14.25" customHeight="1">
      <c r="A239" s="503">
        <v>45222.12569444445</v>
      </c>
      <c r="B239" s="502" t="s">
        <v>1448</v>
      </c>
      <c r="C239" s="502" t="s">
        <v>1449</v>
      </c>
      <c r="D239" s="504" t="str">
        <f>LEFT('Live Rate'!$B239,7)</f>
        <v>89,700 </v>
      </c>
      <c r="E239" s="501"/>
    </row>
    <row r="240" ht="14.25" customHeight="1">
      <c r="A240" s="503">
        <v>45222.084027777775</v>
      </c>
      <c r="B240" s="502" t="s">
        <v>1448</v>
      </c>
      <c r="C240" s="502" t="s">
        <v>1449</v>
      </c>
      <c r="D240" s="504" t="str">
        <f>LEFT('Live Rate'!$B240,7)</f>
        <v>89,700 </v>
      </c>
      <c r="E240" s="501"/>
    </row>
    <row r="241" ht="14.25" customHeight="1">
      <c r="A241" s="503">
        <v>45222.04583333333</v>
      </c>
      <c r="B241" s="502" t="s">
        <v>1448</v>
      </c>
      <c r="C241" s="502" t="s">
        <v>1449</v>
      </c>
      <c r="D241" s="504" t="str">
        <f>LEFT('Live Rate'!$B241,7)</f>
        <v>89,700 </v>
      </c>
      <c r="E241" s="501"/>
    </row>
    <row r="242" ht="14.25" customHeight="1">
      <c r="A242" s="503">
        <v>45222.01597222222</v>
      </c>
      <c r="B242" s="502" t="s">
        <v>1448</v>
      </c>
      <c r="C242" s="502" t="s">
        <v>1449</v>
      </c>
      <c r="D242" s="504" t="str">
        <f>LEFT('Live Rate'!$B242,7)</f>
        <v>89,700 </v>
      </c>
      <c r="E242" s="501"/>
    </row>
    <row r="243" ht="14.25" customHeight="1">
      <c r="A243" s="503">
        <v>45221.5</v>
      </c>
      <c r="B243" s="502" t="s">
        <v>1448</v>
      </c>
      <c r="C243" s="502" t="s">
        <v>1449</v>
      </c>
      <c r="D243" s="504" t="str">
        <f>LEFT('Live Rate'!$B243,7)</f>
        <v>89,700 </v>
      </c>
      <c r="E243" s="501"/>
    </row>
    <row r="244" ht="14.25" customHeight="1">
      <c r="A244" s="503">
        <v>45221.459027777775</v>
      </c>
      <c r="B244" s="502" t="s">
        <v>1448</v>
      </c>
      <c r="C244" s="502" t="s">
        <v>1449</v>
      </c>
      <c r="D244" s="504" t="str">
        <f>LEFT('Live Rate'!$B244,7)</f>
        <v>89,700 </v>
      </c>
      <c r="E244" s="501"/>
    </row>
    <row r="245" ht="14.25" customHeight="1">
      <c r="A245" s="503">
        <v>45221.41736111111</v>
      </c>
      <c r="B245" s="502" t="s">
        <v>1448</v>
      </c>
      <c r="C245" s="502" t="s">
        <v>1449</v>
      </c>
      <c r="D245" s="504" t="str">
        <f>LEFT('Live Rate'!$B245,7)</f>
        <v>89,700 </v>
      </c>
      <c r="E245" s="501"/>
    </row>
    <row r="246" ht="14.25" customHeight="1">
      <c r="A246" s="503">
        <v>45221.37569444445</v>
      </c>
      <c r="B246" s="502" t="s">
        <v>1448</v>
      </c>
      <c r="C246" s="502" t="s">
        <v>1449</v>
      </c>
      <c r="D246" s="504" t="str">
        <f>LEFT('Live Rate'!$B246,7)</f>
        <v>89,700 </v>
      </c>
      <c r="E246" s="501"/>
    </row>
    <row r="247" ht="14.25" customHeight="1">
      <c r="A247" s="503">
        <v>45221.334027777775</v>
      </c>
      <c r="B247" s="502" t="s">
        <v>1448</v>
      </c>
      <c r="C247" s="502" t="s">
        <v>1449</v>
      </c>
      <c r="D247" s="504" t="str">
        <f>LEFT('Live Rate'!$B247,7)</f>
        <v>89,700 </v>
      </c>
      <c r="E247" s="501"/>
    </row>
    <row r="248" ht="14.25" customHeight="1">
      <c r="A248" s="503">
        <v>45221.29236111111</v>
      </c>
      <c r="B248" s="502" t="s">
        <v>1448</v>
      </c>
      <c r="C248" s="502" t="s">
        <v>1449</v>
      </c>
      <c r="D248" s="504" t="str">
        <f>LEFT('Live Rate'!$B248,7)</f>
        <v>89,700 </v>
      </c>
      <c r="E248" s="501"/>
    </row>
    <row r="249" ht="14.25" customHeight="1">
      <c r="A249" s="503">
        <v>45221.25069444445</v>
      </c>
      <c r="B249" s="502" t="s">
        <v>1448</v>
      </c>
      <c r="C249" s="502" t="s">
        <v>1449</v>
      </c>
      <c r="D249" s="504" t="str">
        <f>LEFT('Live Rate'!$B249,7)</f>
        <v>89,700 </v>
      </c>
      <c r="E249" s="501"/>
    </row>
    <row r="250" ht="14.25" customHeight="1">
      <c r="A250" s="503">
        <v>45221.209027777775</v>
      </c>
      <c r="B250" s="502" t="s">
        <v>1448</v>
      </c>
      <c r="C250" s="502" t="s">
        <v>1449</v>
      </c>
      <c r="D250" s="504" t="str">
        <f>LEFT('Live Rate'!$B250,7)</f>
        <v>89,700 </v>
      </c>
      <c r="E250" s="501"/>
    </row>
    <row r="251" ht="14.25" customHeight="1">
      <c r="A251" s="503">
        <v>45221.166666666664</v>
      </c>
      <c r="B251" s="502" t="s">
        <v>1448</v>
      </c>
      <c r="C251" s="502" t="s">
        <v>1449</v>
      </c>
      <c r="D251" s="504" t="str">
        <f>LEFT('Live Rate'!$B251,7)</f>
        <v>89,700 </v>
      </c>
      <c r="E251" s="501"/>
    </row>
    <row r="252" ht="14.25" customHeight="1">
      <c r="A252" s="503">
        <v>45221.12569444445</v>
      </c>
      <c r="B252" s="502" t="s">
        <v>1448</v>
      </c>
      <c r="C252" s="502" t="s">
        <v>1449</v>
      </c>
      <c r="D252" s="504" t="str">
        <f>LEFT('Live Rate'!$B252,7)</f>
        <v>89,700 </v>
      </c>
      <c r="E252" s="501"/>
    </row>
    <row r="253" ht="14.25" customHeight="1">
      <c r="A253" s="503">
        <v>45221.084027777775</v>
      </c>
      <c r="B253" s="502" t="s">
        <v>1448</v>
      </c>
      <c r="C253" s="502" t="s">
        <v>1449</v>
      </c>
      <c r="D253" s="504" t="str">
        <f>LEFT('Live Rate'!$B253,7)</f>
        <v>89,700 </v>
      </c>
      <c r="E253" s="501"/>
    </row>
    <row r="254" ht="14.25" customHeight="1">
      <c r="A254" s="503">
        <v>45221.04236111111</v>
      </c>
      <c r="B254" s="502" t="s">
        <v>1448</v>
      </c>
      <c r="C254" s="502" t="s">
        <v>1449</v>
      </c>
      <c r="D254" s="504" t="str">
        <f>LEFT('Live Rate'!$B254,7)</f>
        <v>89,700 </v>
      </c>
      <c r="E254" s="501"/>
    </row>
    <row r="255" ht="14.25" customHeight="1">
      <c r="A255" s="503">
        <v>45221.0</v>
      </c>
      <c r="B255" s="502" t="s">
        <v>1448</v>
      </c>
      <c r="C255" s="502" t="s">
        <v>1449</v>
      </c>
      <c r="D255" s="504" t="str">
        <f>LEFT('Live Rate'!$B255,7)</f>
        <v>89,700 </v>
      </c>
      <c r="E255" s="501"/>
    </row>
    <row r="256" ht="14.25" customHeight="1">
      <c r="A256" s="503">
        <v>45220.50069444445</v>
      </c>
      <c r="B256" s="502" t="s">
        <v>1448</v>
      </c>
      <c r="C256" s="502" t="s">
        <v>1449</v>
      </c>
      <c r="D256" s="504" t="str">
        <f>LEFT('Live Rate'!$B256,7)</f>
        <v>89,700 </v>
      </c>
      <c r="E256" s="501"/>
    </row>
    <row r="257" ht="14.25" customHeight="1">
      <c r="A257" s="503">
        <v>45220.459027777775</v>
      </c>
      <c r="B257" s="502" t="s">
        <v>1448</v>
      </c>
      <c r="C257" s="502" t="s">
        <v>1449</v>
      </c>
      <c r="D257" s="504" t="str">
        <f>LEFT('Live Rate'!$B257,7)</f>
        <v>89,700 </v>
      </c>
      <c r="E257" s="501"/>
    </row>
    <row r="258" ht="14.25" customHeight="1">
      <c r="A258" s="503">
        <v>45220.41736111111</v>
      </c>
      <c r="B258" s="502" t="s">
        <v>1448</v>
      </c>
      <c r="C258" s="502" t="s">
        <v>1449</v>
      </c>
      <c r="D258" s="504" t="str">
        <f>LEFT('Live Rate'!$B258,7)</f>
        <v>89,700 </v>
      </c>
      <c r="E258" s="501"/>
    </row>
    <row r="259" ht="14.25" customHeight="1">
      <c r="A259" s="503">
        <v>45220.37569444445</v>
      </c>
      <c r="B259" s="502" t="s">
        <v>1448</v>
      </c>
      <c r="C259" s="502" t="s">
        <v>1449</v>
      </c>
      <c r="D259" s="504" t="str">
        <f>LEFT('Live Rate'!$B259,7)</f>
        <v>89,700 </v>
      </c>
      <c r="E259" s="501"/>
    </row>
    <row r="260" ht="14.25" customHeight="1">
      <c r="A260" s="503">
        <v>45220.334027777775</v>
      </c>
      <c r="B260" s="502" t="s">
        <v>1448</v>
      </c>
      <c r="C260" s="502" t="s">
        <v>1449</v>
      </c>
      <c r="D260" s="504" t="str">
        <f>LEFT('Live Rate'!$B260,7)</f>
        <v>89,700 </v>
      </c>
      <c r="E260" s="501"/>
    </row>
    <row r="261" ht="14.25" customHeight="1">
      <c r="A261" s="503">
        <v>45220.291666666664</v>
      </c>
      <c r="B261" s="502" t="s">
        <v>1448</v>
      </c>
      <c r="C261" s="502" t="s">
        <v>1449</v>
      </c>
      <c r="D261" s="504" t="str">
        <f>LEFT('Live Rate'!$B261,7)</f>
        <v>89,700 </v>
      </c>
      <c r="E261" s="501"/>
    </row>
    <row r="262" ht="14.25" customHeight="1">
      <c r="A262" s="503">
        <v>45220.25069444445</v>
      </c>
      <c r="B262" s="502" t="s">
        <v>1448</v>
      </c>
      <c r="C262" s="502" t="s">
        <v>1449</v>
      </c>
      <c r="D262" s="504" t="str">
        <f>LEFT('Live Rate'!$B262,7)</f>
        <v>89,700 </v>
      </c>
      <c r="E262" s="501"/>
    </row>
    <row r="263" ht="14.25" customHeight="1">
      <c r="A263" s="503">
        <v>45220.208333333336</v>
      </c>
      <c r="B263" s="502" t="s">
        <v>1448</v>
      </c>
      <c r="C263" s="502" t="s">
        <v>1449</v>
      </c>
      <c r="D263" s="504" t="str">
        <f>LEFT('Live Rate'!$B263,7)</f>
        <v>89,700 </v>
      </c>
      <c r="E263" s="501"/>
    </row>
    <row r="264" ht="14.25" customHeight="1">
      <c r="A264" s="503">
        <v>45220.16736111111</v>
      </c>
      <c r="B264" s="502" t="s">
        <v>1448</v>
      </c>
      <c r="C264" s="502" t="s">
        <v>1449</v>
      </c>
      <c r="D264" s="504" t="str">
        <f>LEFT('Live Rate'!$B264,7)</f>
        <v>89,700 </v>
      </c>
      <c r="E264" s="501"/>
    </row>
    <row r="265" ht="14.25" customHeight="1">
      <c r="A265" s="503">
        <v>45220.125</v>
      </c>
      <c r="B265" s="502" t="s">
        <v>1448</v>
      </c>
      <c r="C265" s="502" t="s">
        <v>1449</v>
      </c>
      <c r="D265" s="504" t="str">
        <f>LEFT('Live Rate'!$B265,7)</f>
        <v>89,700 </v>
      </c>
      <c r="E265" s="501"/>
    </row>
    <row r="266" ht="14.25" customHeight="1">
      <c r="A266" s="503">
        <v>45220.084027777775</v>
      </c>
      <c r="B266" s="502" t="s">
        <v>1448</v>
      </c>
      <c r="C266" s="502" t="s">
        <v>1449</v>
      </c>
      <c r="D266" s="504" t="str">
        <f>LEFT('Live Rate'!$B266,7)</f>
        <v>89,700 </v>
      </c>
      <c r="E266" s="501"/>
    </row>
    <row r="267" ht="14.25" customHeight="1">
      <c r="A267" s="503">
        <v>45220.04236111111</v>
      </c>
      <c r="B267" s="502" t="s">
        <v>1448</v>
      </c>
      <c r="C267" s="502" t="s">
        <v>1449</v>
      </c>
      <c r="D267" s="504" t="str">
        <f>LEFT('Live Rate'!$B267,7)</f>
        <v>89,700 </v>
      </c>
      <c r="E267" s="501"/>
    </row>
    <row r="268" ht="14.25" customHeight="1">
      <c r="A268" s="503">
        <v>45220.00069444445</v>
      </c>
      <c r="B268" s="502" t="s">
        <v>1448</v>
      </c>
      <c r="C268" s="502" t="s">
        <v>1449</v>
      </c>
      <c r="D268" s="504" t="str">
        <f>LEFT('Live Rate'!$B268,7)</f>
        <v>89,700 </v>
      </c>
      <c r="E268" s="501"/>
    </row>
    <row r="269" ht="14.25" customHeight="1">
      <c r="A269" s="503">
        <v>45219.50069444445</v>
      </c>
      <c r="B269" s="502" t="s">
        <v>1448</v>
      </c>
      <c r="C269" s="502" t="s">
        <v>1449</v>
      </c>
      <c r="D269" s="504" t="str">
        <f>LEFT('Live Rate'!$B269,7)</f>
        <v>89,700 </v>
      </c>
      <c r="E269" s="501"/>
    </row>
    <row r="270" ht="14.25" customHeight="1">
      <c r="A270" s="503">
        <v>45219.459027777775</v>
      </c>
      <c r="B270" s="502" t="s">
        <v>1448</v>
      </c>
      <c r="C270" s="502" t="s">
        <v>1449</v>
      </c>
      <c r="D270" s="504" t="str">
        <f>LEFT('Live Rate'!$B270,7)</f>
        <v>89,700 </v>
      </c>
      <c r="E270" s="501"/>
    </row>
    <row r="271" ht="14.25" customHeight="1">
      <c r="A271" s="503">
        <v>45219.41736111111</v>
      </c>
      <c r="B271" s="502" t="s">
        <v>1448</v>
      </c>
      <c r="C271" s="502" t="s">
        <v>1449</v>
      </c>
      <c r="D271" s="504" t="str">
        <f>LEFT('Live Rate'!$B271,7)</f>
        <v>89,700 </v>
      </c>
      <c r="E271" s="501"/>
    </row>
    <row r="272" ht="14.25" customHeight="1">
      <c r="A272" s="503">
        <v>45219.37569444445</v>
      </c>
      <c r="B272" s="502" t="s">
        <v>1448</v>
      </c>
      <c r="C272" s="502" t="s">
        <v>1449</v>
      </c>
      <c r="D272" s="504" t="str">
        <f>LEFT('Live Rate'!$B272,7)</f>
        <v>89,700 </v>
      </c>
      <c r="E272" s="501"/>
    </row>
    <row r="273" ht="14.25" customHeight="1">
      <c r="A273" s="503">
        <v>45219.334027777775</v>
      </c>
      <c r="B273" s="502" t="s">
        <v>1448</v>
      </c>
      <c r="C273" s="502" t="s">
        <v>1449</v>
      </c>
      <c r="D273" s="504" t="str">
        <f>LEFT('Live Rate'!$B273,7)</f>
        <v>89,700 </v>
      </c>
      <c r="E273" s="501"/>
    </row>
    <row r="274" ht="14.25" customHeight="1">
      <c r="A274" s="503">
        <v>45219.291666666664</v>
      </c>
      <c r="B274" s="502" t="s">
        <v>1448</v>
      </c>
      <c r="C274" s="502" t="s">
        <v>1449</v>
      </c>
      <c r="D274" s="504" t="str">
        <f>LEFT('Live Rate'!$B274,7)</f>
        <v>89,700 </v>
      </c>
      <c r="E274" s="501"/>
    </row>
    <row r="275" ht="14.25" customHeight="1">
      <c r="A275" s="503">
        <v>45219.25069444445</v>
      </c>
      <c r="B275" s="502" t="s">
        <v>1448</v>
      </c>
      <c r="C275" s="502" t="s">
        <v>1449</v>
      </c>
      <c r="D275" s="504" t="str">
        <f>LEFT('Live Rate'!$B275,7)</f>
        <v>89,700 </v>
      </c>
      <c r="E275" s="501"/>
    </row>
    <row r="276" ht="14.25" customHeight="1">
      <c r="A276" s="503">
        <v>45219.209027777775</v>
      </c>
      <c r="B276" s="502" t="s">
        <v>1448</v>
      </c>
      <c r="C276" s="502" t="s">
        <v>1449</v>
      </c>
      <c r="D276" s="504" t="str">
        <f>LEFT('Live Rate'!$B276,7)</f>
        <v>89,700 </v>
      </c>
      <c r="E276" s="501"/>
    </row>
    <row r="277" ht="14.25" customHeight="1">
      <c r="A277" s="503">
        <v>45219.166666666664</v>
      </c>
      <c r="B277" s="502" t="s">
        <v>1448</v>
      </c>
      <c r="C277" s="502" t="s">
        <v>1449</v>
      </c>
      <c r="D277" s="504" t="str">
        <f>LEFT('Live Rate'!$B277,7)</f>
        <v>89,700 </v>
      </c>
      <c r="E277" s="501"/>
    </row>
    <row r="278" ht="14.25" customHeight="1">
      <c r="A278" s="503">
        <v>45219.12569444445</v>
      </c>
      <c r="B278" s="502" t="s">
        <v>1448</v>
      </c>
      <c r="C278" s="502" t="s">
        <v>1449</v>
      </c>
      <c r="D278" s="504" t="str">
        <f>LEFT('Live Rate'!$B278,7)</f>
        <v>89,700 </v>
      </c>
      <c r="E278" s="501"/>
    </row>
    <row r="279" ht="14.25" customHeight="1">
      <c r="A279" s="503">
        <v>45219.084027777775</v>
      </c>
      <c r="B279" s="502" t="s">
        <v>1448</v>
      </c>
      <c r="C279" s="502" t="s">
        <v>1449</v>
      </c>
      <c r="D279" s="504" t="str">
        <f>LEFT('Live Rate'!$B279,7)</f>
        <v>89,700 </v>
      </c>
      <c r="E279" s="501"/>
    </row>
    <row r="280" ht="14.25" customHeight="1">
      <c r="A280" s="503">
        <v>45219.04236111111</v>
      </c>
      <c r="B280" s="502" t="s">
        <v>1448</v>
      </c>
      <c r="C280" s="502" t="s">
        <v>1449</v>
      </c>
      <c r="D280" s="504" t="str">
        <f>LEFT('Live Rate'!$B280,7)</f>
        <v>89,700 </v>
      </c>
      <c r="E280" s="501"/>
    </row>
    <row r="281" ht="14.25" customHeight="1">
      <c r="A281" s="503">
        <v>45219.0</v>
      </c>
      <c r="B281" s="502" t="s">
        <v>1448</v>
      </c>
      <c r="C281" s="502" t="s">
        <v>1449</v>
      </c>
      <c r="D281" s="504" t="str">
        <f>LEFT('Live Rate'!$B281,7)</f>
        <v>89,700 </v>
      </c>
      <c r="E281" s="501"/>
    </row>
    <row r="282" ht="14.25" customHeight="1">
      <c r="A282" s="503">
        <v>45218.50069444445</v>
      </c>
      <c r="B282" s="502" t="s">
        <v>1448</v>
      </c>
      <c r="C282" s="502" t="s">
        <v>1449</v>
      </c>
      <c r="D282" s="504" t="str">
        <f>LEFT('Live Rate'!$B282,7)</f>
        <v>89,700 </v>
      </c>
      <c r="E282" s="501"/>
    </row>
    <row r="283" ht="14.25" customHeight="1">
      <c r="A283" s="503">
        <v>45218.458333333336</v>
      </c>
      <c r="B283" s="502" t="s">
        <v>1448</v>
      </c>
      <c r="C283" s="502" t="s">
        <v>1449</v>
      </c>
      <c r="D283" s="504" t="str">
        <f>LEFT('Live Rate'!$B283,7)</f>
        <v>89,700 </v>
      </c>
      <c r="E283" s="501"/>
    </row>
    <row r="284" ht="14.25" customHeight="1">
      <c r="A284" s="503">
        <v>45218.41736111111</v>
      </c>
      <c r="B284" s="502" t="s">
        <v>1448</v>
      </c>
      <c r="C284" s="502" t="s">
        <v>1449</v>
      </c>
      <c r="D284" s="504" t="str">
        <f>LEFT('Live Rate'!$B284,7)</f>
        <v>89,700 </v>
      </c>
      <c r="E284" s="501"/>
    </row>
    <row r="285" ht="14.25" customHeight="1">
      <c r="A285" s="503">
        <v>45218.37569444445</v>
      </c>
      <c r="B285" s="502" t="s">
        <v>1448</v>
      </c>
      <c r="C285" s="502" t="s">
        <v>1449</v>
      </c>
      <c r="D285" s="504" t="str">
        <f>LEFT('Live Rate'!$B285,7)</f>
        <v>89,700 </v>
      </c>
      <c r="E285" s="501"/>
    </row>
    <row r="286" ht="14.25" customHeight="1">
      <c r="A286" s="503">
        <v>45218.334027777775</v>
      </c>
      <c r="B286" s="502" t="s">
        <v>1448</v>
      </c>
      <c r="C286" s="502" t="s">
        <v>1449</v>
      </c>
      <c r="D286" s="504" t="str">
        <f>LEFT('Live Rate'!$B286,7)</f>
        <v>89,700 </v>
      </c>
      <c r="E286" s="501"/>
    </row>
    <row r="287" ht="14.25" customHeight="1">
      <c r="A287" s="503">
        <v>45218.29236111111</v>
      </c>
      <c r="B287" s="502" t="s">
        <v>1448</v>
      </c>
      <c r="C287" s="502" t="s">
        <v>1449</v>
      </c>
      <c r="D287" s="504" t="str">
        <f>LEFT('Live Rate'!$B287,7)</f>
        <v>89,700 </v>
      </c>
      <c r="E287" s="501"/>
    </row>
    <row r="288" ht="14.25" customHeight="1">
      <c r="A288" s="503">
        <v>45218.25069444445</v>
      </c>
      <c r="B288" s="502" t="s">
        <v>1448</v>
      </c>
      <c r="C288" s="502" t="s">
        <v>1449</v>
      </c>
      <c r="D288" s="504" t="str">
        <f>LEFT('Live Rate'!$B288,7)</f>
        <v>89,700 </v>
      </c>
      <c r="E288" s="501"/>
    </row>
    <row r="289" ht="14.25" customHeight="1">
      <c r="A289" s="503">
        <v>45218.208333333336</v>
      </c>
      <c r="B289" s="502" t="s">
        <v>1448</v>
      </c>
      <c r="C289" s="502" t="s">
        <v>1449</v>
      </c>
      <c r="D289" s="504" t="str">
        <f>LEFT('Live Rate'!$B289,7)</f>
        <v>89,700 </v>
      </c>
      <c r="E289" s="501"/>
    </row>
    <row r="290" ht="14.25" customHeight="1">
      <c r="A290" s="503">
        <v>45218.166666666664</v>
      </c>
      <c r="B290" s="502" t="s">
        <v>1448</v>
      </c>
      <c r="C290" s="502" t="s">
        <v>1449</v>
      </c>
      <c r="D290" s="504" t="str">
        <f>LEFT('Live Rate'!$B290,7)</f>
        <v>89,700 </v>
      </c>
      <c r="E290" s="501"/>
    </row>
    <row r="291" ht="14.25" customHeight="1">
      <c r="A291" s="503">
        <v>45218.125</v>
      </c>
      <c r="B291" s="502" t="s">
        <v>1448</v>
      </c>
      <c r="C291" s="502" t="s">
        <v>1449</v>
      </c>
      <c r="D291" s="504" t="str">
        <f>LEFT('Live Rate'!$B291,7)</f>
        <v>89,700 </v>
      </c>
      <c r="E291" s="501"/>
    </row>
    <row r="292" ht="14.25" customHeight="1">
      <c r="A292" s="503">
        <v>45218.084027777775</v>
      </c>
      <c r="B292" s="502" t="s">
        <v>1448</v>
      </c>
      <c r="C292" s="502" t="s">
        <v>1449</v>
      </c>
      <c r="D292" s="504" t="str">
        <f>LEFT('Live Rate'!$B292,7)</f>
        <v>89,700 </v>
      </c>
      <c r="E292" s="501"/>
    </row>
    <row r="293" ht="14.25" customHeight="1">
      <c r="A293" s="503">
        <v>45218.04236111111</v>
      </c>
      <c r="B293" s="502" t="s">
        <v>1448</v>
      </c>
      <c r="C293" s="502" t="s">
        <v>1449</v>
      </c>
      <c r="D293" s="504" t="str">
        <f>LEFT('Live Rate'!$B293,7)</f>
        <v>89,700 </v>
      </c>
      <c r="E293" s="501"/>
    </row>
    <row r="294" ht="14.25" customHeight="1">
      <c r="A294" s="503">
        <v>45218.00069444445</v>
      </c>
      <c r="B294" s="502" t="s">
        <v>1448</v>
      </c>
      <c r="C294" s="502" t="s">
        <v>1449</v>
      </c>
      <c r="D294" s="504" t="str">
        <f>LEFT('Live Rate'!$B294,7)</f>
        <v>89,700 </v>
      </c>
      <c r="E294" s="501"/>
    </row>
    <row r="295" ht="14.25" customHeight="1">
      <c r="A295" s="503">
        <v>45217.50069444445</v>
      </c>
      <c r="B295" s="502" t="s">
        <v>1448</v>
      </c>
      <c r="C295" s="502" t="s">
        <v>1449</v>
      </c>
      <c r="D295" s="504" t="str">
        <f>LEFT('Live Rate'!$B295,7)</f>
        <v>89,700 </v>
      </c>
      <c r="E295" s="501"/>
    </row>
    <row r="296" ht="14.25" customHeight="1">
      <c r="A296" s="503">
        <v>45217.458333333336</v>
      </c>
      <c r="B296" s="502" t="s">
        <v>1448</v>
      </c>
      <c r="C296" s="502" t="s">
        <v>1449</v>
      </c>
      <c r="D296" s="504" t="str">
        <f>LEFT('Live Rate'!$B296,7)</f>
        <v>89,700 </v>
      </c>
      <c r="E296" s="501"/>
    </row>
    <row r="297" ht="14.25" customHeight="1">
      <c r="A297" s="503">
        <v>45217.416666666664</v>
      </c>
      <c r="B297" s="502" t="s">
        <v>1448</v>
      </c>
      <c r="C297" s="502" t="s">
        <v>1449</v>
      </c>
      <c r="D297" s="504" t="str">
        <f>LEFT('Live Rate'!$B297,7)</f>
        <v>89,700 </v>
      </c>
      <c r="E297" s="501"/>
    </row>
    <row r="298" ht="14.25" customHeight="1">
      <c r="A298" s="503">
        <v>45217.37569444445</v>
      </c>
      <c r="B298" s="502" t="s">
        <v>1448</v>
      </c>
      <c r="C298" s="502" t="s">
        <v>1449</v>
      </c>
      <c r="D298" s="504" t="str">
        <f>LEFT('Live Rate'!$B298,7)</f>
        <v>89,700 </v>
      </c>
      <c r="E298" s="501"/>
    </row>
    <row r="299" ht="14.25" customHeight="1">
      <c r="A299" s="503">
        <v>45217.333333333336</v>
      </c>
      <c r="B299" s="502" t="s">
        <v>1448</v>
      </c>
      <c r="C299" s="502" t="s">
        <v>1449</v>
      </c>
      <c r="D299" s="504" t="str">
        <f>LEFT('Live Rate'!$B299,7)</f>
        <v>89,700 </v>
      </c>
      <c r="E299" s="501"/>
    </row>
    <row r="300" ht="14.25" customHeight="1">
      <c r="A300" s="503">
        <v>45217.291666666664</v>
      </c>
      <c r="B300" s="502" t="s">
        <v>1448</v>
      </c>
      <c r="C300" s="502" t="s">
        <v>1449</v>
      </c>
      <c r="D300" s="504" t="str">
        <f>LEFT('Live Rate'!$B300,7)</f>
        <v>89,700 </v>
      </c>
      <c r="E300" s="501"/>
    </row>
    <row r="301" ht="14.25" customHeight="1">
      <c r="A301" s="503">
        <v>45217.25</v>
      </c>
      <c r="B301" s="502" t="s">
        <v>1448</v>
      </c>
      <c r="C301" s="502" t="s">
        <v>1449</v>
      </c>
      <c r="D301" s="504" t="str">
        <f>LEFT('Live Rate'!$B301,7)</f>
        <v>89,700 </v>
      </c>
      <c r="E301" s="501"/>
    </row>
    <row r="302" ht="14.25" customHeight="1">
      <c r="A302" s="503">
        <v>45217.208333333336</v>
      </c>
      <c r="B302" s="502" t="s">
        <v>1448</v>
      </c>
      <c r="C302" s="502" t="s">
        <v>1449</v>
      </c>
      <c r="D302" s="504" t="str">
        <f>LEFT('Live Rate'!$B302,7)</f>
        <v>89,700 </v>
      </c>
      <c r="E302" s="501"/>
    </row>
    <row r="303" ht="14.25" customHeight="1">
      <c r="A303" s="503">
        <v>45217.166666666664</v>
      </c>
      <c r="B303" s="502" t="s">
        <v>1448</v>
      </c>
      <c r="C303" s="502" t="s">
        <v>1449</v>
      </c>
      <c r="D303" s="504" t="str">
        <f>LEFT('Live Rate'!$B303,7)</f>
        <v>89,700 </v>
      </c>
      <c r="E303" s="501"/>
    </row>
    <row r="304" ht="14.25" customHeight="1">
      <c r="A304" s="503">
        <v>45217.125</v>
      </c>
      <c r="B304" s="502" t="s">
        <v>1448</v>
      </c>
      <c r="C304" s="502" t="s">
        <v>1449</v>
      </c>
      <c r="D304" s="504" t="str">
        <f>LEFT('Live Rate'!$B304,7)</f>
        <v>89,700 </v>
      </c>
      <c r="E304" s="501"/>
    </row>
    <row r="305" ht="14.25" customHeight="1">
      <c r="A305" s="503">
        <v>45217.084027777775</v>
      </c>
      <c r="B305" s="502" t="s">
        <v>1448</v>
      </c>
      <c r="C305" s="502" t="s">
        <v>1449</v>
      </c>
      <c r="D305" s="504" t="str">
        <f>LEFT('Live Rate'!$B305,7)</f>
        <v>89,700 </v>
      </c>
      <c r="E305" s="501"/>
    </row>
    <row r="306" ht="14.25" customHeight="1">
      <c r="A306" s="503">
        <v>45217.041666666664</v>
      </c>
      <c r="B306" s="502" t="s">
        <v>1448</v>
      </c>
      <c r="C306" s="502" t="s">
        <v>1449</v>
      </c>
      <c r="D306" s="504" t="str">
        <f>LEFT('Live Rate'!$B306,7)</f>
        <v>89,700 </v>
      </c>
      <c r="E306" s="501"/>
    </row>
    <row r="307" ht="14.25" customHeight="1">
      <c r="A307" s="503">
        <v>45217.00069444445</v>
      </c>
      <c r="B307" s="502" t="s">
        <v>1448</v>
      </c>
      <c r="C307" s="502" t="s">
        <v>1449</v>
      </c>
      <c r="D307" s="504" t="str">
        <f>LEFT('Live Rate'!$B307,7)</f>
        <v>89,700 </v>
      </c>
      <c r="E307" s="501"/>
    </row>
    <row r="308" ht="14.25" customHeight="1">
      <c r="A308" s="503">
        <v>45216.50069444445</v>
      </c>
      <c r="B308" s="502" t="s">
        <v>1448</v>
      </c>
      <c r="C308" s="502" t="s">
        <v>1449</v>
      </c>
      <c r="D308" s="504" t="str">
        <f>LEFT('Live Rate'!$B308,7)</f>
        <v>89,700 </v>
      </c>
      <c r="E308" s="501"/>
    </row>
    <row r="309" ht="14.25" customHeight="1">
      <c r="A309" s="503">
        <v>45216.459027777775</v>
      </c>
      <c r="B309" s="502" t="s">
        <v>1448</v>
      </c>
      <c r="C309" s="502" t="s">
        <v>1449</v>
      </c>
      <c r="D309" s="504" t="str">
        <f>LEFT('Live Rate'!$B309,7)</f>
        <v>89,700 </v>
      </c>
      <c r="E309" s="501"/>
    </row>
    <row r="310" ht="14.25" customHeight="1">
      <c r="A310" s="503">
        <v>45216.41736111111</v>
      </c>
      <c r="B310" s="502" t="s">
        <v>1448</v>
      </c>
      <c r="C310" s="502" t="s">
        <v>1449</v>
      </c>
      <c r="D310" s="504" t="str">
        <f>LEFT('Live Rate'!$B310,7)</f>
        <v>89,700 </v>
      </c>
      <c r="E310" s="501"/>
    </row>
    <row r="311" ht="14.25" customHeight="1">
      <c r="A311" s="503">
        <v>45216.375</v>
      </c>
      <c r="B311" s="502" t="s">
        <v>1448</v>
      </c>
      <c r="C311" s="502" t="s">
        <v>1449</v>
      </c>
      <c r="D311" s="504" t="str">
        <f>LEFT('Live Rate'!$B311,7)</f>
        <v>89,700 </v>
      </c>
      <c r="E311" s="501"/>
    </row>
    <row r="312" ht="14.25" customHeight="1">
      <c r="A312" s="503">
        <v>45216.334027777775</v>
      </c>
      <c r="B312" s="502" t="s">
        <v>1448</v>
      </c>
      <c r="C312" s="502" t="s">
        <v>1449</v>
      </c>
      <c r="D312" s="504" t="str">
        <f>LEFT('Live Rate'!$B312,7)</f>
        <v>89,700 </v>
      </c>
      <c r="E312" s="501"/>
    </row>
    <row r="313" ht="14.25" customHeight="1">
      <c r="A313" s="503">
        <v>45216.291666666664</v>
      </c>
      <c r="B313" s="502" t="s">
        <v>1448</v>
      </c>
      <c r="C313" s="502" t="s">
        <v>1449</v>
      </c>
      <c r="D313" s="504" t="str">
        <f>LEFT('Live Rate'!$B313,7)</f>
        <v>89,700 </v>
      </c>
      <c r="E313" s="501"/>
    </row>
    <row r="314" ht="14.25" customHeight="1">
      <c r="A314" s="503">
        <v>45216.25</v>
      </c>
      <c r="B314" s="502" t="s">
        <v>1448</v>
      </c>
      <c r="C314" s="502" t="s">
        <v>1449</v>
      </c>
      <c r="D314" s="504" t="str">
        <f>LEFT('Live Rate'!$B314,7)</f>
        <v>89,700 </v>
      </c>
      <c r="E314" s="501"/>
    </row>
    <row r="315" ht="14.25" customHeight="1">
      <c r="A315" s="503">
        <v>45216.209027777775</v>
      </c>
      <c r="B315" s="502" t="s">
        <v>1448</v>
      </c>
      <c r="C315" s="502" t="s">
        <v>1449</v>
      </c>
      <c r="D315" s="504" t="str">
        <f>LEFT('Live Rate'!$B315,7)</f>
        <v>89,700 </v>
      </c>
      <c r="E315" s="501"/>
    </row>
    <row r="316" ht="14.25" customHeight="1">
      <c r="A316" s="503">
        <v>45216.16736111111</v>
      </c>
      <c r="B316" s="502" t="s">
        <v>1448</v>
      </c>
      <c r="C316" s="502" t="s">
        <v>1449</v>
      </c>
      <c r="D316" s="504" t="str">
        <f>LEFT('Live Rate'!$B316,7)</f>
        <v>89,700 </v>
      </c>
      <c r="E316" s="501"/>
    </row>
    <row r="317" ht="14.25" customHeight="1">
      <c r="A317" s="503">
        <v>45216.125</v>
      </c>
      <c r="B317" s="502" t="s">
        <v>1448</v>
      </c>
      <c r="C317" s="502" t="s">
        <v>1449</v>
      </c>
      <c r="D317" s="504" t="str">
        <f>LEFT('Live Rate'!$B317,7)</f>
        <v>89,700 </v>
      </c>
      <c r="E317" s="501"/>
    </row>
    <row r="318" ht="14.25" customHeight="1">
      <c r="A318" s="503">
        <v>45216.084027777775</v>
      </c>
      <c r="B318" s="502" t="s">
        <v>1448</v>
      </c>
      <c r="C318" s="502" t="s">
        <v>1449</v>
      </c>
      <c r="D318" s="504" t="str">
        <f>LEFT('Live Rate'!$B318,7)</f>
        <v>89,700 </v>
      </c>
      <c r="E318" s="501"/>
    </row>
    <row r="319" ht="14.25" customHeight="1">
      <c r="A319" s="503">
        <v>45216.041666666664</v>
      </c>
      <c r="B319" s="502" t="s">
        <v>1448</v>
      </c>
      <c r="C319" s="502" t="s">
        <v>1449</v>
      </c>
      <c r="D319" s="504" t="str">
        <f>LEFT('Live Rate'!$B319,7)</f>
        <v>89,700 </v>
      </c>
      <c r="E319" s="501"/>
    </row>
    <row r="320" ht="14.25" customHeight="1">
      <c r="A320" s="503">
        <v>45216.0</v>
      </c>
      <c r="B320" s="502" t="s">
        <v>1448</v>
      </c>
      <c r="C320" s="502" t="s">
        <v>1449</v>
      </c>
      <c r="D320" s="504" t="str">
        <f>LEFT('Live Rate'!$B320,7)</f>
        <v>89,700 </v>
      </c>
      <c r="E320" s="501"/>
    </row>
    <row r="321" ht="14.25" customHeight="1">
      <c r="A321" s="503">
        <v>45215.50069444445</v>
      </c>
      <c r="B321" s="502" t="s">
        <v>1448</v>
      </c>
      <c r="C321" s="502" t="s">
        <v>1449</v>
      </c>
      <c r="D321" s="504" t="str">
        <f>LEFT('Live Rate'!$B321,7)</f>
        <v>89,700 </v>
      </c>
      <c r="E321" s="501"/>
    </row>
    <row r="322" ht="14.25" customHeight="1">
      <c r="A322" s="503">
        <v>45215.459027777775</v>
      </c>
      <c r="B322" s="502" t="s">
        <v>1448</v>
      </c>
      <c r="C322" s="502" t="s">
        <v>1449</v>
      </c>
      <c r="D322" s="504" t="str">
        <f>LEFT('Live Rate'!$B322,7)</f>
        <v>89,700 </v>
      </c>
      <c r="E322" s="501"/>
    </row>
    <row r="323" ht="14.25" customHeight="1">
      <c r="A323" s="503">
        <v>45215.416666666664</v>
      </c>
      <c r="B323" s="502" t="s">
        <v>1448</v>
      </c>
      <c r="C323" s="502" t="s">
        <v>1449</v>
      </c>
      <c r="D323" s="504" t="str">
        <f>LEFT('Live Rate'!$B323,7)</f>
        <v>89,700 </v>
      </c>
      <c r="E323" s="501"/>
    </row>
    <row r="324" ht="14.25" customHeight="1">
      <c r="A324" s="503">
        <v>45215.375</v>
      </c>
      <c r="B324" s="502" t="s">
        <v>1448</v>
      </c>
      <c r="C324" s="502" t="s">
        <v>1449</v>
      </c>
      <c r="D324" s="504" t="str">
        <f>LEFT('Live Rate'!$B324,7)</f>
        <v>89,700 </v>
      </c>
      <c r="E324" s="501"/>
    </row>
    <row r="325" ht="14.25" customHeight="1">
      <c r="A325" s="503">
        <v>45215.333333333336</v>
      </c>
      <c r="B325" s="502" t="s">
        <v>1448</v>
      </c>
      <c r="C325" s="502" t="s">
        <v>1449</v>
      </c>
      <c r="D325" s="504" t="str">
        <f>LEFT('Live Rate'!$B325,7)</f>
        <v>89,700 </v>
      </c>
      <c r="E325" s="501"/>
    </row>
    <row r="326" ht="14.25" customHeight="1">
      <c r="A326" s="503">
        <v>45215.291666666664</v>
      </c>
      <c r="B326" s="502" t="s">
        <v>1448</v>
      </c>
      <c r="C326" s="502" t="s">
        <v>1449</v>
      </c>
      <c r="D326" s="504" t="str">
        <f>LEFT('Live Rate'!$B326,7)</f>
        <v>89,700 </v>
      </c>
      <c r="E326" s="501"/>
    </row>
    <row r="327" ht="14.25" customHeight="1">
      <c r="A327" s="503">
        <v>45215.25069444445</v>
      </c>
      <c r="B327" s="502" t="s">
        <v>1448</v>
      </c>
      <c r="C327" s="502" t="s">
        <v>1449</v>
      </c>
      <c r="D327" s="504" t="str">
        <f>LEFT('Live Rate'!$B327,7)</f>
        <v>89,700 </v>
      </c>
      <c r="E327" s="501"/>
    </row>
    <row r="328" ht="14.25" customHeight="1">
      <c r="A328" s="503">
        <v>45215.209027777775</v>
      </c>
      <c r="B328" s="502" t="s">
        <v>1448</v>
      </c>
      <c r="C328" s="502" t="s">
        <v>1449</v>
      </c>
      <c r="D328" s="504" t="str">
        <f>LEFT('Live Rate'!$B328,7)</f>
        <v>89,700 </v>
      </c>
      <c r="E328" s="501"/>
    </row>
    <row r="329" ht="14.25" customHeight="1">
      <c r="A329" s="503">
        <v>45215.166666666664</v>
      </c>
      <c r="B329" s="502" t="s">
        <v>1448</v>
      </c>
      <c r="C329" s="502" t="s">
        <v>1449</v>
      </c>
      <c r="D329" s="504" t="str">
        <f>LEFT('Live Rate'!$B329,7)</f>
        <v>89,700 </v>
      </c>
      <c r="E329" s="501"/>
    </row>
    <row r="330" ht="14.25" customHeight="1">
      <c r="A330" s="503">
        <v>45215.12569444445</v>
      </c>
      <c r="B330" s="502" t="s">
        <v>1448</v>
      </c>
      <c r="C330" s="502" t="s">
        <v>1449</v>
      </c>
      <c r="D330" s="504" t="str">
        <f>LEFT('Live Rate'!$B330,7)</f>
        <v>89,700 </v>
      </c>
      <c r="E330" s="501"/>
    </row>
    <row r="331" ht="14.25" customHeight="1">
      <c r="A331" s="503">
        <v>45215.084027777775</v>
      </c>
      <c r="B331" s="502" t="s">
        <v>1448</v>
      </c>
      <c r="C331" s="502" t="s">
        <v>1449</v>
      </c>
      <c r="D331" s="504" t="str">
        <f>LEFT('Live Rate'!$B331,7)</f>
        <v>89,700 </v>
      </c>
      <c r="E331" s="501"/>
    </row>
    <row r="332" ht="14.25" customHeight="1">
      <c r="A332" s="503">
        <v>45215.041666666664</v>
      </c>
      <c r="B332" s="502" t="s">
        <v>1448</v>
      </c>
      <c r="C332" s="502" t="s">
        <v>1449</v>
      </c>
      <c r="D332" s="504" t="str">
        <f>LEFT('Live Rate'!$B332,7)</f>
        <v>89,700 </v>
      </c>
      <c r="E332" s="501"/>
    </row>
    <row r="333" ht="14.25" customHeight="1">
      <c r="A333" s="503">
        <v>45215.00069444445</v>
      </c>
      <c r="B333" s="502" t="s">
        <v>1448</v>
      </c>
      <c r="C333" s="502" t="s">
        <v>1449</v>
      </c>
      <c r="D333" s="504" t="str">
        <f>LEFT('Live Rate'!$B333,7)</f>
        <v>89,700 </v>
      </c>
      <c r="E333" s="501"/>
    </row>
    <row r="334" ht="14.25" customHeight="1">
      <c r="A334" s="503">
        <v>45214.5</v>
      </c>
      <c r="B334" s="502" t="s">
        <v>1448</v>
      </c>
      <c r="C334" s="502" t="s">
        <v>1449</v>
      </c>
      <c r="D334" s="504" t="str">
        <f>LEFT('Live Rate'!$B334,7)</f>
        <v>89,700 </v>
      </c>
      <c r="E334" s="501"/>
    </row>
    <row r="335" ht="14.25" customHeight="1">
      <c r="A335" s="503">
        <v>45214.459027777775</v>
      </c>
      <c r="B335" s="502" t="s">
        <v>1448</v>
      </c>
      <c r="C335" s="502" t="s">
        <v>1449</v>
      </c>
      <c r="D335" s="504" t="str">
        <f>LEFT('Live Rate'!$B335,7)</f>
        <v>89,700 </v>
      </c>
      <c r="E335" s="501"/>
    </row>
    <row r="336" ht="14.25" customHeight="1">
      <c r="A336" s="503">
        <v>45214.41736111111</v>
      </c>
      <c r="B336" s="502" t="s">
        <v>1448</v>
      </c>
      <c r="C336" s="502" t="s">
        <v>1449</v>
      </c>
      <c r="D336" s="504" t="str">
        <f>LEFT('Live Rate'!$B336,7)</f>
        <v>89,700 </v>
      </c>
      <c r="E336" s="501"/>
    </row>
    <row r="337" ht="14.25" customHeight="1">
      <c r="A337" s="503">
        <v>45214.37569444445</v>
      </c>
      <c r="B337" s="502" t="s">
        <v>1448</v>
      </c>
      <c r="C337" s="502" t="s">
        <v>1449</v>
      </c>
      <c r="D337" s="504" t="str">
        <f>LEFT('Live Rate'!$B337,7)</f>
        <v>89,700 </v>
      </c>
      <c r="E337" s="501"/>
    </row>
    <row r="338" ht="14.25" customHeight="1">
      <c r="A338" s="503">
        <v>45214.334027777775</v>
      </c>
      <c r="B338" s="502" t="s">
        <v>1448</v>
      </c>
      <c r="C338" s="502" t="s">
        <v>1449</v>
      </c>
      <c r="D338" s="504" t="str">
        <f>LEFT('Live Rate'!$B338,7)</f>
        <v>89,700 </v>
      </c>
      <c r="E338" s="501"/>
    </row>
    <row r="339" ht="14.25" customHeight="1">
      <c r="A339" s="503">
        <v>45214.291666666664</v>
      </c>
      <c r="B339" s="502" t="s">
        <v>1448</v>
      </c>
      <c r="C339" s="502" t="s">
        <v>1449</v>
      </c>
      <c r="D339" s="504" t="str">
        <f>LEFT('Live Rate'!$B339,7)</f>
        <v>89,700 </v>
      </c>
      <c r="E339" s="501"/>
    </row>
    <row r="340" ht="14.25" customHeight="1">
      <c r="A340" s="503">
        <v>45214.25069444445</v>
      </c>
      <c r="B340" s="502" t="s">
        <v>1448</v>
      </c>
      <c r="C340" s="502" t="s">
        <v>1449</v>
      </c>
      <c r="D340" s="504" t="str">
        <f>LEFT('Live Rate'!$B340,7)</f>
        <v>89,700 </v>
      </c>
      <c r="E340" s="501"/>
    </row>
    <row r="341" ht="14.25" customHeight="1">
      <c r="A341" s="503">
        <v>45214.209027777775</v>
      </c>
      <c r="B341" s="502" t="s">
        <v>1448</v>
      </c>
      <c r="C341" s="502" t="s">
        <v>1449</v>
      </c>
      <c r="D341" s="504" t="str">
        <f>LEFT('Live Rate'!$B341,7)</f>
        <v>89,700 </v>
      </c>
      <c r="E341" s="501"/>
    </row>
    <row r="342" ht="14.25" customHeight="1">
      <c r="A342" s="503">
        <v>45214.16736111111</v>
      </c>
      <c r="B342" s="502" t="s">
        <v>1448</v>
      </c>
      <c r="C342" s="502" t="s">
        <v>1449</v>
      </c>
      <c r="D342" s="504" t="str">
        <f>LEFT('Live Rate'!$B342,7)</f>
        <v>89,700 </v>
      </c>
      <c r="E342" s="501"/>
    </row>
    <row r="343" ht="14.25" customHeight="1">
      <c r="A343" s="503">
        <v>45214.12569444445</v>
      </c>
      <c r="B343" s="502" t="s">
        <v>1448</v>
      </c>
      <c r="C343" s="502" t="s">
        <v>1449</v>
      </c>
      <c r="D343" s="504" t="str">
        <f>LEFT('Live Rate'!$B343,7)</f>
        <v>89,700 </v>
      </c>
      <c r="E343" s="501"/>
    </row>
    <row r="344" ht="14.25" customHeight="1">
      <c r="A344" s="503">
        <v>45214.084027777775</v>
      </c>
      <c r="B344" s="502" t="s">
        <v>1448</v>
      </c>
      <c r="C344" s="502" t="s">
        <v>1449</v>
      </c>
      <c r="D344" s="504" t="str">
        <f>LEFT('Live Rate'!$B344,7)</f>
        <v>89,700 </v>
      </c>
      <c r="E344" s="501"/>
    </row>
    <row r="345" ht="14.25" customHeight="1">
      <c r="A345" s="503">
        <v>45214.04236111111</v>
      </c>
      <c r="B345" s="502" t="s">
        <v>1448</v>
      </c>
      <c r="C345" s="502" t="s">
        <v>1449</v>
      </c>
      <c r="D345" s="504" t="str">
        <f>LEFT('Live Rate'!$B345,7)</f>
        <v>89,700 </v>
      </c>
      <c r="E345" s="501"/>
    </row>
    <row r="346" ht="14.25" customHeight="1">
      <c r="A346" s="503">
        <v>45214.00069444445</v>
      </c>
      <c r="B346" s="502" t="s">
        <v>1448</v>
      </c>
      <c r="C346" s="502" t="s">
        <v>1449</v>
      </c>
      <c r="D346" s="504" t="str">
        <f>LEFT('Live Rate'!$B346,7)</f>
        <v>89,700 </v>
      </c>
      <c r="E346" s="501"/>
    </row>
    <row r="347" ht="14.25" customHeight="1">
      <c r="A347" s="503">
        <v>45213.50069444445</v>
      </c>
      <c r="B347" s="502" t="s">
        <v>1448</v>
      </c>
      <c r="C347" s="502" t="s">
        <v>1449</v>
      </c>
      <c r="D347" s="504" t="str">
        <f>LEFT('Live Rate'!$B347,7)</f>
        <v>89,700 </v>
      </c>
      <c r="E347" s="501"/>
    </row>
    <row r="348" ht="14.25" customHeight="1">
      <c r="A348" s="503">
        <v>45213.459027777775</v>
      </c>
      <c r="B348" s="502" t="s">
        <v>1448</v>
      </c>
      <c r="C348" s="502" t="s">
        <v>1449</v>
      </c>
      <c r="D348" s="504" t="str">
        <f>LEFT('Live Rate'!$B348,7)</f>
        <v>89,700 </v>
      </c>
      <c r="E348" s="501"/>
    </row>
    <row r="349" ht="14.25" customHeight="1">
      <c r="A349" s="503">
        <v>45213.416666666664</v>
      </c>
      <c r="B349" s="502" t="s">
        <v>1448</v>
      </c>
      <c r="C349" s="502" t="s">
        <v>1449</v>
      </c>
      <c r="D349" s="504" t="str">
        <f>LEFT('Live Rate'!$B349,7)</f>
        <v>89,700 </v>
      </c>
      <c r="E349" s="501"/>
    </row>
    <row r="350" ht="14.25" customHeight="1">
      <c r="A350" s="503">
        <v>45213.37569444445</v>
      </c>
      <c r="B350" s="502" t="s">
        <v>1448</v>
      </c>
      <c r="C350" s="502" t="s">
        <v>1449</v>
      </c>
      <c r="D350" s="504" t="str">
        <f>LEFT('Live Rate'!$B350,7)</f>
        <v>89,700 </v>
      </c>
      <c r="E350" s="501"/>
    </row>
    <row r="351" ht="14.25" customHeight="1">
      <c r="A351" s="503">
        <v>45213.333333333336</v>
      </c>
      <c r="B351" s="502" t="s">
        <v>1448</v>
      </c>
      <c r="C351" s="502" t="s">
        <v>1449</v>
      </c>
      <c r="D351" s="504" t="str">
        <f>LEFT('Live Rate'!$B351,7)</f>
        <v>89,700 </v>
      </c>
      <c r="E351" s="501"/>
    </row>
    <row r="352" ht="14.25" customHeight="1">
      <c r="A352" s="503">
        <v>45213.291666666664</v>
      </c>
      <c r="B352" s="502" t="s">
        <v>1448</v>
      </c>
      <c r="C352" s="502" t="s">
        <v>1449</v>
      </c>
      <c r="D352" s="504" t="str">
        <f>LEFT('Live Rate'!$B352,7)</f>
        <v>89,700 </v>
      </c>
      <c r="E352" s="501"/>
    </row>
    <row r="353" ht="14.25" customHeight="1">
      <c r="A353" s="503">
        <v>45213.25</v>
      </c>
      <c r="B353" s="502" t="s">
        <v>1448</v>
      </c>
      <c r="C353" s="502" t="s">
        <v>1449</v>
      </c>
      <c r="D353" s="504" t="str">
        <f>LEFT('Live Rate'!$B353,7)</f>
        <v>89,700 </v>
      </c>
      <c r="E353" s="501"/>
    </row>
    <row r="354" ht="14.25" customHeight="1">
      <c r="A354" s="503">
        <v>45213.208333333336</v>
      </c>
      <c r="B354" s="502" t="s">
        <v>1448</v>
      </c>
      <c r="C354" s="502" t="s">
        <v>1449</v>
      </c>
      <c r="D354" s="504" t="str">
        <f>LEFT('Live Rate'!$B354,7)</f>
        <v>89,700 </v>
      </c>
      <c r="E354" s="501"/>
    </row>
    <row r="355" ht="14.25" customHeight="1">
      <c r="A355" s="503">
        <v>45213.166666666664</v>
      </c>
      <c r="B355" s="502" t="s">
        <v>1448</v>
      </c>
      <c r="C355" s="502" t="s">
        <v>1449</v>
      </c>
      <c r="D355" s="504" t="str">
        <f>LEFT('Live Rate'!$B355,7)</f>
        <v>89,700 </v>
      </c>
      <c r="E355" s="501"/>
    </row>
    <row r="356" ht="14.25" customHeight="1">
      <c r="A356" s="503">
        <v>45213.12569444445</v>
      </c>
      <c r="B356" s="502" t="s">
        <v>1448</v>
      </c>
      <c r="C356" s="502" t="s">
        <v>1449</v>
      </c>
      <c r="D356" s="504" t="str">
        <f>LEFT('Live Rate'!$B356,7)</f>
        <v>89,700 </v>
      </c>
      <c r="E356" s="501"/>
    </row>
    <row r="357" ht="14.25" customHeight="1">
      <c r="A357" s="503">
        <v>45213.083333333336</v>
      </c>
      <c r="B357" s="502" t="s">
        <v>1448</v>
      </c>
      <c r="C357" s="502" t="s">
        <v>1449</v>
      </c>
      <c r="D357" s="504" t="str">
        <f>LEFT('Live Rate'!$B357,7)</f>
        <v>89,700 </v>
      </c>
      <c r="E357" s="501"/>
    </row>
    <row r="358" ht="14.25" customHeight="1">
      <c r="A358" s="503">
        <v>45213.04236111111</v>
      </c>
      <c r="B358" s="502" t="s">
        <v>1448</v>
      </c>
      <c r="C358" s="502" t="s">
        <v>1449</v>
      </c>
      <c r="D358" s="504" t="str">
        <f>LEFT('Live Rate'!$B358,7)</f>
        <v>89,700 </v>
      </c>
      <c r="E358" s="501"/>
    </row>
    <row r="359" ht="14.25" customHeight="1">
      <c r="A359" s="503">
        <v>45213.00069444445</v>
      </c>
      <c r="B359" s="502" t="s">
        <v>1448</v>
      </c>
      <c r="C359" s="502" t="s">
        <v>1449</v>
      </c>
      <c r="D359" s="504" t="str">
        <f>LEFT('Live Rate'!$B359,7)</f>
        <v>89,700 </v>
      </c>
      <c r="E359" s="501"/>
    </row>
    <row r="360" ht="14.25" customHeight="1">
      <c r="A360" s="503">
        <v>45212.5</v>
      </c>
      <c r="B360" s="502" t="s">
        <v>1448</v>
      </c>
      <c r="C360" s="502" t="s">
        <v>1449</v>
      </c>
      <c r="D360" s="504" t="str">
        <f>LEFT('Live Rate'!$B360,7)</f>
        <v>89,700 </v>
      </c>
      <c r="E360" s="501"/>
    </row>
    <row r="361" ht="14.25" customHeight="1">
      <c r="A361" s="503">
        <v>45212.458333333336</v>
      </c>
      <c r="B361" s="502" t="s">
        <v>1448</v>
      </c>
      <c r="C361" s="502" t="s">
        <v>1449</v>
      </c>
      <c r="D361" s="504" t="str">
        <f>LEFT('Live Rate'!$B361,7)</f>
        <v>89,700 </v>
      </c>
      <c r="E361" s="501"/>
    </row>
    <row r="362" ht="14.25" customHeight="1">
      <c r="A362" s="503">
        <v>45212.41736111111</v>
      </c>
      <c r="B362" s="502" t="s">
        <v>1448</v>
      </c>
      <c r="C362" s="502" t="s">
        <v>1449</v>
      </c>
      <c r="D362" s="504" t="str">
        <f>LEFT('Live Rate'!$B362,7)</f>
        <v>89,700 </v>
      </c>
      <c r="E362" s="501"/>
    </row>
    <row r="363" ht="14.25" customHeight="1">
      <c r="A363" s="503">
        <v>45212.375</v>
      </c>
      <c r="B363" s="502" t="s">
        <v>1448</v>
      </c>
      <c r="C363" s="502" t="s">
        <v>1449</v>
      </c>
      <c r="D363" s="504" t="str">
        <f>LEFT('Live Rate'!$B363,7)</f>
        <v>89,700 </v>
      </c>
      <c r="E363" s="501"/>
    </row>
    <row r="364" ht="14.25" customHeight="1">
      <c r="A364" s="503">
        <v>45212.334027777775</v>
      </c>
      <c r="B364" s="502" t="s">
        <v>1448</v>
      </c>
      <c r="C364" s="502" t="s">
        <v>1449</v>
      </c>
      <c r="D364" s="504" t="str">
        <f>LEFT('Live Rate'!$B364,7)</f>
        <v>89,700 </v>
      </c>
      <c r="E364" s="501"/>
    </row>
    <row r="365" ht="14.25" customHeight="1">
      <c r="A365" s="503">
        <v>45212.291666666664</v>
      </c>
      <c r="B365" s="502" t="s">
        <v>1448</v>
      </c>
      <c r="C365" s="502" t="s">
        <v>1449</v>
      </c>
      <c r="D365" s="504" t="str">
        <f>LEFT('Live Rate'!$B365,7)</f>
        <v>89,700 </v>
      </c>
      <c r="E365" s="501"/>
    </row>
    <row r="366" ht="14.25" customHeight="1">
      <c r="A366" s="503">
        <v>45212.25069444445</v>
      </c>
      <c r="B366" s="502" t="s">
        <v>1448</v>
      </c>
      <c r="C366" s="502" t="s">
        <v>1449</v>
      </c>
      <c r="D366" s="504" t="str">
        <f>LEFT('Live Rate'!$B366,7)</f>
        <v>89,700 </v>
      </c>
      <c r="E366" s="501"/>
    </row>
    <row r="367" ht="14.25" customHeight="1">
      <c r="A367" s="503">
        <v>45212.209027777775</v>
      </c>
      <c r="B367" s="502" t="s">
        <v>1448</v>
      </c>
      <c r="C367" s="502" t="s">
        <v>1449</v>
      </c>
      <c r="D367" s="504" t="str">
        <f>LEFT('Live Rate'!$B367,7)</f>
        <v>89,700 </v>
      </c>
      <c r="E367" s="501"/>
    </row>
    <row r="368" ht="14.25" customHeight="1">
      <c r="A368" s="503">
        <v>45212.16736111111</v>
      </c>
      <c r="B368" s="502" t="s">
        <v>1448</v>
      </c>
      <c r="C368" s="502" t="s">
        <v>1449</v>
      </c>
      <c r="D368" s="504" t="str">
        <f>LEFT('Live Rate'!$B368,7)</f>
        <v>89,700 </v>
      </c>
      <c r="E368" s="501"/>
    </row>
    <row r="369" ht="14.25" customHeight="1">
      <c r="A369" s="503">
        <v>45212.12569444445</v>
      </c>
      <c r="B369" s="502" t="s">
        <v>1448</v>
      </c>
      <c r="C369" s="502" t="s">
        <v>1449</v>
      </c>
      <c r="D369" s="504" t="str">
        <f>LEFT('Live Rate'!$B369,7)</f>
        <v>89,700 </v>
      </c>
      <c r="E369" s="501"/>
    </row>
    <row r="370" ht="14.25" customHeight="1">
      <c r="A370" s="503">
        <v>45212.083333333336</v>
      </c>
      <c r="B370" s="502" t="s">
        <v>1448</v>
      </c>
      <c r="C370" s="502" t="s">
        <v>1449</v>
      </c>
      <c r="D370" s="504" t="str">
        <f>LEFT('Live Rate'!$B370,7)</f>
        <v>89,700 </v>
      </c>
      <c r="E370" s="501"/>
    </row>
    <row r="371" ht="14.25" customHeight="1">
      <c r="A371" s="503">
        <v>45212.04236111111</v>
      </c>
      <c r="B371" s="502" t="s">
        <v>1448</v>
      </c>
      <c r="C371" s="502" t="s">
        <v>1449</v>
      </c>
      <c r="D371" s="504" t="str">
        <f>LEFT('Live Rate'!$B371,7)</f>
        <v>89,700 </v>
      </c>
      <c r="E371" s="501"/>
    </row>
    <row r="372" ht="14.25" customHeight="1">
      <c r="A372" s="503">
        <v>45212.00069444445</v>
      </c>
      <c r="B372" s="502" t="s">
        <v>1448</v>
      </c>
      <c r="C372" s="502" t="s">
        <v>1449</v>
      </c>
      <c r="D372" s="504" t="str">
        <f>LEFT('Live Rate'!$B372,7)</f>
        <v>89,700 </v>
      </c>
      <c r="E372" s="501"/>
    </row>
    <row r="373" ht="14.25" customHeight="1">
      <c r="A373" s="503">
        <v>45211.50069444445</v>
      </c>
      <c r="B373" s="502" t="s">
        <v>1448</v>
      </c>
      <c r="C373" s="502" t="s">
        <v>1449</v>
      </c>
      <c r="D373" s="504" t="str">
        <f>LEFT('Live Rate'!$B373,7)</f>
        <v>89,700 </v>
      </c>
      <c r="E373" s="501"/>
    </row>
    <row r="374" ht="14.25" customHeight="1">
      <c r="A374" s="503">
        <v>45211.459027777775</v>
      </c>
      <c r="B374" s="502" t="s">
        <v>1448</v>
      </c>
      <c r="C374" s="502" t="s">
        <v>1449</v>
      </c>
      <c r="D374" s="504" t="str">
        <f>LEFT('Live Rate'!$B374,7)</f>
        <v>89,700 </v>
      </c>
      <c r="E374" s="501"/>
    </row>
    <row r="375" ht="14.25" customHeight="1">
      <c r="A375" s="503">
        <v>45211.41736111111</v>
      </c>
      <c r="B375" s="502" t="s">
        <v>1448</v>
      </c>
      <c r="C375" s="502" t="s">
        <v>1449</v>
      </c>
      <c r="D375" s="504" t="str">
        <f>LEFT('Live Rate'!$B375,7)</f>
        <v>89,700 </v>
      </c>
      <c r="E375" s="501"/>
    </row>
    <row r="376" ht="14.25" customHeight="1">
      <c r="A376" s="503">
        <v>45211.37569444445</v>
      </c>
      <c r="B376" s="502" t="s">
        <v>1448</v>
      </c>
      <c r="C376" s="502" t="s">
        <v>1449</v>
      </c>
      <c r="D376" s="504" t="str">
        <f>LEFT('Live Rate'!$B376,7)</f>
        <v>89,700 </v>
      </c>
      <c r="E376" s="501"/>
    </row>
    <row r="377" ht="14.25" customHeight="1">
      <c r="A377" s="503">
        <v>45211.334027777775</v>
      </c>
      <c r="B377" s="502" t="s">
        <v>1448</v>
      </c>
      <c r="C377" s="502" t="s">
        <v>1449</v>
      </c>
      <c r="D377" s="504" t="str">
        <f>LEFT('Live Rate'!$B377,7)</f>
        <v>89,700 </v>
      </c>
      <c r="E377" s="501"/>
    </row>
    <row r="378" ht="14.25" customHeight="1">
      <c r="A378" s="503">
        <v>45211.29236111111</v>
      </c>
      <c r="B378" s="502" t="s">
        <v>1448</v>
      </c>
      <c r="C378" s="502" t="s">
        <v>1449</v>
      </c>
      <c r="D378" s="504" t="str">
        <f>LEFT('Live Rate'!$B378,7)</f>
        <v>89,700 </v>
      </c>
      <c r="E378" s="501"/>
    </row>
    <row r="379" ht="14.25" customHeight="1">
      <c r="A379" s="503">
        <v>45211.25</v>
      </c>
      <c r="B379" s="502" t="s">
        <v>1448</v>
      </c>
      <c r="C379" s="502" t="s">
        <v>1449</v>
      </c>
      <c r="D379" s="504" t="str">
        <f>LEFT('Live Rate'!$B379,7)</f>
        <v>89,700 </v>
      </c>
      <c r="E379" s="501"/>
    </row>
    <row r="380" ht="14.25" customHeight="1">
      <c r="A380" s="503">
        <v>45211.208333333336</v>
      </c>
      <c r="B380" s="502" t="s">
        <v>1448</v>
      </c>
      <c r="C380" s="502" t="s">
        <v>1449</v>
      </c>
      <c r="D380" s="504" t="str">
        <f>LEFT('Live Rate'!$B380,7)</f>
        <v>89,700 </v>
      </c>
      <c r="E380" s="501"/>
    </row>
    <row r="381" ht="14.25" customHeight="1">
      <c r="A381" s="503">
        <v>45211.16736111111</v>
      </c>
      <c r="B381" s="502" t="s">
        <v>1448</v>
      </c>
      <c r="C381" s="502" t="s">
        <v>1449</v>
      </c>
      <c r="D381" s="504" t="str">
        <f>LEFT('Live Rate'!$B381,7)</f>
        <v>89,700 </v>
      </c>
      <c r="E381" s="501"/>
    </row>
    <row r="382" ht="14.25" customHeight="1">
      <c r="A382" s="503">
        <v>45211.125</v>
      </c>
      <c r="B382" s="502" t="s">
        <v>1448</v>
      </c>
      <c r="C382" s="502" t="s">
        <v>1449</v>
      </c>
      <c r="D382" s="504" t="str">
        <f>LEFT('Live Rate'!$B382,7)</f>
        <v>89,700 </v>
      </c>
      <c r="E382" s="501"/>
    </row>
    <row r="383" ht="14.25" customHeight="1">
      <c r="A383" s="503">
        <v>45211.083333333336</v>
      </c>
      <c r="B383" s="502" t="s">
        <v>1448</v>
      </c>
      <c r="C383" s="502" t="s">
        <v>1449</v>
      </c>
      <c r="D383" s="504" t="str">
        <f>LEFT('Live Rate'!$B383,7)</f>
        <v>89,700 </v>
      </c>
      <c r="E383" s="501"/>
    </row>
    <row r="384" ht="14.25" customHeight="1">
      <c r="A384" s="503">
        <v>45211.041666666664</v>
      </c>
      <c r="B384" s="502" t="s">
        <v>1448</v>
      </c>
      <c r="C384" s="502" t="s">
        <v>1449</v>
      </c>
      <c r="D384" s="504" t="str">
        <f>LEFT('Live Rate'!$B384,7)</f>
        <v>89,700 </v>
      </c>
      <c r="E384" s="501"/>
    </row>
    <row r="385" ht="14.25" customHeight="1">
      <c r="A385" s="503">
        <v>45211.00069444445</v>
      </c>
      <c r="B385" s="502" t="s">
        <v>1448</v>
      </c>
      <c r="C385" s="502" t="s">
        <v>1449</v>
      </c>
      <c r="D385" s="504" t="str">
        <f>LEFT('Live Rate'!$B385,7)</f>
        <v>89,700 </v>
      </c>
      <c r="E385" s="501"/>
    </row>
    <row r="386" ht="14.25" customHeight="1">
      <c r="A386" s="503">
        <v>45210.5</v>
      </c>
      <c r="B386" s="502" t="s">
        <v>1448</v>
      </c>
      <c r="C386" s="502" t="s">
        <v>1449</v>
      </c>
      <c r="D386" s="504" t="str">
        <f>LEFT('Live Rate'!$B386,7)</f>
        <v>89,700 </v>
      </c>
      <c r="E386" s="501"/>
    </row>
    <row r="387" ht="14.25" customHeight="1">
      <c r="A387" s="503">
        <v>45210.459027777775</v>
      </c>
      <c r="B387" s="502" t="s">
        <v>1448</v>
      </c>
      <c r="C387" s="502" t="s">
        <v>1449</v>
      </c>
      <c r="D387" s="504" t="str">
        <f>LEFT('Live Rate'!$B387,7)</f>
        <v>89,700 </v>
      </c>
      <c r="E387" s="501"/>
    </row>
    <row r="388" ht="14.25" customHeight="1">
      <c r="A388" s="503">
        <v>45210.41736111111</v>
      </c>
      <c r="B388" s="502" t="s">
        <v>1448</v>
      </c>
      <c r="C388" s="502" t="s">
        <v>1449</v>
      </c>
      <c r="D388" s="504" t="str">
        <f>LEFT('Live Rate'!$B388,7)</f>
        <v>89,700 </v>
      </c>
      <c r="E388" s="501"/>
    </row>
    <row r="389" ht="14.25" customHeight="1">
      <c r="A389" s="503">
        <v>45210.37569444445</v>
      </c>
      <c r="B389" s="502" t="s">
        <v>1448</v>
      </c>
      <c r="C389" s="502" t="s">
        <v>1449</v>
      </c>
      <c r="D389" s="504" t="str">
        <f>LEFT('Live Rate'!$B389,7)</f>
        <v>89,700 </v>
      </c>
      <c r="E389" s="501"/>
    </row>
    <row r="390" ht="14.25" customHeight="1">
      <c r="A390" s="503">
        <v>45210.333333333336</v>
      </c>
      <c r="B390" s="502" t="s">
        <v>1448</v>
      </c>
      <c r="C390" s="502" t="s">
        <v>1449</v>
      </c>
      <c r="D390" s="504" t="str">
        <f>LEFT('Live Rate'!$B390,7)</f>
        <v>89,700 </v>
      </c>
      <c r="E390" s="501"/>
    </row>
    <row r="391" ht="14.25" customHeight="1">
      <c r="A391" s="503">
        <v>45210.291666666664</v>
      </c>
      <c r="B391" s="502" t="s">
        <v>1448</v>
      </c>
      <c r="C391" s="502" t="s">
        <v>1449</v>
      </c>
      <c r="D391" s="504" t="str">
        <f>LEFT('Live Rate'!$B391,7)</f>
        <v>89,700 </v>
      </c>
      <c r="E391" s="501"/>
    </row>
    <row r="392" ht="14.25" customHeight="1">
      <c r="A392" s="503">
        <v>45210.25</v>
      </c>
      <c r="B392" s="502" t="s">
        <v>1448</v>
      </c>
      <c r="C392" s="502" t="s">
        <v>1449</v>
      </c>
      <c r="D392" s="504" t="str">
        <f>LEFT('Live Rate'!$B392,7)</f>
        <v>89,700 </v>
      </c>
      <c r="E392" s="501"/>
    </row>
    <row r="393" ht="14.25" customHeight="1">
      <c r="A393" s="503">
        <v>45210.208333333336</v>
      </c>
      <c r="B393" s="502" t="s">
        <v>1448</v>
      </c>
      <c r="C393" s="502" t="s">
        <v>1449</v>
      </c>
      <c r="D393" s="504" t="str">
        <f>LEFT('Live Rate'!$B393,7)</f>
        <v>89,700 </v>
      </c>
      <c r="E393" s="501"/>
    </row>
    <row r="394" ht="14.25" customHeight="1">
      <c r="A394" s="503">
        <v>45210.166666666664</v>
      </c>
      <c r="B394" s="502" t="s">
        <v>1448</v>
      </c>
      <c r="C394" s="502" t="s">
        <v>1449</v>
      </c>
      <c r="D394" s="504" t="str">
        <f>LEFT('Live Rate'!$B394,7)</f>
        <v>89,700 </v>
      </c>
      <c r="E394" s="501"/>
    </row>
    <row r="395" ht="14.25" customHeight="1">
      <c r="A395" s="503">
        <v>45210.12569444445</v>
      </c>
      <c r="B395" s="502" t="s">
        <v>1448</v>
      </c>
      <c r="C395" s="502" t="s">
        <v>1449</v>
      </c>
      <c r="D395" s="504" t="str">
        <f>LEFT('Live Rate'!$B395,7)</f>
        <v>89,700 </v>
      </c>
      <c r="E395" s="501"/>
    </row>
    <row r="396" ht="14.25" customHeight="1">
      <c r="A396" s="503">
        <v>45210.083333333336</v>
      </c>
      <c r="B396" s="502" t="s">
        <v>1448</v>
      </c>
      <c r="C396" s="502" t="s">
        <v>1449</v>
      </c>
      <c r="D396" s="504" t="str">
        <f>LEFT('Live Rate'!$B396,7)</f>
        <v>89,700 </v>
      </c>
      <c r="E396" s="501"/>
    </row>
    <row r="397" ht="14.25" customHeight="1">
      <c r="A397" s="503">
        <v>45210.041666666664</v>
      </c>
      <c r="B397" s="502" t="s">
        <v>1448</v>
      </c>
      <c r="C397" s="502" t="s">
        <v>1449</v>
      </c>
      <c r="D397" s="504" t="str">
        <f>LEFT('Live Rate'!$B397,7)</f>
        <v>89,700 </v>
      </c>
      <c r="E397" s="501"/>
    </row>
    <row r="398" ht="14.25" customHeight="1">
      <c r="A398" s="503">
        <v>45210.0</v>
      </c>
      <c r="B398" s="502" t="s">
        <v>1448</v>
      </c>
      <c r="C398" s="502" t="s">
        <v>1449</v>
      </c>
      <c r="D398" s="504" t="str">
        <f>LEFT('Live Rate'!$B398,7)</f>
        <v>89,700 </v>
      </c>
      <c r="E398" s="501"/>
    </row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38"/>
    <col customWidth="1" min="2" max="3" width="10.13"/>
    <col customWidth="1" min="4" max="4" width="12.75"/>
    <col customWidth="1" min="5" max="5" width="8.38"/>
    <col customWidth="1" min="6" max="6" width="11.75"/>
    <col customWidth="1" min="7" max="7" width="14.13"/>
    <col customWidth="1" min="8" max="8" width="10.38"/>
    <col customWidth="1" min="9" max="9" width="7.13"/>
    <col customWidth="1" min="10" max="10" width="8.13"/>
    <col customWidth="1" min="11" max="11" width="8.75"/>
    <col customWidth="1" min="12" max="12" width="12.38"/>
    <col customWidth="1" min="13" max="13" width="8.0"/>
    <col customWidth="1" min="14" max="14" width="11.13"/>
    <col customWidth="1" min="15" max="15" width="8.75"/>
    <col customWidth="1" min="16" max="16" width="11.13"/>
    <col customWidth="1" min="17" max="17" width="9.38"/>
    <col customWidth="1" min="18" max="18" width="7.38"/>
    <col customWidth="1" min="19" max="19" width="8.75"/>
    <col customWidth="1" min="20" max="20" width="6.25"/>
    <col customWidth="1" min="21" max="21" width="8.38"/>
    <col customWidth="1" min="22" max="22" width="9.75"/>
    <col customWidth="1" min="23" max="26" width="14.38"/>
  </cols>
  <sheetData>
    <row r="1" ht="18.0" customHeight="1">
      <c r="A1" s="505" t="s">
        <v>819</v>
      </c>
      <c r="B1" s="505" t="s">
        <v>1450</v>
      </c>
      <c r="C1" s="506" t="s">
        <v>1451</v>
      </c>
      <c r="D1" s="507" t="s">
        <v>1452</v>
      </c>
      <c r="E1" s="508" t="s">
        <v>1453</v>
      </c>
      <c r="F1" s="509" t="s">
        <v>1454</v>
      </c>
      <c r="G1" s="508" t="s">
        <v>1455</v>
      </c>
      <c r="H1" s="509" t="s">
        <v>1456</v>
      </c>
      <c r="I1" s="506" t="s">
        <v>1457</v>
      </c>
      <c r="J1" s="507" t="s">
        <v>1458</v>
      </c>
      <c r="K1" s="508" t="s">
        <v>1459</v>
      </c>
      <c r="L1" s="509" t="s">
        <v>1460</v>
      </c>
      <c r="M1" s="506" t="s">
        <v>1461</v>
      </c>
      <c r="N1" s="507" t="s">
        <v>1462</v>
      </c>
      <c r="O1" s="510" t="s">
        <v>1463</v>
      </c>
      <c r="P1" s="511" t="s">
        <v>1464</v>
      </c>
      <c r="Q1" s="506" t="s">
        <v>1465</v>
      </c>
      <c r="R1" s="507" t="s">
        <v>1466</v>
      </c>
      <c r="S1" s="510" t="s">
        <v>1467</v>
      </c>
      <c r="T1" s="511" t="s">
        <v>1468</v>
      </c>
      <c r="U1" s="506" t="s">
        <v>1469</v>
      </c>
      <c r="V1" s="507" t="s">
        <v>1470</v>
      </c>
    </row>
    <row r="2" ht="14.25" customHeight="1">
      <c r="A2" s="512" t="str">
        <f t="shared" ref="A2:A5" si="1">'ENG MENU D'!A4</f>
        <v>#REF!</v>
      </c>
      <c r="B2" s="513"/>
      <c r="C2" s="514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  <c r="R2" s="515"/>
      <c r="S2" s="515"/>
      <c r="T2" s="515"/>
      <c r="U2" s="515"/>
      <c r="V2" s="515"/>
    </row>
    <row r="3" ht="14.25" customHeight="1">
      <c r="A3" s="516" t="str">
        <f t="shared" si="1"/>
        <v>#REF!</v>
      </c>
      <c r="B3" s="517">
        <v>25.0</v>
      </c>
      <c r="C3" s="518"/>
      <c r="D3" s="519">
        <f t="shared" ref="D3:D18" si="2">B3*C3</f>
        <v>0</v>
      </c>
      <c r="E3" s="518"/>
      <c r="F3" s="519">
        <f t="shared" ref="F3:F18" si="3">B3*E3</f>
        <v>0</v>
      </c>
      <c r="G3" s="518"/>
      <c r="H3" s="519">
        <f t="shared" ref="H3:H18" si="4">B3*G3</f>
        <v>0</v>
      </c>
      <c r="I3" s="518"/>
      <c r="J3" s="519">
        <f t="shared" ref="J3:J18" si="5">B3*I3</f>
        <v>0</v>
      </c>
      <c r="K3" s="518"/>
      <c r="L3" s="519">
        <f t="shared" ref="L3:L18" si="6">B3*K3</f>
        <v>0</v>
      </c>
      <c r="M3" s="518">
        <v>0.4</v>
      </c>
      <c r="N3" s="519">
        <f t="shared" ref="N3:N18" si="7">B3*M3</f>
        <v>10</v>
      </c>
      <c r="O3" s="518"/>
      <c r="P3" s="519">
        <f t="shared" ref="P3:P18" si="8">B3*O3</f>
        <v>0</v>
      </c>
      <c r="Q3" s="518"/>
      <c r="R3" s="519">
        <f t="shared" ref="R3:R18" si="9">B3*Q3</f>
        <v>0</v>
      </c>
      <c r="S3" s="518"/>
      <c r="T3" s="519">
        <f t="shared" ref="T3:T18" si="10">B3*S3</f>
        <v>0</v>
      </c>
      <c r="U3" s="518"/>
      <c r="V3" s="519">
        <f t="shared" ref="V3:V18" si="11">B3*U3</f>
        <v>0</v>
      </c>
    </row>
    <row r="4" ht="14.25" customHeight="1">
      <c r="A4" s="516" t="str">
        <f t="shared" si="1"/>
        <v>#REF!</v>
      </c>
      <c r="B4" s="517">
        <v>6.0</v>
      </c>
      <c r="C4" s="518"/>
      <c r="D4" s="519">
        <f t="shared" si="2"/>
        <v>0</v>
      </c>
      <c r="E4" s="518"/>
      <c r="F4" s="519">
        <f t="shared" si="3"/>
        <v>0</v>
      </c>
      <c r="G4" s="518"/>
      <c r="H4" s="519">
        <f t="shared" si="4"/>
        <v>0</v>
      </c>
      <c r="I4" s="518"/>
      <c r="J4" s="519">
        <f t="shared" si="5"/>
        <v>0</v>
      </c>
      <c r="K4" s="518"/>
      <c r="L4" s="519">
        <f t="shared" si="6"/>
        <v>0</v>
      </c>
      <c r="M4" s="518">
        <v>0.4</v>
      </c>
      <c r="N4" s="519">
        <f t="shared" si="7"/>
        <v>2.4</v>
      </c>
      <c r="O4" s="518"/>
      <c r="P4" s="519">
        <f t="shared" si="8"/>
        <v>0</v>
      </c>
      <c r="Q4" s="518"/>
      <c r="R4" s="519">
        <f t="shared" si="9"/>
        <v>0</v>
      </c>
      <c r="S4" s="518"/>
      <c r="T4" s="519">
        <f t="shared" si="10"/>
        <v>0</v>
      </c>
      <c r="U4" s="518"/>
      <c r="V4" s="519">
        <f t="shared" si="11"/>
        <v>0</v>
      </c>
    </row>
    <row r="5" ht="14.25" customHeight="1">
      <c r="A5" s="516" t="str">
        <f t="shared" si="1"/>
        <v>#REF!</v>
      </c>
      <c r="B5" s="517">
        <v>10.0</v>
      </c>
      <c r="C5" s="518"/>
      <c r="D5" s="519">
        <f t="shared" si="2"/>
        <v>0</v>
      </c>
      <c r="E5" s="518"/>
      <c r="F5" s="519">
        <f t="shared" si="3"/>
        <v>0</v>
      </c>
      <c r="G5" s="518"/>
      <c r="H5" s="519">
        <f t="shared" si="4"/>
        <v>0</v>
      </c>
      <c r="I5" s="518"/>
      <c r="J5" s="519">
        <f t="shared" si="5"/>
        <v>0</v>
      </c>
      <c r="K5" s="518"/>
      <c r="L5" s="519">
        <f t="shared" si="6"/>
        <v>0</v>
      </c>
      <c r="M5" s="518"/>
      <c r="N5" s="519">
        <f t="shared" si="7"/>
        <v>0</v>
      </c>
      <c r="O5" s="518"/>
      <c r="P5" s="519">
        <f t="shared" si="8"/>
        <v>0</v>
      </c>
      <c r="Q5" s="518"/>
      <c r="R5" s="519">
        <f t="shared" si="9"/>
        <v>0</v>
      </c>
      <c r="S5" s="518"/>
      <c r="T5" s="519">
        <f t="shared" si="10"/>
        <v>0</v>
      </c>
      <c r="U5" s="518"/>
      <c r="V5" s="519">
        <f t="shared" si="11"/>
        <v>0</v>
      </c>
    </row>
    <row r="6" ht="14.25" customHeight="1">
      <c r="A6" s="516" t="str">
        <f t="shared" ref="A6:A18" si="12">'ENG MENU D'!A9</f>
        <v>#REF!</v>
      </c>
      <c r="B6" s="517">
        <v>13.0</v>
      </c>
      <c r="C6" s="518"/>
      <c r="D6" s="519">
        <f t="shared" si="2"/>
        <v>0</v>
      </c>
      <c r="E6" s="518"/>
      <c r="F6" s="519">
        <f t="shared" si="3"/>
        <v>0</v>
      </c>
      <c r="G6" s="518">
        <v>0.06</v>
      </c>
      <c r="H6" s="519">
        <f t="shared" si="4"/>
        <v>0.78</v>
      </c>
      <c r="I6" s="518"/>
      <c r="J6" s="519">
        <f t="shared" si="5"/>
        <v>0</v>
      </c>
      <c r="K6" s="518">
        <v>0.5</v>
      </c>
      <c r="L6" s="519">
        <f t="shared" si="6"/>
        <v>6.5</v>
      </c>
      <c r="M6" s="518"/>
      <c r="N6" s="519">
        <f t="shared" si="7"/>
        <v>0</v>
      </c>
      <c r="O6" s="518"/>
      <c r="P6" s="519">
        <f t="shared" si="8"/>
        <v>0</v>
      </c>
      <c r="Q6" s="518"/>
      <c r="R6" s="519">
        <f t="shared" si="9"/>
        <v>0</v>
      </c>
      <c r="S6" s="518"/>
      <c r="T6" s="519">
        <f t="shared" si="10"/>
        <v>0</v>
      </c>
      <c r="U6" s="518"/>
      <c r="V6" s="519">
        <f t="shared" si="11"/>
        <v>0</v>
      </c>
    </row>
    <row r="7" ht="14.25" customHeight="1">
      <c r="A7" s="516" t="str">
        <f t="shared" si="12"/>
        <v>#REF!</v>
      </c>
      <c r="B7" s="520"/>
      <c r="C7" s="518"/>
      <c r="D7" s="519">
        <f t="shared" si="2"/>
        <v>0</v>
      </c>
      <c r="E7" s="518"/>
      <c r="F7" s="519">
        <f t="shared" si="3"/>
        <v>0</v>
      </c>
      <c r="G7" s="518"/>
      <c r="H7" s="519">
        <f t="shared" si="4"/>
        <v>0</v>
      </c>
      <c r="I7" s="518"/>
      <c r="J7" s="519">
        <f t="shared" si="5"/>
        <v>0</v>
      </c>
      <c r="K7" s="518"/>
      <c r="L7" s="519">
        <f t="shared" si="6"/>
        <v>0</v>
      </c>
      <c r="M7" s="518"/>
      <c r="N7" s="519">
        <f t="shared" si="7"/>
        <v>0</v>
      </c>
      <c r="O7" s="518"/>
      <c r="P7" s="519">
        <f t="shared" si="8"/>
        <v>0</v>
      </c>
      <c r="Q7" s="518"/>
      <c r="R7" s="519">
        <f t="shared" si="9"/>
        <v>0</v>
      </c>
      <c r="S7" s="518"/>
      <c r="T7" s="519">
        <f t="shared" si="10"/>
        <v>0</v>
      </c>
      <c r="U7" s="518"/>
      <c r="V7" s="519">
        <f t="shared" si="11"/>
        <v>0</v>
      </c>
    </row>
    <row r="8" ht="14.25" customHeight="1">
      <c r="A8" s="516" t="str">
        <f t="shared" si="12"/>
        <v>#REF!</v>
      </c>
      <c r="B8" s="517">
        <v>12.0</v>
      </c>
      <c r="C8" s="518"/>
      <c r="D8" s="519">
        <f t="shared" si="2"/>
        <v>0</v>
      </c>
      <c r="E8" s="518"/>
      <c r="F8" s="519">
        <f t="shared" si="3"/>
        <v>0</v>
      </c>
      <c r="G8" s="518">
        <v>0.1</v>
      </c>
      <c r="H8" s="519">
        <f t="shared" si="4"/>
        <v>1.2</v>
      </c>
      <c r="I8" s="518"/>
      <c r="J8" s="519">
        <f t="shared" si="5"/>
        <v>0</v>
      </c>
      <c r="K8" s="518"/>
      <c r="L8" s="519">
        <f t="shared" si="6"/>
        <v>0</v>
      </c>
      <c r="M8" s="518"/>
      <c r="N8" s="519">
        <f t="shared" si="7"/>
        <v>0</v>
      </c>
      <c r="O8" s="518">
        <v>0.05</v>
      </c>
      <c r="P8" s="519">
        <f t="shared" si="8"/>
        <v>0.6</v>
      </c>
      <c r="Q8" s="518"/>
      <c r="R8" s="519">
        <f t="shared" si="9"/>
        <v>0</v>
      </c>
      <c r="S8" s="518"/>
      <c r="T8" s="519">
        <f t="shared" si="10"/>
        <v>0</v>
      </c>
      <c r="U8" s="518"/>
      <c r="V8" s="519">
        <f t="shared" si="11"/>
        <v>0</v>
      </c>
    </row>
    <row r="9" ht="14.25" customHeight="1">
      <c r="A9" s="516" t="str">
        <f t="shared" si="12"/>
        <v>#REF!</v>
      </c>
      <c r="B9" s="517">
        <v>7.0</v>
      </c>
      <c r="C9" s="518"/>
      <c r="D9" s="519">
        <f t="shared" si="2"/>
        <v>0</v>
      </c>
      <c r="E9" s="518"/>
      <c r="F9" s="519">
        <f t="shared" si="3"/>
        <v>0</v>
      </c>
      <c r="G9" s="518"/>
      <c r="H9" s="519">
        <f t="shared" si="4"/>
        <v>0</v>
      </c>
      <c r="I9" s="518"/>
      <c r="J9" s="519">
        <f t="shared" si="5"/>
        <v>0</v>
      </c>
      <c r="K9" s="518"/>
      <c r="L9" s="519">
        <f t="shared" si="6"/>
        <v>0</v>
      </c>
      <c r="M9" s="518"/>
      <c r="N9" s="519">
        <f t="shared" si="7"/>
        <v>0</v>
      </c>
      <c r="O9" s="518"/>
      <c r="P9" s="519">
        <f t="shared" si="8"/>
        <v>0</v>
      </c>
      <c r="Q9" s="518"/>
      <c r="R9" s="519">
        <f t="shared" si="9"/>
        <v>0</v>
      </c>
      <c r="S9" s="518"/>
      <c r="T9" s="519">
        <f t="shared" si="10"/>
        <v>0</v>
      </c>
      <c r="U9" s="518"/>
      <c r="V9" s="519">
        <f t="shared" si="11"/>
        <v>0</v>
      </c>
    </row>
    <row r="10" ht="14.25" customHeight="1">
      <c r="A10" s="516" t="str">
        <f t="shared" si="12"/>
        <v>#REF!</v>
      </c>
      <c r="B10" s="517">
        <v>5.0</v>
      </c>
      <c r="C10" s="518"/>
      <c r="D10" s="519">
        <f t="shared" si="2"/>
        <v>0</v>
      </c>
      <c r="E10" s="518"/>
      <c r="F10" s="519">
        <f t="shared" si="3"/>
        <v>0</v>
      </c>
      <c r="G10" s="518"/>
      <c r="H10" s="519">
        <f t="shared" si="4"/>
        <v>0</v>
      </c>
      <c r="I10" s="518"/>
      <c r="J10" s="519">
        <f t="shared" si="5"/>
        <v>0</v>
      </c>
      <c r="K10" s="518"/>
      <c r="L10" s="519">
        <f t="shared" si="6"/>
        <v>0</v>
      </c>
      <c r="M10" s="527">
        <v>0.2</v>
      </c>
      <c r="N10" s="519">
        <f t="shared" si="7"/>
        <v>1</v>
      </c>
      <c r="O10" s="518"/>
      <c r="P10" s="519">
        <f t="shared" si="8"/>
        <v>0</v>
      </c>
      <c r="Q10" s="518"/>
      <c r="R10" s="519">
        <f t="shared" si="9"/>
        <v>0</v>
      </c>
      <c r="S10" s="518"/>
      <c r="T10" s="519">
        <f t="shared" si="10"/>
        <v>0</v>
      </c>
      <c r="U10" s="518"/>
      <c r="V10" s="519">
        <f t="shared" si="11"/>
        <v>0</v>
      </c>
    </row>
    <row r="11" ht="14.25" customHeight="1">
      <c r="A11" s="516" t="str">
        <f t="shared" si="12"/>
        <v>#REF!</v>
      </c>
      <c r="B11" s="517">
        <v>8.0</v>
      </c>
      <c r="C11" s="518"/>
      <c r="D11" s="519">
        <f t="shared" si="2"/>
        <v>0</v>
      </c>
      <c r="E11" s="518"/>
      <c r="F11" s="519">
        <f t="shared" si="3"/>
        <v>0</v>
      </c>
      <c r="G11" s="518"/>
      <c r="H11" s="519">
        <f t="shared" si="4"/>
        <v>0</v>
      </c>
      <c r="I11" s="518"/>
      <c r="J11" s="519">
        <f t="shared" si="5"/>
        <v>0</v>
      </c>
      <c r="K11" s="518"/>
      <c r="L11" s="519">
        <f t="shared" si="6"/>
        <v>0</v>
      </c>
      <c r="M11" s="518"/>
      <c r="N11" s="519">
        <f t="shared" si="7"/>
        <v>0</v>
      </c>
      <c r="O11" s="518"/>
      <c r="P11" s="519">
        <f t="shared" si="8"/>
        <v>0</v>
      </c>
      <c r="Q11" s="518"/>
      <c r="R11" s="519">
        <f t="shared" si="9"/>
        <v>0</v>
      </c>
      <c r="S11" s="518"/>
      <c r="T11" s="519">
        <f t="shared" si="10"/>
        <v>0</v>
      </c>
      <c r="U11" s="518"/>
      <c r="V11" s="519">
        <f t="shared" si="11"/>
        <v>0</v>
      </c>
    </row>
    <row r="12" ht="14.25" customHeight="1">
      <c r="A12" s="516" t="str">
        <f t="shared" si="12"/>
        <v>#REF!</v>
      </c>
      <c r="B12" s="517">
        <v>5.0</v>
      </c>
      <c r="C12" s="518"/>
      <c r="D12" s="519">
        <f t="shared" si="2"/>
        <v>0</v>
      </c>
      <c r="E12" s="518"/>
      <c r="F12" s="519">
        <f t="shared" si="3"/>
        <v>0</v>
      </c>
      <c r="G12" s="518"/>
      <c r="H12" s="519">
        <f t="shared" si="4"/>
        <v>0</v>
      </c>
      <c r="I12" s="518"/>
      <c r="J12" s="519">
        <f t="shared" si="5"/>
        <v>0</v>
      </c>
      <c r="K12" s="518"/>
      <c r="L12" s="519">
        <f t="shared" si="6"/>
        <v>0</v>
      </c>
      <c r="M12" s="518"/>
      <c r="N12" s="519">
        <f t="shared" si="7"/>
        <v>0</v>
      </c>
      <c r="O12" s="518"/>
      <c r="P12" s="519">
        <f t="shared" si="8"/>
        <v>0</v>
      </c>
      <c r="Q12" s="518"/>
      <c r="R12" s="519">
        <f t="shared" si="9"/>
        <v>0</v>
      </c>
      <c r="S12" s="518"/>
      <c r="T12" s="519">
        <f t="shared" si="10"/>
        <v>0</v>
      </c>
      <c r="U12" s="518"/>
      <c r="V12" s="519">
        <f t="shared" si="11"/>
        <v>0</v>
      </c>
    </row>
    <row r="13" ht="14.25" customHeight="1">
      <c r="A13" s="516" t="str">
        <f t="shared" si="12"/>
        <v>#REF!</v>
      </c>
      <c r="B13" s="517">
        <v>10.0</v>
      </c>
      <c r="C13" s="518">
        <v>0.14</v>
      </c>
      <c r="D13" s="519">
        <f t="shared" si="2"/>
        <v>1.4</v>
      </c>
      <c r="E13" s="518"/>
      <c r="F13" s="519">
        <f t="shared" si="3"/>
        <v>0</v>
      </c>
      <c r="G13" s="518"/>
      <c r="H13" s="519">
        <f t="shared" si="4"/>
        <v>0</v>
      </c>
      <c r="I13" s="518"/>
      <c r="J13" s="519">
        <f t="shared" si="5"/>
        <v>0</v>
      </c>
      <c r="K13" s="518"/>
      <c r="L13" s="519">
        <f t="shared" si="6"/>
        <v>0</v>
      </c>
      <c r="M13" s="518">
        <v>0.1</v>
      </c>
      <c r="N13" s="519">
        <f t="shared" si="7"/>
        <v>1</v>
      </c>
      <c r="O13" s="518">
        <v>0.03</v>
      </c>
      <c r="P13" s="519">
        <f t="shared" si="8"/>
        <v>0.3</v>
      </c>
      <c r="Q13" s="518"/>
      <c r="R13" s="519">
        <f t="shared" si="9"/>
        <v>0</v>
      </c>
      <c r="S13" s="518"/>
      <c r="T13" s="519">
        <f t="shared" si="10"/>
        <v>0</v>
      </c>
      <c r="U13" s="518"/>
      <c r="V13" s="519">
        <f t="shared" si="11"/>
        <v>0</v>
      </c>
    </row>
    <row r="14" ht="14.25" customHeight="1">
      <c r="A14" s="516" t="str">
        <f t="shared" si="12"/>
        <v>#REF!</v>
      </c>
      <c r="B14" s="517">
        <v>5.0</v>
      </c>
      <c r="C14" s="518">
        <v>0.2</v>
      </c>
      <c r="D14" s="519">
        <f t="shared" si="2"/>
        <v>1</v>
      </c>
      <c r="E14" s="518"/>
      <c r="F14" s="519">
        <f t="shared" si="3"/>
        <v>0</v>
      </c>
      <c r="G14" s="518"/>
      <c r="H14" s="519">
        <f t="shared" si="4"/>
        <v>0</v>
      </c>
      <c r="I14" s="518"/>
      <c r="J14" s="519">
        <f t="shared" si="5"/>
        <v>0</v>
      </c>
      <c r="K14" s="518"/>
      <c r="L14" s="519">
        <f t="shared" si="6"/>
        <v>0</v>
      </c>
      <c r="M14" s="518"/>
      <c r="N14" s="519">
        <f t="shared" si="7"/>
        <v>0</v>
      </c>
      <c r="O14" s="518"/>
      <c r="P14" s="519">
        <f t="shared" si="8"/>
        <v>0</v>
      </c>
      <c r="Q14" s="518"/>
      <c r="R14" s="519">
        <f t="shared" si="9"/>
        <v>0</v>
      </c>
      <c r="S14" s="518"/>
      <c r="T14" s="519">
        <f t="shared" si="10"/>
        <v>0</v>
      </c>
      <c r="U14" s="518"/>
      <c r="V14" s="519">
        <f t="shared" si="11"/>
        <v>0</v>
      </c>
    </row>
    <row r="15" ht="14.25" customHeight="1">
      <c r="A15" s="516" t="str">
        <f t="shared" si="12"/>
        <v>#REF!</v>
      </c>
      <c r="B15" s="517">
        <v>6.0</v>
      </c>
      <c r="C15" s="518"/>
      <c r="D15" s="519">
        <f t="shared" si="2"/>
        <v>0</v>
      </c>
      <c r="E15" s="518"/>
      <c r="F15" s="519">
        <f t="shared" si="3"/>
        <v>0</v>
      </c>
      <c r="G15" s="518"/>
      <c r="H15" s="519">
        <f t="shared" si="4"/>
        <v>0</v>
      </c>
      <c r="I15" s="518"/>
      <c r="J15" s="519">
        <f t="shared" si="5"/>
        <v>0</v>
      </c>
      <c r="K15" s="518"/>
      <c r="L15" s="519">
        <f t="shared" si="6"/>
        <v>0</v>
      </c>
      <c r="M15" s="518"/>
      <c r="N15" s="519">
        <f t="shared" si="7"/>
        <v>0</v>
      </c>
      <c r="O15" s="518"/>
      <c r="P15" s="519">
        <f t="shared" si="8"/>
        <v>0</v>
      </c>
      <c r="Q15" s="518"/>
      <c r="R15" s="519">
        <f t="shared" si="9"/>
        <v>0</v>
      </c>
      <c r="S15" s="518"/>
      <c r="T15" s="519">
        <f t="shared" si="10"/>
        <v>0</v>
      </c>
      <c r="U15" s="518"/>
      <c r="V15" s="519">
        <f t="shared" si="11"/>
        <v>0</v>
      </c>
    </row>
    <row r="16" ht="14.25" customHeight="1">
      <c r="A16" s="516" t="str">
        <f t="shared" si="12"/>
        <v>#REF!</v>
      </c>
      <c r="B16" s="517"/>
      <c r="C16" s="518"/>
      <c r="D16" s="519">
        <f t="shared" si="2"/>
        <v>0</v>
      </c>
      <c r="E16" s="518"/>
      <c r="F16" s="519">
        <f t="shared" si="3"/>
        <v>0</v>
      </c>
      <c r="G16" s="518"/>
      <c r="H16" s="519">
        <f t="shared" si="4"/>
        <v>0</v>
      </c>
      <c r="I16" s="518"/>
      <c r="J16" s="519">
        <f t="shared" si="5"/>
        <v>0</v>
      </c>
      <c r="K16" s="518"/>
      <c r="L16" s="519">
        <f t="shared" si="6"/>
        <v>0</v>
      </c>
      <c r="M16" s="518">
        <v>0.4</v>
      </c>
      <c r="N16" s="519">
        <f t="shared" si="7"/>
        <v>0</v>
      </c>
      <c r="O16" s="518"/>
      <c r="P16" s="519">
        <f t="shared" si="8"/>
        <v>0</v>
      </c>
      <c r="Q16" s="518"/>
      <c r="R16" s="519">
        <f t="shared" si="9"/>
        <v>0</v>
      </c>
      <c r="S16" s="518"/>
      <c r="T16" s="519">
        <f t="shared" si="10"/>
        <v>0</v>
      </c>
      <c r="U16" s="518"/>
      <c r="V16" s="519">
        <f t="shared" si="11"/>
        <v>0</v>
      </c>
    </row>
    <row r="17" ht="14.25" customHeight="1">
      <c r="A17" s="516" t="str">
        <f t="shared" si="12"/>
        <v>#REF!</v>
      </c>
      <c r="B17" s="520"/>
      <c r="C17" s="518">
        <v>0.18</v>
      </c>
      <c r="D17" s="519">
        <f t="shared" si="2"/>
        <v>0</v>
      </c>
      <c r="E17" s="518"/>
      <c r="F17" s="519">
        <f t="shared" si="3"/>
        <v>0</v>
      </c>
      <c r="G17" s="518"/>
      <c r="H17" s="519">
        <f t="shared" si="4"/>
        <v>0</v>
      </c>
      <c r="I17" s="518"/>
      <c r="J17" s="519">
        <f t="shared" si="5"/>
        <v>0</v>
      </c>
      <c r="K17" s="518"/>
      <c r="L17" s="519">
        <f t="shared" si="6"/>
        <v>0</v>
      </c>
      <c r="M17" s="518"/>
      <c r="N17" s="519">
        <f t="shared" si="7"/>
        <v>0</v>
      </c>
      <c r="O17" s="518"/>
      <c r="P17" s="519">
        <f t="shared" si="8"/>
        <v>0</v>
      </c>
      <c r="Q17" s="518"/>
      <c r="R17" s="519">
        <f t="shared" si="9"/>
        <v>0</v>
      </c>
      <c r="S17" s="518"/>
      <c r="T17" s="519">
        <f t="shared" si="10"/>
        <v>0</v>
      </c>
      <c r="U17" s="518"/>
      <c r="V17" s="519">
        <f t="shared" si="11"/>
        <v>0</v>
      </c>
    </row>
    <row r="18" ht="14.25" customHeight="1">
      <c r="A18" s="516" t="str">
        <f t="shared" si="12"/>
        <v>#REF!</v>
      </c>
      <c r="B18" s="517">
        <v>14.0</v>
      </c>
      <c r="C18" s="518"/>
      <c r="D18" s="519">
        <f t="shared" si="2"/>
        <v>0</v>
      </c>
      <c r="E18" s="518">
        <v>0.4</v>
      </c>
      <c r="F18" s="519">
        <f t="shared" si="3"/>
        <v>5.6</v>
      </c>
      <c r="G18" s="518"/>
      <c r="H18" s="519">
        <f t="shared" si="4"/>
        <v>0</v>
      </c>
      <c r="I18" s="518"/>
      <c r="J18" s="519">
        <f t="shared" si="5"/>
        <v>0</v>
      </c>
      <c r="K18" s="518"/>
      <c r="L18" s="519">
        <f t="shared" si="6"/>
        <v>0</v>
      </c>
      <c r="M18" s="518"/>
      <c r="N18" s="519">
        <f t="shared" si="7"/>
        <v>0</v>
      </c>
      <c r="O18" s="518"/>
      <c r="P18" s="519">
        <f t="shared" si="8"/>
        <v>0</v>
      </c>
      <c r="Q18" s="518"/>
      <c r="R18" s="519">
        <f t="shared" si="9"/>
        <v>0</v>
      </c>
      <c r="S18" s="518"/>
      <c r="T18" s="519">
        <f t="shared" si="10"/>
        <v>0</v>
      </c>
      <c r="U18" s="518"/>
      <c r="V18" s="519">
        <f t="shared" si="11"/>
        <v>0</v>
      </c>
    </row>
    <row r="19" ht="14.25" customHeight="1">
      <c r="A19" s="516"/>
      <c r="B19" s="520"/>
      <c r="C19" s="518"/>
      <c r="D19" s="519"/>
      <c r="E19" s="518"/>
      <c r="F19" s="519"/>
      <c r="G19" s="518"/>
      <c r="H19" s="544"/>
      <c r="I19" s="518"/>
      <c r="J19" s="519"/>
      <c r="K19" s="518"/>
      <c r="L19" s="519"/>
      <c r="M19" s="518"/>
      <c r="N19" s="519"/>
      <c r="O19" s="518"/>
      <c r="P19" s="519"/>
      <c r="Q19" s="518"/>
      <c r="R19" s="519"/>
      <c r="S19" s="518"/>
      <c r="T19" s="519"/>
      <c r="U19" s="518"/>
      <c r="V19" s="519"/>
    </row>
    <row r="20" ht="14.25" customHeight="1">
      <c r="A20" s="516"/>
      <c r="B20" s="520"/>
      <c r="C20" s="518"/>
      <c r="D20" s="519"/>
      <c r="E20" s="518"/>
      <c r="F20" s="519"/>
      <c r="G20" s="518"/>
      <c r="H20" s="544"/>
      <c r="I20" s="518"/>
      <c r="J20" s="519"/>
      <c r="K20" s="518"/>
      <c r="L20" s="519"/>
      <c r="M20" s="518"/>
      <c r="N20" s="519"/>
      <c r="O20" s="518"/>
      <c r="P20" s="519"/>
      <c r="Q20" s="518"/>
      <c r="R20" s="519"/>
      <c r="S20" s="518"/>
      <c r="T20" s="519"/>
      <c r="U20" s="518"/>
      <c r="V20" s="519"/>
    </row>
    <row r="21" ht="14.25" customHeight="1">
      <c r="A21" s="516" t="str">
        <f t="shared" ref="A21:A26" si="13">'ENG MENU D'!A27</f>
        <v>#REF!</v>
      </c>
      <c r="B21" s="520"/>
      <c r="C21" s="514"/>
      <c r="D21" s="515"/>
      <c r="E21" s="515"/>
      <c r="F21" s="515"/>
      <c r="G21" s="515"/>
      <c r="H21" s="515"/>
      <c r="I21" s="515"/>
      <c r="J21" s="515"/>
      <c r="K21" s="515"/>
      <c r="L21" s="515"/>
      <c r="M21" s="515"/>
      <c r="N21" s="515"/>
      <c r="O21" s="515"/>
      <c r="P21" s="515"/>
      <c r="Q21" s="515"/>
      <c r="R21" s="515"/>
      <c r="S21" s="515"/>
      <c r="T21" s="515"/>
      <c r="U21" s="515"/>
      <c r="V21" s="515"/>
    </row>
    <row r="22" ht="14.25" customHeight="1">
      <c r="A22" s="516" t="str">
        <f t="shared" si="13"/>
        <v>#REF!</v>
      </c>
      <c r="B22" s="520"/>
      <c r="C22" s="518"/>
      <c r="D22" s="519">
        <f t="shared" ref="D22:D33" si="14">B22*C22</f>
        <v>0</v>
      </c>
      <c r="E22" s="518"/>
      <c r="F22" s="519">
        <f t="shared" ref="F22:F33" si="15">B22*E22</f>
        <v>0</v>
      </c>
      <c r="G22" s="518"/>
      <c r="H22" s="519">
        <f t="shared" ref="H22:H33" si="16">B22*G22</f>
        <v>0</v>
      </c>
      <c r="I22" s="518"/>
      <c r="J22" s="519">
        <f t="shared" ref="J22:J33" si="17">B22*I22</f>
        <v>0</v>
      </c>
      <c r="K22" s="518"/>
      <c r="L22" s="519">
        <f t="shared" ref="L22:L33" si="18">B22*K22</f>
        <v>0</v>
      </c>
      <c r="M22" s="518"/>
      <c r="N22" s="519">
        <f t="shared" ref="N22:N33" si="19">B22*M22</f>
        <v>0</v>
      </c>
      <c r="O22" s="518"/>
      <c r="P22" s="519">
        <f t="shared" ref="P22:P33" si="20">B22*O22</f>
        <v>0</v>
      </c>
      <c r="Q22" s="518"/>
      <c r="R22" s="519">
        <f t="shared" ref="R22:R33" si="21">B22*Q22</f>
        <v>0</v>
      </c>
      <c r="S22" s="518"/>
      <c r="T22" s="519">
        <f t="shared" ref="T22:T33" si="22">B22*S22</f>
        <v>0</v>
      </c>
      <c r="U22" s="518">
        <v>0.02</v>
      </c>
      <c r="V22" s="519">
        <f t="shared" ref="V22:V33" si="23">B22*U22</f>
        <v>0</v>
      </c>
    </row>
    <row r="23" ht="14.25" customHeight="1">
      <c r="A23" s="516" t="str">
        <f t="shared" si="13"/>
        <v>#REF!</v>
      </c>
      <c r="B23" s="517">
        <v>10.0</v>
      </c>
      <c r="C23" s="518"/>
      <c r="D23" s="519">
        <f t="shared" si="14"/>
        <v>0</v>
      </c>
      <c r="E23" s="518"/>
      <c r="F23" s="519">
        <f t="shared" si="15"/>
        <v>0</v>
      </c>
      <c r="G23" s="518"/>
      <c r="H23" s="519">
        <f t="shared" si="16"/>
        <v>0</v>
      </c>
      <c r="I23" s="518"/>
      <c r="J23" s="519">
        <f t="shared" si="17"/>
        <v>0</v>
      </c>
      <c r="K23" s="518"/>
      <c r="L23" s="519">
        <f t="shared" si="18"/>
        <v>0</v>
      </c>
      <c r="M23" s="518"/>
      <c r="N23" s="519">
        <f t="shared" si="19"/>
        <v>0</v>
      </c>
      <c r="O23" s="518"/>
      <c r="P23" s="519">
        <f t="shared" si="20"/>
        <v>0</v>
      </c>
      <c r="Q23" s="518"/>
      <c r="R23" s="519">
        <f t="shared" si="21"/>
        <v>0</v>
      </c>
      <c r="S23" s="518"/>
      <c r="T23" s="519">
        <f t="shared" si="22"/>
        <v>0</v>
      </c>
      <c r="U23" s="518"/>
      <c r="V23" s="519">
        <f t="shared" si="23"/>
        <v>0</v>
      </c>
    </row>
    <row r="24" ht="14.25" customHeight="1">
      <c r="A24" s="516" t="str">
        <f t="shared" si="13"/>
        <v>#REF!</v>
      </c>
      <c r="B24" s="517">
        <v>10.0</v>
      </c>
      <c r="C24" s="518"/>
      <c r="D24" s="519">
        <f t="shared" si="14"/>
        <v>0</v>
      </c>
      <c r="E24" s="518"/>
      <c r="F24" s="519">
        <f t="shared" si="15"/>
        <v>0</v>
      </c>
      <c r="G24" s="518"/>
      <c r="H24" s="519">
        <f t="shared" si="16"/>
        <v>0</v>
      </c>
      <c r="I24" s="518"/>
      <c r="J24" s="519">
        <f t="shared" si="17"/>
        <v>0</v>
      </c>
      <c r="K24" s="518"/>
      <c r="L24" s="519">
        <f t="shared" si="18"/>
        <v>0</v>
      </c>
      <c r="M24" s="518"/>
      <c r="N24" s="519">
        <f t="shared" si="19"/>
        <v>0</v>
      </c>
      <c r="O24" s="518"/>
      <c r="P24" s="519">
        <f t="shared" si="20"/>
        <v>0</v>
      </c>
      <c r="Q24" s="518"/>
      <c r="R24" s="519">
        <f t="shared" si="21"/>
        <v>0</v>
      </c>
      <c r="S24" s="518"/>
      <c r="T24" s="519">
        <f t="shared" si="22"/>
        <v>0</v>
      </c>
      <c r="U24" s="518">
        <v>0.05</v>
      </c>
      <c r="V24" s="519">
        <f t="shared" si="23"/>
        <v>0.5</v>
      </c>
    </row>
    <row r="25" ht="14.25" customHeight="1">
      <c r="A25" s="516" t="str">
        <f t="shared" si="13"/>
        <v>#REF!</v>
      </c>
      <c r="B25" s="517">
        <v>12.0</v>
      </c>
      <c r="C25" s="518">
        <v>0.16</v>
      </c>
      <c r="D25" s="519">
        <f t="shared" si="14"/>
        <v>1.92</v>
      </c>
      <c r="E25" s="518"/>
      <c r="F25" s="519">
        <f t="shared" si="15"/>
        <v>0</v>
      </c>
      <c r="G25" s="518"/>
      <c r="H25" s="519">
        <f t="shared" si="16"/>
        <v>0</v>
      </c>
      <c r="I25" s="518"/>
      <c r="J25" s="519">
        <f t="shared" si="17"/>
        <v>0</v>
      </c>
      <c r="K25" s="518"/>
      <c r="L25" s="519">
        <f t="shared" si="18"/>
        <v>0</v>
      </c>
      <c r="M25" s="518"/>
      <c r="N25" s="519">
        <f t="shared" si="19"/>
        <v>0</v>
      </c>
      <c r="O25" s="518"/>
      <c r="P25" s="519">
        <f t="shared" si="20"/>
        <v>0</v>
      </c>
      <c r="Q25" s="518"/>
      <c r="R25" s="519">
        <f t="shared" si="21"/>
        <v>0</v>
      </c>
      <c r="S25" s="518"/>
      <c r="T25" s="519">
        <f t="shared" si="22"/>
        <v>0</v>
      </c>
      <c r="U25" s="518">
        <v>0.05</v>
      </c>
      <c r="V25" s="519">
        <f t="shared" si="23"/>
        <v>0.6</v>
      </c>
    </row>
    <row r="26" ht="14.25" customHeight="1">
      <c r="A26" s="516" t="str">
        <f t="shared" si="13"/>
        <v>#REF!</v>
      </c>
      <c r="B26" s="517">
        <v>4.0</v>
      </c>
      <c r="C26" s="518"/>
      <c r="D26" s="519">
        <f t="shared" si="14"/>
        <v>0</v>
      </c>
      <c r="E26" s="518"/>
      <c r="F26" s="519">
        <f t="shared" si="15"/>
        <v>0</v>
      </c>
      <c r="G26" s="518"/>
      <c r="H26" s="519">
        <f t="shared" si="16"/>
        <v>0</v>
      </c>
      <c r="I26" s="518"/>
      <c r="J26" s="519">
        <f t="shared" si="17"/>
        <v>0</v>
      </c>
      <c r="K26" s="518"/>
      <c r="L26" s="519">
        <f t="shared" si="18"/>
        <v>0</v>
      </c>
      <c r="M26" s="518"/>
      <c r="N26" s="519">
        <f t="shared" si="19"/>
        <v>0</v>
      </c>
      <c r="O26" s="518"/>
      <c r="P26" s="519">
        <f t="shared" si="20"/>
        <v>0</v>
      </c>
      <c r="Q26" s="518"/>
      <c r="R26" s="519">
        <f t="shared" si="21"/>
        <v>0</v>
      </c>
      <c r="S26" s="518"/>
      <c r="T26" s="519">
        <f t="shared" si="22"/>
        <v>0</v>
      </c>
      <c r="U26" s="518"/>
      <c r="V26" s="519">
        <f t="shared" si="23"/>
        <v>0</v>
      </c>
    </row>
    <row r="27" ht="14.25" customHeight="1">
      <c r="A27" s="546" t="s">
        <v>12</v>
      </c>
      <c r="B27" s="520"/>
      <c r="C27" s="518"/>
      <c r="D27" s="519">
        <f t="shared" si="14"/>
        <v>0</v>
      </c>
      <c r="E27" s="518"/>
      <c r="F27" s="519">
        <f t="shared" si="15"/>
        <v>0</v>
      </c>
      <c r="G27" s="518"/>
      <c r="H27" s="519">
        <f t="shared" si="16"/>
        <v>0</v>
      </c>
      <c r="I27" s="518"/>
      <c r="J27" s="519">
        <f t="shared" si="17"/>
        <v>0</v>
      </c>
      <c r="K27" s="518"/>
      <c r="L27" s="519">
        <f t="shared" si="18"/>
        <v>0</v>
      </c>
      <c r="M27" s="518"/>
      <c r="N27" s="519">
        <f t="shared" si="19"/>
        <v>0</v>
      </c>
      <c r="O27" s="518"/>
      <c r="P27" s="519">
        <f t="shared" si="20"/>
        <v>0</v>
      </c>
      <c r="Q27" s="518"/>
      <c r="R27" s="519">
        <f t="shared" si="21"/>
        <v>0</v>
      </c>
      <c r="S27" s="518"/>
      <c r="T27" s="519">
        <f t="shared" si="22"/>
        <v>0</v>
      </c>
      <c r="U27" s="518"/>
      <c r="V27" s="519">
        <f t="shared" si="23"/>
        <v>0</v>
      </c>
    </row>
    <row r="28" ht="14.25" customHeight="1">
      <c r="A28" s="546" t="s">
        <v>12</v>
      </c>
      <c r="B28" s="520"/>
      <c r="C28" s="518">
        <v>0.16</v>
      </c>
      <c r="D28" s="519">
        <f t="shared" si="14"/>
        <v>0</v>
      </c>
      <c r="E28" s="518"/>
      <c r="F28" s="519">
        <f t="shared" si="15"/>
        <v>0</v>
      </c>
      <c r="G28" s="518"/>
      <c r="H28" s="519">
        <f t="shared" si="16"/>
        <v>0</v>
      </c>
      <c r="I28" s="518"/>
      <c r="J28" s="519">
        <f t="shared" si="17"/>
        <v>0</v>
      </c>
      <c r="K28" s="518"/>
      <c r="L28" s="519">
        <f t="shared" si="18"/>
        <v>0</v>
      </c>
      <c r="M28" s="518"/>
      <c r="N28" s="519">
        <f t="shared" si="19"/>
        <v>0</v>
      </c>
      <c r="O28" s="518"/>
      <c r="P28" s="519">
        <f t="shared" si="20"/>
        <v>0</v>
      </c>
      <c r="Q28" s="518"/>
      <c r="R28" s="519">
        <f t="shared" si="21"/>
        <v>0</v>
      </c>
      <c r="S28" s="518"/>
      <c r="T28" s="519">
        <f t="shared" si="22"/>
        <v>0</v>
      </c>
      <c r="U28" s="518"/>
      <c r="V28" s="519">
        <f t="shared" si="23"/>
        <v>0</v>
      </c>
    </row>
    <row r="29" ht="14.25" customHeight="1">
      <c r="A29" s="516" t="str">
        <f t="shared" ref="A29:A30" si="24">'ENG MENU D'!A35</f>
        <v>#REF!</v>
      </c>
      <c r="B29" s="517">
        <v>13.0</v>
      </c>
      <c r="C29" s="518"/>
      <c r="D29" s="519">
        <f t="shared" si="14"/>
        <v>0</v>
      </c>
      <c r="E29" s="518"/>
      <c r="F29" s="519">
        <f t="shared" si="15"/>
        <v>0</v>
      </c>
      <c r="G29" s="518"/>
      <c r="H29" s="519">
        <f t="shared" si="16"/>
        <v>0</v>
      </c>
      <c r="I29" s="518"/>
      <c r="J29" s="519">
        <f t="shared" si="17"/>
        <v>0</v>
      </c>
      <c r="K29" s="518"/>
      <c r="L29" s="519">
        <f t="shared" si="18"/>
        <v>0</v>
      </c>
      <c r="M29" s="518"/>
      <c r="N29" s="519">
        <f t="shared" si="19"/>
        <v>0</v>
      </c>
      <c r="O29" s="518"/>
      <c r="P29" s="519">
        <f t="shared" si="20"/>
        <v>0</v>
      </c>
      <c r="Q29" s="518"/>
      <c r="R29" s="519">
        <f t="shared" si="21"/>
        <v>0</v>
      </c>
      <c r="S29" s="518"/>
      <c r="T29" s="519">
        <f t="shared" si="22"/>
        <v>0</v>
      </c>
      <c r="U29" s="518"/>
      <c r="V29" s="519">
        <f t="shared" si="23"/>
        <v>0</v>
      </c>
    </row>
    <row r="30" ht="14.25" customHeight="1">
      <c r="A30" s="516" t="str">
        <f t="shared" si="24"/>
        <v>#REF!</v>
      </c>
      <c r="B30" s="517">
        <v>13.0</v>
      </c>
      <c r="C30" s="518">
        <v>0.16</v>
      </c>
      <c r="D30" s="519">
        <f t="shared" si="14"/>
        <v>2.08</v>
      </c>
      <c r="E30" s="518"/>
      <c r="F30" s="519">
        <f t="shared" si="15"/>
        <v>0</v>
      </c>
      <c r="G30" s="518"/>
      <c r="H30" s="519">
        <f t="shared" si="16"/>
        <v>0</v>
      </c>
      <c r="I30" s="518"/>
      <c r="J30" s="519">
        <f t="shared" si="17"/>
        <v>0</v>
      </c>
      <c r="K30" s="518"/>
      <c r="L30" s="519">
        <f t="shared" si="18"/>
        <v>0</v>
      </c>
      <c r="M30" s="518"/>
      <c r="N30" s="519">
        <f t="shared" si="19"/>
        <v>0</v>
      </c>
      <c r="O30" s="518"/>
      <c r="P30" s="519">
        <f t="shared" si="20"/>
        <v>0</v>
      </c>
      <c r="Q30" s="518"/>
      <c r="R30" s="519">
        <f t="shared" si="21"/>
        <v>0</v>
      </c>
      <c r="S30" s="518"/>
      <c r="T30" s="519">
        <f t="shared" si="22"/>
        <v>0</v>
      </c>
      <c r="U30" s="518"/>
      <c r="V30" s="519">
        <f t="shared" si="23"/>
        <v>0</v>
      </c>
    </row>
    <row r="31" ht="14.25" customHeight="1">
      <c r="A31" s="546" t="s">
        <v>1492</v>
      </c>
      <c r="B31" s="517">
        <v>3.0</v>
      </c>
      <c r="C31" s="518"/>
      <c r="D31" s="519">
        <f t="shared" si="14"/>
        <v>0</v>
      </c>
      <c r="E31" s="518"/>
      <c r="F31" s="519">
        <f t="shared" si="15"/>
        <v>0</v>
      </c>
      <c r="G31" s="518"/>
      <c r="H31" s="519">
        <f t="shared" si="16"/>
        <v>0</v>
      </c>
      <c r="I31" s="518"/>
      <c r="J31" s="519">
        <f t="shared" si="17"/>
        <v>0</v>
      </c>
      <c r="K31" s="518"/>
      <c r="L31" s="519">
        <f t="shared" si="18"/>
        <v>0</v>
      </c>
      <c r="M31" s="518"/>
      <c r="N31" s="519">
        <f t="shared" si="19"/>
        <v>0</v>
      </c>
      <c r="O31" s="518"/>
      <c r="P31" s="519">
        <f t="shared" si="20"/>
        <v>0</v>
      </c>
      <c r="Q31" s="518"/>
      <c r="R31" s="519">
        <f t="shared" si="21"/>
        <v>0</v>
      </c>
      <c r="S31" s="518"/>
      <c r="T31" s="519">
        <f t="shared" si="22"/>
        <v>0</v>
      </c>
      <c r="U31" s="518"/>
      <c r="V31" s="519">
        <f t="shared" si="23"/>
        <v>0</v>
      </c>
    </row>
    <row r="32" ht="14.25" customHeight="1">
      <c r="A32" s="516" t="str">
        <f t="shared" ref="A32:A33" si="25">'ENG MENU D'!A38</f>
        <v>#REF!</v>
      </c>
      <c r="B32" s="517">
        <v>4.0</v>
      </c>
      <c r="C32" s="518">
        <v>0.16</v>
      </c>
      <c r="D32" s="519">
        <f t="shared" si="14"/>
        <v>0.64</v>
      </c>
      <c r="E32" s="518"/>
      <c r="F32" s="519">
        <f t="shared" si="15"/>
        <v>0</v>
      </c>
      <c r="G32" s="518"/>
      <c r="H32" s="519">
        <f t="shared" si="16"/>
        <v>0</v>
      </c>
      <c r="I32" s="518"/>
      <c r="J32" s="519">
        <f t="shared" si="17"/>
        <v>0</v>
      </c>
      <c r="K32" s="518"/>
      <c r="L32" s="519">
        <f t="shared" si="18"/>
        <v>0</v>
      </c>
      <c r="M32" s="518"/>
      <c r="N32" s="519">
        <f t="shared" si="19"/>
        <v>0</v>
      </c>
      <c r="O32" s="518">
        <v>0.04</v>
      </c>
      <c r="P32" s="519">
        <f t="shared" si="20"/>
        <v>0.16</v>
      </c>
      <c r="Q32" s="518"/>
      <c r="R32" s="519">
        <f t="shared" si="21"/>
        <v>0</v>
      </c>
      <c r="S32" s="518"/>
      <c r="T32" s="519">
        <f t="shared" si="22"/>
        <v>0</v>
      </c>
      <c r="U32" s="518"/>
      <c r="V32" s="519">
        <f t="shared" si="23"/>
        <v>0</v>
      </c>
    </row>
    <row r="33" ht="14.25" customHeight="1">
      <c r="A33" s="516" t="str">
        <f t="shared" si="25"/>
        <v>#REF!</v>
      </c>
      <c r="B33" s="517">
        <v>5.0</v>
      </c>
      <c r="C33" s="518">
        <v>0.16</v>
      </c>
      <c r="D33" s="519">
        <f t="shared" si="14"/>
        <v>0.8</v>
      </c>
      <c r="E33" s="518"/>
      <c r="F33" s="519">
        <f t="shared" si="15"/>
        <v>0</v>
      </c>
      <c r="G33" s="518"/>
      <c r="H33" s="519">
        <f t="shared" si="16"/>
        <v>0</v>
      </c>
      <c r="I33" s="518"/>
      <c r="J33" s="519">
        <f t="shared" si="17"/>
        <v>0</v>
      </c>
      <c r="K33" s="518"/>
      <c r="L33" s="519">
        <f t="shared" si="18"/>
        <v>0</v>
      </c>
      <c r="M33" s="518"/>
      <c r="N33" s="519">
        <f t="shared" si="19"/>
        <v>0</v>
      </c>
      <c r="O33" s="518">
        <v>1.04</v>
      </c>
      <c r="P33" s="519">
        <f t="shared" si="20"/>
        <v>5.2</v>
      </c>
      <c r="Q33" s="518"/>
      <c r="R33" s="519">
        <f t="shared" si="21"/>
        <v>0</v>
      </c>
      <c r="S33" s="518"/>
      <c r="T33" s="519">
        <f t="shared" si="22"/>
        <v>0</v>
      </c>
      <c r="U33" s="518"/>
      <c r="V33" s="519">
        <f t="shared" si="23"/>
        <v>0</v>
      </c>
    </row>
    <row r="34" ht="14.25" customHeight="1">
      <c r="A34" s="516" t="s">
        <v>12</v>
      </c>
      <c r="B34" s="520"/>
      <c r="C34" s="518"/>
      <c r="D34" s="519"/>
      <c r="E34" s="518"/>
      <c r="F34" s="519"/>
      <c r="G34" s="518"/>
      <c r="H34" s="519"/>
      <c r="I34" s="518"/>
      <c r="J34" s="519"/>
      <c r="K34" s="518"/>
      <c r="L34" s="519"/>
      <c r="M34" s="518"/>
      <c r="N34" s="519"/>
      <c r="O34" s="518"/>
      <c r="P34" s="519"/>
      <c r="Q34" s="518"/>
      <c r="R34" s="519"/>
      <c r="S34" s="518"/>
      <c r="T34" s="519"/>
      <c r="U34" s="518"/>
      <c r="V34" s="519"/>
    </row>
    <row r="35" ht="14.25" customHeight="1">
      <c r="A35" s="516" t="str">
        <f t="shared" ref="A35:A41" si="26">'ENG MENU D'!A44</f>
        <v>#REF!</v>
      </c>
      <c r="B35" s="520"/>
      <c r="C35" s="514"/>
      <c r="D35" s="515"/>
      <c r="E35" s="515"/>
      <c r="F35" s="515"/>
      <c r="G35" s="515"/>
      <c r="H35" s="515"/>
      <c r="I35" s="515"/>
      <c r="J35" s="515"/>
      <c r="K35" s="515"/>
      <c r="L35" s="515"/>
      <c r="M35" s="515"/>
      <c r="N35" s="515"/>
      <c r="O35" s="515"/>
      <c r="P35" s="515"/>
      <c r="Q35" s="550"/>
      <c r="R35" s="550"/>
      <c r="S35" s="550"/>
      <c r="T35" s="550"/>
      <c r="U35" s="550"/>
      <c r="V35" s="550"/>
    </row>
    <row r="36" ht="14.25" customHeight="1">
      <c r="A36" s="516" t="str">
        <f t="shared" si="26"/>
        <v>#REF!</v>
      </c>
      <c r="B36" s="517">
        <v>7.0</v>
      </c>
      <c r="C36" s="518"/>
      <c r="D36" s="519">
        <f t="shared" ref="D36:D41" si="27">B36*C36</f>
        <v>0</v>
      </c>
      <c r="E36" s="518"/>
      <c r="F36" s="519">
        <f t="shared" ref="F36:F41" si="28">B36*E36</f>
        <v>0</v>
      </c>
      <c r="G36" s="518"/>
      <c r="H36" s="519">
        <f t="shared" ref="H36:H41" si="29">B36*G36</f>
        <v>0</v>
      </c>
      <c r="I36" s="518"/>
      <c r="J36" s="519">
        <f t="shared" ref="J36:J41" si="30">B36*I36</f>
        <v>0</v>
      </c>
      <c r="K36" s="518"/>
      <c r="L36" s="519">
        <f t="shared" ref="L36:L41" si="31">B36*K36</f>
        <v>0</v>
      </c>
      <c r="M36" s="518"/>
      <c r="N36" s="519">
        <f t="shared" ref="N36:N41" si="32">B36*M36</f>
        <v>0</v>
      </c>
      <c r="O36" s="518"/>
      <c r="P36" s="519">
        <f t="shared" ref="P36:P41" si="33">B36*O36</f>
        <v>0</v>
      </c>
      <c r="Q36" s="518">
        <v>0.2</v>
      </c>
      <c r="R36" s="519">
        <f t="shared" ref="R36:R42" si="34">B36*Q36</f>
        <v>1.4</v>
      </c>
      <c r="S36" s="518"/>
      <c r="T36" s="519">
        <f t="shared" ref="T36:T41" si="35">B36*S36</f>
        <v>0</v>
      </c>
      <c r="U36" s="518"/>
      <c r="V36" s="519">
        <f t="shared" ref="V36:V41" si="36">B36*U36</f>
        <v>0</v>
      </c>
    </row>
    <row r="37" ht="14.25" customHeight="1">
      <c r="A37" s="516" t="str">
        <f t="shared" si="26"/>
        <v>#REF!</v>
      </c>
      <c r="B37" s="517">
        <v>3.0</v>
      </c>
      <c r="C37" s="518"/>
      <c r="D37" s="519">
        <f t="shared" si="27"/>
        <v>0</v>
      </c>
      <c r="E37" s="518"/>
      <c r="F37" s="519">
        <f t="shared" si="28"/>
        <v>0</v>
      </c>
      <c r="G37" s="518"/>
      <c r="H37" s="519">
        <f t="shared" si="29"/>
        <v>0</v>
      </c>
      <c r="I37" s="518"/>
      <c r="J37" s="519">
        <f t="shared" si="30"/>
        <v>0</v>
      </c>
      <c r="K37" s="518"/>
      <c r="L37" s="519">
        <f t="shared" si="31"/>
        <v>0</v>
      </c>
      <c r="M37" s="518"/>
      <c r="N37" s="519">
        <f t="shared" si="32"/>
        <v>0</v>
      </c>
      <c r="O37" s="518"/>
      <c r="P37" s="519">
        <f t="shared" si="33"/>
        <v>0</v>
      </c>
      <c r="Q37" s="518">
        <v>0.2</v>
      </c>
      <c r="R37" s="519">
        <f t="shared" si="34"/>
        <v>0.6</v>
      </c>
      <c r="S37" s="518"/>
      <c r="T37" s="519">
        <f t="shared" si="35"/>
        <v>0</v>
      </c>
      <c r="U37" s="518"/>
      <c r="V37" s="519">
        <f t="shared" si="36"/>
        <v>0</v>
      </c>
    </row>
    <row r="38" ht="14.25" customHeight="1">
      <c r="A38" s="516" t="str">
        <f t="shared" si="26"/>
        <v>#REF!</v>
      </c>
      <c r="B38" s="517">
        <v>9.0</v>
      </c>
      <c r="C38" s="518"/>
      <c r="D38" s="519">
        <f t="shared" si="27"/>
        <v>0</v>
      </c>
      <c r="E38" s="518"/>
      <c r="F38" s="519">
        <f t="shared" si="28"/>
        <v>0</v>
      </c>
      <c r="G38" s="518"/>
      <c r="H38" s="519">
        <f t="shared" si="29"/>
        <v>0</v>
      </c>
      <c r="I38" s="518"/>
      <c r="J38" s="519">
        <f t="shared" si="30"/>
        <v>0</v>
      </c>
      <c r="K38" s="518"/>
      <c r="L38" s="519">
        <f t="shared" si="31"/>
        <v>0</v>
      </c>
      <c r="M38" s="518"/>
      <c r="N38" s="519">
        <f t="shared" si="32"/>
        <v>0</v>
      </c>
      <c r="O38" s="518"/>
      <c r="P38" s="519">
        <f t="shared" si="33"/>
        <v>0</v>
      </c>
      <c r="Q38" s="518">
        <v>0.2</v>
      </c>
      <c r="R38" s="519">
        <f t="shared" si="34"/>
        <v>1.8</v>
      </c>
      <c r="S38" s="518"/>
      <c r="T38" s="519">
        <f t="shared" si="35"/>
        <v>0</v>
      </c>
      <c r="U38" s="518"/>
      <c r="V38" s="519">
        <f t="shared" si="36"/>
        <v>0</v>
      </c>
    </row>
    <row r="39" ht="14.25" customHeight="1">
      <c r="A39" s="516" t="str">
        <f t="shared" si="26"/>
        <v>#REF!</v>
      </c>
      <c r="B39" s="517">
        <v>17.0</v>
      </c>
      <c r="C39" s="518"/>
      <c r="D39" s="519">
        <f t="shared" si="27"/>
        <v>0</v>
      </c>
      <c r="E39" s="518">
        <v>0.04</v>
      </c>
      <c r="F39" s="519">
        <f t="shared" si="28"/>
        <v>0.68</v>
      </c>
      <c r="G39" s="518"/>
      <c r="H39" s="519">
        <f t="shared" si="29"/>
        <v>0</v>
      </c>
      <c r="I39" s="518"/>
      <c r="J39" s="519">
        <f t="shared" si="30"/>
        <v>0</v>
      </c>
      <c r="K39" s="518"/>
      <c r="L39" s="519">
        <f t="shared" si="31"/>
        <v>0</v>
      </c>
      <c r="M39" s="518"/>
      <c r="N39" s="519">
        <f t="shared" si="32"/>
        <v>0</v>
      </c>
      <c r="O39" s="518"/>
      <c r="P39" s="519">
        <f t="shared" si="33"/>
        <v>0</v>
      </c>
      <c r="Q39" s="518">
        <v>0.2</v>
      </c>
      <c r="R39" s="519">
        <f t="shared" si="34"/>
        <v>3.4</v>
      </c>
      <c r="S39" s="518"/>
      <c r="T39" s="519">
        <f t="shared" si="35"/>
        <v>0</v>
      </c>
      <c r="U39" s="518"/>
      <c r="V39" s="519">
        <f t="shared" si="36"/>
        <v>0</v>
      </c>
    </row>
    <row r="40" ht="14.25" customHeight="1">
      <c r="A40" s="516" t="str">
        <f t="shared" si="26"/>
        <v>#REF!</v>
      </c>
      <c r="B40" s="517">
        <v>4.0</v>
      </c>
      <c r="C40" s="518">
        <v>0.16</v>
      </c>
      <c r="D40" s="519">
        <f t="shared" si="27"/>
        <v>0.64</v>
      </c>
      <c r="E40" s="518"/>
      <c r="F40" s="519">
        <f t="shared" si="28"/>
        <v>0</v>
      </c>
      <c r="G40" s="518"/>
      <c r="H40" s="519">
        <f t="shared" si="29"/>
        <v>0</v>
      </c>
      <c r="I40" s="518"/>
      <c r="J40" s="519">
        <f t="shared" si="30"/>
        <v>0</v>
      </c>
      <c r="K40" s="518"/>
      <c r="L40" s="519">
        <f t="shared" si="31"/>
        <v>0</v>
      </c>
      <c r="M40" s="518"/>
      <c r="N40" s="519">
        <f t="shared" si="32"/>
        <v>0</v>
      </c>
      <c r="O40" s="518"/>
      <c r="P40" s="519">
        <f t="shared" si="33"/>
        <v>0</v>
      </c>
      <c r="Q40" s="518">
        <v>0.2</v>
      </c>
      <c r="R40" s="519">
        <f t="shared" si="34"/>
        <v>0.8</v>
      </c>
      <c r="S40" s="518"/>
      <c r="T40" s="519">
        <f t="shared" si="35"/>
        <v>0</v>
      </c>
      <c r="U40" s="518"/>
      <c r="V40" s="519">
        <f t="shared" si="36"/>
        <v>0</v>
      </c>
    </row>
    <row r="41" ht="14.25" customHeight="1">
      <c r="A41" s="516" t="str">
        <f t="shared" si="26"/>
        <v>#REF!</v>
      </c>
      <c r="B41" s="520"/>
      <c r="C41" s="518"/>
      <c r="D41" s="519">
        <f t="shared" si="27"/>
        <v>0</v>
      </c>
      <c r="E41" s="518"/>
      <c r="F41" s="519">
        <f t="shared" si="28"/>
        <v>0</v>
      </c>
      <c r="G41" s="518"/>
      <c r="H41" s="519">
        <f t="shared" si="29"/>
        <v>0</v>
      </c>
      <c r="I41" s="518"/>
      <c r="J41" s="519">
        <f t="shared" si="30"/>
        <v>0</v>
      </c>
      <c r="K41" s="518"/>
      <c r="L41" s="519">
        <f t="shared" si="31"/>
        <v>0</v>
      </c>
      <c r="M41" s="518"/>
      <c r="N41" s="519">
        <f t="shared" si="32"/>
        <v>0</v>
      </c>
      <c r="O41" s="518"/>
      <c r="P41" s="519">
        <f t="shared" si="33"/>
        <v>0</v>
      </c>
      <c r="Q41" s="518">
        <v>0.2</v>
      </c>
      <c r="R41" s="519">
        <f t="shared" si="34"/>
        <v>0</v>
      </c>
      <c r="S41" s="518"/>
      <c r="T41" s="519">
        <f t="shared" si="35"/>
        <v>0</v>
      </c>
      <c r="U41" s="518">
        <v>0.04</v>
      </c>
      <c r="V41" s="519">
        <f t="shared" si="36"/>
        <v>0</v>
      </c>
    </row>
    <row r="42" ht="14.25" customHeight="1">
      <c r="A42" s="546" t="s">
        <v>381</v>
      </c>
      <c r="B42" s="517">
        <v>1.0</v>
      </c>
      <c r="C42" s="518"/>
      <c r="D42" s="519"/>
      <c r="E42" s="518"/>
      <c r="F42" s="519"/>
      <c r="G42" s="518"/>
      <c r="H42" s="519"/>
      <c r="I42" s="518"/>
      <c r="J42" s="519"/>
      <c r="K42" s="518"/>
      <c r="L42" s="519"/>
      <c r="M42" s="518"/>
      <c r="N42" s="519"/>
      <c r="O42" s="518"/>
      <c r="P42" s="519"/>
      <c r="Q42" s="518">
        <v>0.2</v>
      </c>
      <c r="R42" s="519">
        <f t="shared" si="34"/>
        <v>0.2</v>
      </c>
      <c r="S42" s="518"/>
      <c r="T42" s="519"/>
      <c r="U42" s="518"/>
      <c r="V42" s="519"/>
    </row>
    <row r="43" ht="14.25" customHeight="1">
      <c r="A43" s="516"/>
      <c r="B43" s="520"/>
      <c r="C43" s="518"/>
      <c r="D43" s="519"/>
      <c r="E43" s="518"/>
      <c r="F43" s="519"/>
      <c r="G43" s="518"/>
      <c r="H43" s="519"/>
      <c r="I43" s="518"/>
      <c r="J43" s="519"/>
      <c r="K43" s="518"/>
      <c r="L43" s="519"/>
      <c r="M43" s="518"/>
      <c r="N43" s="519"/>
      <c r="O43" s="518"/>
      <c r="P43" s="519"/>
      <c r="Q43" s="518"/>
      <c r="R43" s="519"/>
      <c r="S43" s="518"/>
      <c r="T43" s="519"/>
      <c r="U43" s="518"/>
      <c r="V43" s="519"/>
    </row>
    <row r="44" ht="14.25" customHeight="1">
      <c r="A44" s="516" t="str">
        <f t="shared" ref="A44:A50" si="37">'ENG MENU D'!A53</f>
        <v>#REF!</v>
      </c>
      <c r="B44" s="520"/>
      <c r="C44" s="514"/>
      <c r="D44" s="515"/>
      <c r="E44" s="515"/>
      <c r="F44" s="515"/>
      <c r="G44" s="515"/>
      <c r="H44" s="515"/>
      <c r="I44" s="515"/>
      <c r="J44" s="515"/>
      <c r="K44" s="515"/>
      <c r="L44" s="515"/>
      <c r="M44" s="515"/>
      <c r="N44" s="515"/>
      <c r="O44" s="515"/>
      <c r="P44" s="515"/>
      <c r="Q44" s="550"/>
      <c r="R44" s="550"/>
      <c r="S44" s="550"/>
      <c r="T44" s="550"/>
      <c r="U44" s="550"/>
      <c r="V44" s="550"/>
    </row>
    <row r="45" ht="14.25" customHeight="1">
      <c r="A45" s="516" t="str">
        <f t="shared" si="37"/>
        <v>#REF!</v>
      </c>
      <c r="B45" s="517">
        <v>2.0</v>
      </c>
      <c r="C45" s="518"/>
      <c r="D45" s="519">
        <f t="shared" ref="D45:D52" si="38">B45*C45</f>
        <v>0</v>
      </c>
      <c r="E45" s="518"/>
      <c r="F45" s="519">
        <f t="shared" ref="F45:F52" si="39">B45*E45</f>
        <v>0</v>
      </c>
      <c r="G45" s="518"/>
      <c r="H45" s="519">
        <f t="shared" ref="H45:H52" si="40">B45*G45</f>
        <v>0</v>
      </c>
      <c r="I45" s="518"/>
      <c r="J45" s="519">
        <f t="shared" ref="J45:J52" si="41">B45*I45</f>
        <v>0</v>
      </c>
      <c r="K45" s="518"/>
      <c r="L45" s="519">
        <f t="shared" ref="L45:L52" si="42">B45*K45</f>
        <v>0</v>
      </c>
      <c r="M45" s="518"/>
      <c r="N45" s="519">
        <f t="shared" ref="N45:N52" si="43">B45*M45</f>
        <v>0</v>
      </c>
      <c r="O45" s="518"/>
      <c r="P45" s="519">
        <f t="shared" ref="P45:P52" si="44">B45*O45</f>
        <v>0</v>
      </c>
      <c r="Q45" s="518"/>
      <c r="R45" s="519">
        <f t="shared" ref="R45:R52" si="45">B45*Q45</f>
        <v>0</v>
      </c>
      <c r="S45" s="518"/>
      <c r="T45" s="519">
        <f t="shared" ref="T45:T52" si="46">B45*S45</f>
        <v>0</v>
      </c>
      <c r="U45" s="518">
        <v>0.03</v>
      </c>
      <c r="V45" s="519">
        <f t="shared" ref="V45:V52" si="47">B45*U45</f>
        <v>0.06</v>
      </c>
    </row>
    <row r="46" ht="14.25" customHeight="1">
      <c r="A46" s="516" t="str">
        <f t="shared" si="37"/>
        <v>#REF!</v>
      </c>
      <c r="B46" s="517">
        <v>1.0</v>
      </c>
      <c r="C46" s="518"/>
      <c r="D46" s="519">
        <f t="shared" si="38"/>
        <v>0</v>
      </c>
      <c r="E46" s="518"/>
      <c r="F46" s="519">
        <f t="shared" si="39"/>
        <v>0</v>
      </c>
      <c r="G46" s="518">
        <v>0.05</v>
      </c>
      <c r="H46" s="519">
        <f t="shared" si="40"/>
        <v>0.05</v>
      </c>
      <c r="I46" s="518"/>
      <c r="J46" s="519">
        <f t="shared" si="41"/>
        <v>0</v>
      </c>
      <c r="K46" s="518"/>
      <c r="L46" s="519">
        <f t="shared" si="42"/>
        <v>0</v>
      </c>
      <c r="M46" s="518"/>
      <c r="N46" s="519">
        <f t="shared" si="43"/>
        <v>0</v>
      </c>
      <c r="O46" s="518"/>
      <c r="P46" s="519">
        <f t="shared" si="44"/>
        <v>0</v>
      </c>
      <c r="Q46" s="518"/>
      <c r="R46" s="519">
        <f t="shared" si="45"/>
        <v>0</v>
      </c>
      <c r="S46" s="518">
        <v>0.05</v>
      </c>
      <c r="T46" s="519">
        <f t="shared" si="46"/>
        <v>0.05</v>
      </c>
      <c r="U46" s="518">
        <v>0.03</v>
      </c>
      <c r="V46" s="519">
        <f t="shared" si="47"/>
        <v>0.03</v>
      </c>
    </row>
    <row r="47" ht="14.25" customHeight="1">
      <c r="A47" s="516" t="str">
        <f t="shared" si="37"/>
        <v>#REF!</v>
      </c>
      <c r="B47" s="517">
        <v>10.0</v>
      </c>
      <c r="C47" s="518">
        <v>0.16</v>
      </c>
      <c r="D47" s="519">
        <f t="shared" si="38"/>
        <v>1.6</v>
      </c>
      <c r="E47" s="518"/>
      <c r="F47" s="519">
        <f t="shared" si="39"/>
        <v>0</v>
      </c>
      <c r="G47" s="518"/>
      <c r="H47" s="519">
        <f t="shared" si="40"/>
        <v>0</v>
      </c>
      <c r="I47" s="518"/>
      <c r="J47" s="519">
        <f t="shared" si="41"/>
        <v>0</v>
      </c>
      <c r="K47" s="518"/>
      <c r="L47" s="519">
        <f t="shared" si="42"/>
        <v>0</v>
      </c>
      <c r="M47" s="518"/>
      <c r="N47" s="519">
        <f t="shared" si="43"/>
        <v>0</v>
      </c>
      <c r="O47" s="518"/>
      <c r="P47" s="519">
        <f t="shared" si="44"/>
        <v>0</v>
      </c>
      <c r="Q47" s="518"/>
      <c r="R47" s="519">
        <f t="shared" si="45"/>
        <v>0</v>
      </c>
      <c r="S47" s="518"/>
      <c r="T47" s="519">
        <f t="shared" si="46"/>
        <v>0</v>
      </c>
      <c r="U47" s="518">
        <v>0.03</v>
      </c>
      <c r="V47" s="519">
        <f t="shared" si="47"/>
        <v>0.3</v>
      </c>
    </row>
    <row r="48" ht="14.25" customHeight="1">
      <c r="A48" s="516" t="str">
        <f t="shared" si="37"/>
        <v>#REF!</v>
      </c>
      <c r="B48" s="517">
        <v>5.0</v>
      </c>
      <c r="C48" s="518">
        <v>0.16</v>
      </c>
      <c r="D48" s="519">
        <f t="shared" si="38"/>
        <v>0.8</v>
      </c>
      <c r="E48" s="518"/>
      <c r="F48" s="519">
        <f t="shared" si="39"/>
        <v>0</v>
      </c>
      <c r="G48" s="518">
        <v>0.05</v>
      </c>
      <c r="H48" s="519">
        <f t="shared" si="40"/>
        <v>0.25</v>
      </c>
      <c r="I48" s="518"/>
      <c r="J48" s="519">
        <f t="shared" si="41"/>
        <v>0</v>
      </c>
      <c r="K48" s="518"/>
      <c r="L48" s="519">
        <f t="shared" si="42"/>
        <v>0</v>
      </c>
      <c r="M48" s="518"/>
      <c r="N48" s="519">
        <f t="shared" si="43"/>
        <v>0</v>
      </c>
      <c r="O48" s="518">
        <v>0.05</v>
      </c>
      <c r="P48" s="519">
        <f t="shared" si="44"/>
        <v>0.25</v>
      </c>
      <c r="Q48" s="518"/>
      <c r="R48" s="519">
        <f t="shared" si="45"/>
        <v>0</v>
      </c>
      <c r="S48" s="518"/>
      <c r="T48" s="519">
        <f t="shared" si="46"/>
        <v>0</v>
      </c>
      <c r="U48" s="518">
        <v>0.03</v>
      </c>
      <c r="V48" s="519">
        <f t="shared" si="47"/>
        <v>0.15</v>
      </c>
    </row>
    <row r="49" ht="14.25" customHeight="1">
      <c r="A49" s="516" t="str">
        <f t="shared" si="37"/>
        <v>#REF!</v>
      </c>
      <c r="B49" s="520"/>
      <c r="C49" s="518"/>
      <c r="D49" s="519">
        <f t="shared" si="38"/>
        <v>0</v>
      </c>
      <c r="E49" s="518"/>
      <c r="F49" s="519">
        <f t="shared" si="39"/>
        <v>0</v>
      </c>
      <c r="G49" s="518"/>
      <c r="H49" s="519">
        <f t="shared" si="40"/>
        <v>0</v>
      </c>
      <c r="I49" s="518"/>
      <c r="J49" s="519">
        <f t="shared" si="41"/>
        <v>0</v>
      </c>
      <c r="K49" s="518"/>
      <c r="L49" s="519">
        <f t="shared" si="42"/>
        <v>0</v>
      </c>
      <c r="M49" s="518"/>
      <c r="N49" s="519">
        <f t="shared" si="43"/>
        <v>0</v>
      </c>
      <c r="O49" s="518"/>
      <c r="P49" s="519">
        <f t="shared" si="44"/>
        <v>0</v>
      </c>
      <c r="Q49" s="518"/>
      <c r="R49" s="519">
        <f t="shared" si="45"/>
        <v>0</v>
      </c>
      <c r="S49" s="518"/>
      <c r="T49" s="519">
        <f t="shared" si="46"/>
        <v>0</v>
      </c>
      <c r="U49" s="518">
        <v>0.03</v>
      </c>
      <c r="V49" s="519">
        <f t="shared" si="47"/>
        <v>0</v>
      </c>
    </row>
    <row r="50" ht="14.25" customHeight="1">
      <c r="A50" s="516" t="str">
        <f t="shared" si="37"/>
        <v>#REF!</v>
      </c>
      <c r="B50" s="520"/>
      <c r="C50" s="518"/>
      <c r="D50" s="519">
        <f t="shared" si="38"/>
        <v>0</v>
      </c>
      <c r="E50" s="518"/>
      <c r="F50" s="519">
        <f t="shared" si="39"/>
        <v>0</v>
      </c>
      <c r="G50" s="518"/>
      <c r="H50" s="519">
        <f t="shared" si="40"/>
        <v>0</v>
      </c>
      <c r="I50" s="518"/>
      <c r="J50" s="519">
        <f t="shared" si="41"/>
        <v>0</v>
      </c>
      <c r="K50" s="518"/>
      <c r="L50" s="519">
        <f t="shared" si="42"/>
        <v>0</v>
      </c>
      <c r="M50" s="518"/>
      <c r="N50" s="519">
        <f t="shared" si="43"/>
        <v>0</v>
      </c>
      <c r="O50" s="518"/>
      <c r="P50" s="519">
        <f t="shared" si="44"/>
        <v>0</v>
      </c>
      <c r="Q50" s="518"/>
      <c r="R50" s="519">
        <f t="shared" si="45"/>
        <v>0</v>
      </c>
      <c r="S50" s="518"/>
      <c r="T50" s="519">
        <f t="shared" si="46"/>
        <v>0</v>
      </c>
      <c r="U50" s="518">
        <v>0.03</v>
      </c>
      <c r="V50" s="519">
        <f t="shared" si="47"/>
        <v>0</v>
      </c>
    </row>
    <row r="51" ht="14.25" customHeight="1">
      <c r="A51" s="516" t="s">
        <v>422</v>
      </c>
      <c r="B51" s="517">
        <v>2.0</v>
      </c>
      <c r="C51" s="518">
        <v>0.16</v>
      </c>
      <c r="D51" s="519">
        <f t="shared" si="38"/>
        <v>0.32</v>
      </c>
      <c r="E51" s="518"/>
      <c r="F51" s="519">
        <f t="shared" si="39"/>
        <v>0</v>
      </c>
      <c r="G51" s="518"/>
      <c r="H51" s="519">
        <f t="shared" si="40"/>
        <v>0</v>
      </c>
      <c r="I51" s="518"/>
      <c r="J51" s="519">
        <f t="shared" si="41"/>
        <v>0</v>
      </c>
      <c r="K51" s="518"/>
      <c r="L51" s="519">
        <f t="shared" si="42"/>
        <v>0</v>
      </c>
      <c r="M51" s="518"/>
      <c r="N51" s="519">
        <f t="shared" si="43"/>
        <v>0</v>
      </c>
      <c r="O51" s="518"/>
      <c r="P51" s="519">
        <f t="shared" si="44"/>
        <v>0</v>
      </c>
      <c r="Q51" s="518"/>
      <c r="R51" s="519">
        <f t="shared" si="45"/>
        <v>0</v>
      </c>
      <c r="S51" s="518"/>
      <c r="T51" s="519">
        <f t="shared" si="46"/>
        <v>0</v>
      </c>
      <c r="U51" s="518">
        <v>0.03</v>
      </c>
      <c r="V51" s="519">
        <f t="shared" si="47"/>
        <v>0.06</v>
      </c>
    </row>
    <row r="52" ht="14.25" customHeight="1">
      <c r="A52" s="516"/>
      <c r="B52" s="520"/>
      <c r="C52" s="518"/>
      <c r="D52" s="519">
        <f t="shared" si="38"/>
        <v>0</v>
      </c>
      <c r="E52" s="518"/>
      <c r="F52" s="519">
        <f t="shared" si="39"/>
        <v>0</v>
      </c>
      <c r="G52" s="518"/>
      <c r="H52" s="519">
        <f t="shared" si="40"/>
        <v>0</v>
      </c>
      <c r="I52" s="518"/>
      <c r="J52" s="519">
        <f t="shared" si="41"/>
        <v>0</v>
      </c>
      <c r="K52" s="518"/>
      <c r="L52" s="519">
        <f t="shared" si="42"/>
        <v>0</v>
      </c>
      <c r="M52" s="518"/>
      <c r="N52" s="519">
        <f t="shared" si="43"/>
        <v>0</v>
      </c>
      <c r="O52" s="518"/>
      <c r="P52" s="519">
        <f t="shared" si="44"/>
        <v>0</v>
      </c>
      <c r="Q52" s="518"/>
      <c r="R52" s="519">
        <f t="shared" si="45"/>
        <v>0</v>
      </c>
      <c r="S52" s="518"/>
      <c r="T52" s="519">
        <f t="shared" si="46"/>
        <v>0</v>
      </c>
      <c r="U52" s="518">
        <v>0.03</v>
      </c>
      <c r="V52" s="519">
        <f t="shared" si="47"/>
        <v>0</v>
      </c>
    </row>
    <row r="53" ht="14.25" customHeight="1">
      <c r="A53" s="516" t="str">
        <f t="shared" ref="A53:A60" si="48">'ENG MENU D'!A62</f>
        <v>#REF!</v>
      </c>
      <c r="B53" s="520"/>
      <c r="C53" s="514"/>
      <c r="D53" s="515"/>
      <c r="E53" s="515"/>
      <c r="F53" s="515"/>
      <c r="G53" s="515"/>
      <c r="H53" s="515"/>
      <c r="I53" s="515"/>
      <c r="J53" s="515"/>
      <c r="K53" s="515"/>
      <c r="L53" s="515"/>
      <c r="M53" s="515"/>
      <c r="N53" s="515"/>
      <c r="O53" s="515"/>
      <c r="P53" s="515"/>
      <c r="Q53" s="550"/>
      <c r="R53" s="550"/>
      <c r="S53" s="550"/>
      <c r="T53" s="550"/>
      <c r="U53" s="550"/>
      <c r="V53" s="550"/>
    </row>
    <row r="54" ht="14.25" customHeight="1">
      <c r="A54" s="516" t="str">
        <f t="shared" si="48"/>
        <v>#REF!</v>
      </c>
      <c r="B54" s="517">
        <v>20.0</v>
      </c>
      <c r="C54" s="518"/>
      <c r="D54" s="519">
        <f t="shared" ref="D54:D62" si="49">B54*C54</f>
        <v>0</v>
      </c>
      <c r="E54" s="518">
        <v>1.0</v>
      </c>
      <c r="F54" s="519">
        <f t="shared" ref="F54:F62" si="50">B54*E54</f>
        <v>20</v>
      </c>
      <c r="G54" s="518"/>
      <c r="H54" s="519">
        <f t="shared" ref="H54:H62" si="51">B54*G54</f>
        <v>0</v>
      </c>
      <c r="I54" s="518"/>
      <c r="J54" s="519">
        <f t="shared" ref="J54:J62" si="52">B54*I54</f>
        <v>0</v>
      </c>
      <c r="K54" s="518">
        <v>1.0</v>
      </c>
      <c r="L54" s="519">
        <f t="shared" ref="L54:L62" si="53">B54*K54</f>
        <v>20</v>
      </c>
      <c r="M54" s="518">
        <v>0.2</v>
      </c>
      <c r="N54" s="519">
        <f t="shared" ref="N54:N62" si="54">B54*M54</f>
        <v>4</v>
      </c>
      <c r="O54" s="518"/>
      <c r="P54" s="519">
        <f t="shared" ref="P54:P62" si="55">B54*O54</f>
        <v>0</v>
      </c>
      <c r="Q54" s="518"/>
      <c r="R54" s="519">
        <f t="shared" ref="R54:R62" si="56">B54*Q54</f>
        <v>0</v>
      </c>
      <c r="S54" s="518"/>
      <c r="T54" s="519">
        <f t="shared" ref="T54:T62" si="57">B54*S54</f>
        <v>0</v>
      </c>
      <c r="U54" s="518"/>
      <c r="V54" s="519">
        <f t="shared" ref="V54:V62" si="58">B54*U54</f>
        <v>0</v>
      </c>
    </row>
    <row r="55" ht="14.25" customHeight="1">
      <c r="A55" s="516" t="str">
        <f t="shared" si="48"/>
        <v>#REF!</v>
      </c>
      <c r="B55" s="520"/>
      <c r="C55" s="518"/>
      <c r="D55" s="519">
        <f t="shared" si="49"/>
        <v>0</v>
      </c>
      <c r="E55" s="518">
        <v>1.0</v>
      </c>
      <c r="F55" s="519">
        <f t="shared" si="50"/>
        <v>0</v>
      </c>
      <c r="G55" s="518"/>
      <c r="H55" s="519">
        <f t="shared" si="51"/>
        <v>0</v>
      </c>
      <c r="I55" s="518"/>
      <c r="J55" s="519">
        <f t="shared" si="52"/>
        <v>0</v>
      </c>
      <c r="K55" s="518">
        <v>1.0</v>
      </c>
      <c r="L55" s="519">
        <f t="shared" si="53"/>
        <v>0</v>
      </c>
      <c r="M55" s="518">
        <v>0.2</v>
      </c>
      <c r="N55" s="519">
        <f t="shared" si="54"/>
        <v>0</v>
      </c>
      <c r="O55" s="518"/>
      <c r="P55" s="519">
        <f t="shared" si="55"/>
        <v>0</v>
      </c>
      <c r="Q55" s="518"/>
      <c r="R55" s="519">
        <f t="shared" si="56"/>
        <v>0</v>
      </c>
      <c r="S55" s="518"/>
      <c r="T55" s="519">
        <f t="shared" si="57"/>
        <v>0</v>
      </c>
      <c r="U55" s="518"/>
      <c r="V55" s="519">
        <f t="shared" si="58"/>
        <v>0</v>
      </c>
    </row>
    <row r="56" ht="14.25" customHeight="1">
      <c r="A56" s="516" t="str">
        <f t="shared" si="48"/>
        <v>#REF!</v>
      </c>
      <c r="B56" s="517">
        <v>5.0</v>
      </c>
      <c r="C56" s="518"/>
      <c r="D56" s="519">
        <f t="shared" si="49"/>
        <v>0</v>
      </c>
      <c r="E56" s="518">
        <v>1.0</v>
      </c>
      <c r="F56" s="519">
        <f t="shared" si="50"/>
        <v>5</v>
      </c>
      <c r="G56" s="518"/>
      <c r="H56" s="519">
        <f t="shared" si="51"/>
        <v>0</v>
      </c>
      <c r="I56" s="518"/>
      <c r="J56" s="519">
        <f t="shared" si="52"/>
        <v>0</v>
      </c>
      <c r="K56" s="518">
        <v>1.0</v>
      </c>
      <c r="L56" s="519">
        <f t="shared" si="53"/>
        <v>5</v>
      </c>
      <c r="M56" s="518">
        <v>0.2</v>
      </c>
      <c r="N56" s="519">
        <f t="shared" si="54"/>
        <v>1</v>
      </c>
      <c r="O56" s="518">
        <v>0.07</v>
      </c>
      <c r="P56" s="519">
        <f t="shared" si="55"/>
        <v>0.35</v>
      </c>
      <c r="Q56" s="518"/>
      <c r="R56" s="519">
        <f t="shared" si="56"/>
        <v>0</v>
      </c>
      <c r="S56" s="518"/>
      <c r="T56" s="519">
        <f t="shared" si="57"/>
        <v>0</v>
      </c>
      <c r="U56" s="518"/>
      <c r="V56" s="519">
        <f t="shared" si="58"/>
        <v>0</v>
      </c>
    </row>
    <row r="57" ht="14.25" customHeight="1">
      <c r="A57" s="516" t="str">
        <f t="shared" si="48"/>
        <v>#REF!</v>
      </c>
      <c r="B57" s="517">
        <v>7.0</v>
      </c>
      <c r="C57" s="518"/>
      <c r="D57" s="519">
        <f t="shared" si="49"/>
        <v>0</v>
      </c>
      <c r="E57" s="518">
        <v>1.0</v>
      </c>
      <c r="F57" s="519">
        <f t="shared" si="50"/>
        <v>7</v>
      </c>
      <c r="G57" s="518"/>
      <c r="H57" s="519">
        <f t="shared" si="51"/>
        <v>0</v>
      </c>
      <c r="I57" s="518"/>
      <c r="J57" s="519">
        <f t="shared" si="52"/>
        <v>0</v>
      </c>
      <c r="K57" s="518">
        <v>1.0</v>
      </c>
      <c r="L57" s="519">
        <f t="shared" si="53"/>
        <v>7</v>
      </c>
      <c r="M57" s="518">
        <v>0.2</v>
      </c>
      <c r="N57" s="519">
        <f t="shared" si="54"/>
        <v>1.4</v>
      </c>
      <c r="O57" s="518"/>
      <c r="P57" s="519">
        <f t="shared" si="55"/>
        <v>0</v>
      </c>
      <c r="Q57" s="518"/>
      <c r="R57" s="519">
        <f t="shared" si="56"/>
        <v>0</v>
      </c>
      <c r="S57" s="518"/>
      <c r="T57" s="519">
        <f t="shared" si="57"/>
        <v>0</v>
      </c>
      <c r="U57" s="518"/>
      <c r="V57" s="519">
        <f t="shared" si="58"/>
        <v>0</v>
      </c>
    </row>
    <row r="58" ht="14.25" customHeight="1">
      <c r="A58" s="516" t="str">
        <f t="shared" si="48"/>
        <v>#REF!</v>
      </c>
      <c r="B58" s="520"/>
      <c r="C58" s="518"/>
      <c r="D58" s="519">
        <f t="shared" si="49"/>
        <v>0</v>
      </c>
      <c r="E58" s="518">
        <v>1.0</v>
      </c>
      <c r="F58" s="519">
        <f t="shared" si="50"/>
        <v>0</v>
      </c>
      <c r="G58" s="518"/>
      <c r="H58" s="519">
        <f t="shared" si="51"/>
        <v>0</v>
      </c>
      <c r="I58" s="518"/>
      <c r="J58" s="519">
        <f t="shared" si="52"/>
        <v>0</v>
      </c>
      <c r="K58" s="518">
        <v>1.0</v>
      </c>
      <c r="L58" s="519">
        <f t="shared" si="53"/>
        <v>0</v>
      </c>
      <c r="M58" s="518">
        <v>0.2</v>
      </c>
      <c r="N58" s="519">
        <f t="shared" si="54"/>
        <v>0</v>
      </c>
      <c r="O58" s="518"/>
      <c r="P58" s="519">
        <f t="shared" si="55"/>
        <v>0</v>
      </c>
      <c r="Q58" s="518"/>
      <c r="R58" s="519">
        <f t="shared" si="56"/>
        <v>0</v>
      </c>
      <c r="S58" s="518"/>
      <c r="T58" s="519">
        <f t="shared" si="57"/>
        <v>0</v>
      </c>
      <c r="U58" s="518"/>
      <c r="V58" s="519">
        <f t="shared" si="58"/>
        <v>0</v>
      </c>
    </row>
    <row r="59" ht="14.25" customHeight="1">
      <c r="A59" s="516" t="str">
        <f t="shared" si="48"/>
        <v>#REF!</v>
      </c>
      <c r="B59" s="517">
        <v>5.0</v>
      </c>
      <c r="C59" s="518"/>
      <c r="D59" s="519">
        <f t="shared" si="49"/>
        <v>0</v>
      </c>
      <c r="E59" s="518">
        <v>1.0</v>
      </c>
      <c r="F59" s="519">
        <f t="shared" si="50"/>
        <v>5</v>
      </c>
      <c r="G59" s="518"/>
      <c r="H59" s="519">
        <f t="shared" si="51"/>
        <v>0</v>
      </c>
      <c r="I59" s="518"/>
      <c r="J59" s="519">
        <f t="shared" si="52"/>
        <v>0</v>
      </c>
      <c r="K59" s="518">
        <v>1.0</v>
      </c>
      <c r="L59" s="519">
        <f t="shared" si="53"/>
        <v>5</v>
      </c>
      <c r="M59" s="518">
        <v>0.2</v>
      </c>
      <c r="N59" s="519">
        <f t="shared" si="54"/>
        <v>1</v>
      </c>
      <c r="O59" s="518"/>
      <c r="P59" s="519">
        <f t="shared" si="55"/>
        <v>0</v>
      </c>
      <c r="Q59" s="518"/>
      <c r="R59" s="519">
        <f t="shared" si="56"/>
        <v>0</v>
      </c>
      <c r="S59" s="518">
        <v>0.03</v>
      </c>
      <c r="T59" s="519">
        <f t="shared" si="57"/>
        <v>0.15</v>
      </c>
      <c r="U59" s="518"/>
      <c r="V59" s="519">
        <f t="shared" si="58"/>
        <v>0</v>
      </c>
    </row>
    <row r="60" ht="14.25" customHeight="1">
      <c r="A60" s="516" t="str">
        <f t="shared" si="48"/>
        <v>#REF!</v>
      </c>
      <c r="B60" s="517">
        <v>4.0</v>
      </c>
      <c r="C60" s="518"/>
      <c r="D60" s="519">
        <f t="shared" si="49"/>
        <v>0</v>
      </c>
      <c r="E60" s="518">
        <v>1.0</v>
      </c>
      <c r="F60" s="519">
        <f t="shared" si="50"/>
        <v>4</v>
      </c>
      <c r="G60" s="518"/>
      <c r="H60" s="519">
        <f t="shared" si="51"/>
        <v>0</v>
      </c>
      <c r="I60" s="518"/>
      <c r="J60" s="519">
        <f t="shared" si="52"/>
        <v>0</v>
      </c>
      <c r="K60" s="518">
        <v>1.0</v>
      </c>
      <c r="L60" s="519">
        <f t="shared" si="53"/>
        <v>4</v>
      </c>
      <c r="M60" s="518">
        <v>0.2</v>
      </c>
      <c r="N60" s="519">
        <f t="shared" si="54"/>
        <v>0.8</v>
      </c>
      <c r="O60" s="518"/>
      <c r="P60" s="519">
        <f t="shared" si="55"/>
        <v>0</v>
      </c>
      <c r="Q60" s="518">
        <v>0.15</v>
      </c>
      <c r="R60" s="519">
        <f t="shared" si="56"/>
        <v>0.6</v>
      </c>
      <c r="S60" s="518"/>
      <c r="T60" s="519">
        <f t="shared" si="57"/>
        <v>0</v>
      </c>
      <c r="U60" s="518"/>
      <c r="V60" s="519">
        <f t="shared" si="58"/>
        <v>0</v>
      </c>
    </row>
    <row r="61" ht="14.25" customHeight="1">
      <c r="A61" s="546" t="s">
        <v>1496</v>
      </c>
      <c r="B61" s="517">
        <v>5.0</v>
      </c>
      <c r="C61" s="518"/>
      <c r="D61" s="519">
        <f t="shared" si="49"/>
        <v>0</v>
      </c>
      <c r="E61" s="518"/>
      <c r="F61" s="519">
        <f t="shared" si="50"/>
        <v>0</v>
      </c>
      <c r="G61" s="518"/>
      <c r="H61" s="519">
        <f t="shared" si="51"/>
        <v>0</v>
      </c>
      <c r="I61" s="518"/>
      <c r="J61" s="519">
        <f t="shared" si="52"/>
        <v>0</v>
      </c>
      <c r="K61" s="518">
        <v>1.0</v>
      </c>
      <c r="L61" s="519">
        <f t="shared" si="53"/>
        <v>5</v>
      </c>
      <c r="M61" s="518">
        <v>0.2</v>
      </c>
      <c r="N61" s="519">
        <f t="shared" si="54"/>
        <v>1</v>
      </c>
      <c r="O61" s="518"/>
      <c r="P61" s="519">
        <f t="shared" si="55"/>
        <v>0</v>
      </c>
      <c r="Q61" s="518"/>
      <c r="R61" s="519">
        <f t="shared" si="56"/>
        <v>0</v>
      </c>
      <c r="S61" s="518"/>
      <c r="T61" s="519">
        <f t="shared" si="57"/>
        <v>0</v>
      </c>
      <c r="U61" s="518"/>
      <c r="V61" s="519">
        <f t="shared" si="58"/>
        <v>0</v>
      </c>
    </row>
    <row r="62" ht="14.25" customHeight="1">
      <c r="A62" s="546" t="s">
        <v>1413</v>
      </c>
      <c r="B62" s="517">
        <v>2.0</v>
      </c>
      <c r="C62" s="518"/>
      <c r="D62" s="519">
        <f t="shared" si="49"/>
        <v>0</v>
      </c>
      <c r="E62" s="518">
        <v>1.0</v>
      </c>
      <c r="F62" s="519">
        <f t="shared" si="50"/>
        <v>2</v>
      </c>
      <c r="G62" s="518"/>
      <c r="H62" s="519">
        <f t="shared" si="51"/>
        <v>0</v>
      </c>
      <c r="I62" s="518"/>
      <c r="J62" s="519">
        <f t="shared" si="52"/>
        <v>0</v>
      </c>
      <c r="K62" s="518">
        <v>1.0</v>
      </c>
      <c r="L62" s="519">
        <f t="shared" si="53"/>
        <v>2</v>
      </c>
      <c r="M62" s="518">
        <v>0.2</v>
      </c>
      <c r="N62" s="519">
        <f t="shared" si="54"/>
        <v>0.4</v>
      </c>
      <c r="O62" s="518"/>
      <c r="P62" s="519">
        <f t="shared" si="55"/>
        <v>0</v>
      </c>
      <c r="Q62" s="518"/>
      <c r="R62" s="519">
        <f t="shared" si="56"/>
        <v>0</v>
      </c>
      <c r="S62" s="518">
        <v>0.03</v>
      </c>
      <c r="T62" s="519">
        <f t="shared" si="57"/>
        <v>0.06</v>
      </c>
      <c r="U62" s="518"/>
      <c r="V62" s="519">
        <f t="shared" si="58"/>
        <v>0</v>
      </c>
    </row>
    <row r="63" ht="14.25" customHeight="1">
      <c r="A63" s="516" t="s">
        <v>12</v>
      </c>
      <c r="B63" s="520"/>
      <c r="C63" s="518"/>
      <c r="D63" s="519"/>
      <c r="E63" s="518"/>
      <c r="F63" s="519"/>
      <c r="G63" s="518"/>
      <c r="H63" s="519"/>
      <c r="I63" s="518"/>
      <c r="J63" s="519"/>
      <c r="K63" s="518"/>
      <c r="L63" s="519"/>
      <c r="M63" s="518"/>
      <c r="N63" s="519"/>
      <c r="O63" s="518"/>
      <c r="P63" s="519"/>
      <c r="Q63" s="518"/>
      <c r="R63" s="519"/>
      <c r="S63" s="518"/>
      <c r="T63" s="519"/>
      <c r="U63" s="518"/>
      <c r="V63" s="519"/>
    </row>
    <row r="64" ht="14.25" customHeight="1">
      <c r="A64" s="516" t="str">
        <f>'ENG MENU D'!A74</f>
        <v>#REF!</v>
      </c>
      <c r="B64" s="520"/>
      <c r="C64" s="514"/>
      <c r="D64" s="515"/>
      <c r="E64" s="515"/>
      <c r="F64" s="515"/>
      <c r="G64" s="515"/>
      <c r="H64" s="515"/>
      <c r="I64" s="515"/>
      <c r="J64" s="515"/>
      <c r="K64" s="515"/>
      <c r="L64" s="515"/>
      <c r="M64" s="515"/>
      <c r="N64" s="515"/>
      <c r="O64" s="515"/>
      <c r="P64" s="515"/>
      <c r="Q64" s="550"/>
      <c r="R64" s="550"/>
      <c r="S64" s="550"/>
      <c r="T64" s="550"/>
      <c r="U64" s="550"/>
      <c r="V64" s="550"/>
    </row>
    <row r="65" ht="14.25" customHeight="1">
      <c r="A65" s="546" t="s">
        <v>1497</v>
      </c>
      <c r="B65" s="517">
        <v>6.0</v>
      </c>
      <c r="C65" s="518"/>
      <c r="D65" s="519">
        <f t="shared" ref="D65:D74" si="59">B65*C65</f>
        <v>0</v>
      </c>
      <c r="E65" s="518">
        <v>0.16</v>
      </c>
      <c r="F65" s="519">
        <f t="shared" ref="F65:F73" si="60">B65*E65</f>
        <v>0.96</v>
      </c>
      <c r="G65" s="518"/>
      <c r="H65" s="519">
        <f t="shared" ref="H65:H73" si="61">B65*G65</f>
        <v>0</v>
      </c>
      <c r="I65" s="518"/>
      <c r="J65" s="519">
        <f t="shared" ref="J65:J73" si="62">B65*I65</f>
        <v>0</v>
      </c>
      <c r="K65" s="518"/>
      <c r="L65" s="519">
        <f t="shared" ref="L65:L73" si="63">B65*K65</f>
        <v>0</v>
      </c>
      <c r="M65" s="518"/>
      <c r="N65" s="519">
        <f t="shared" ref="N65:N73" si="64">B65*M65</f>
        <v>0</v>
      </c>
      <c r="O65" s="518"/>
      <c r="P65" s="519">
        <f t="shared" ref="P65:P73" si="65">B65*O65</f>
        <v>0</v>
      </c>
      <c r="Q65" s="518"/>
      <c r="R65" s="519">
        <f t="shared" ref="R65:R73" si="66">B65*Q65</f>
        <v>0</v>
      </c>
      <c r="S65" s="518"/>
      <c r="T65" s="519">
        <f t="shared" ref="T65:T73" si="67">B65*S65</f>
        <v>0</v>
      </c>
      <c r="U65" s="518"/>
      <c r="V65" s="519">
        <f t="shared" ref="V65:V73" si="68">B65*U65</f>
        <v>0</v>
      </c>
    </row>
    <row r="66" ht="14.25" customHeight="1">
      <c r="A66" s="516" t="str">
        <f t="shared" ref="A66:A73" si="69">'ENG MENU D'!A76</f>
        <v>#REF!</v>
      </c>
      <c r="B66" s="517">
        <v>14.0</v>
      </c>
      <c r="C66" s="518">
        <v>0.28</v>
      </c>
      <c r="D66" s="519">
        <f t="shared" si="59"/>
        <v>3.92</v>
      </c>
      <c r="E66" s="518"/>
      <c r="F66" s="519">
        <f t="shared" si="60"/>
        <v>0</v>
      </c>
      <c r="G66" s="518"/>
      <c r="H66" s="519">
        <f t="shared" si="61"/>
        <v>0</v>
      </c>
      <c r="I66" s="518"/>
      <c r="J66" s="519">
        <f t="shared" si="62"/>
        <v>0</v>
      </c>
      <c r="K66" s="518"/>
      <c r="L66" s="519">
        <f t="shared" si="63"/>
        <v>0</v>
      </c>
      <c r="M66" s="518">
        <v>0.16</v>
      </c>
      <c r="N66" s="519">
        <f t="shared" si="64"/>
        <v>2.24</v>
      </c>
      <c r="O66" s="518"/>
      <c r="P66" s="519">
        <f t="shared" si="65"/>
        <v>0</v>
      </c>
      <c r="Q66" s="518"/>
      <c r="R66" s="519">
        <f t="shared" si="66"/>
        <v>0</v>
      </c>
      <c r="S66" s="518"/>
      <c r="T66" s="519">
        <f t="shared" si="67"/>
        <v>0</v>
      </c>
      <c r="U66" s="518"/>
      <c r="V66" s="519">
        <f t="shared" si="68"/>
        <v>0</v>
      </c>
    </row>
    <row r="67" ht="14.25" customHeight="1">
      <c r="A67" s="516" t="str">
        <f t="shared" si="69"/>
        <v>#REF!</v>
      </c>
      <c r="B67" s="517">
        <v>16.0</v>
      </c>
      <c r="C67" s="518">
        <v>0.28</v>
      </c>
      <c r="D67" s="519">
        <f t="shared" si="59"/>
        <v>4.48</v>
      </c>
      <c r="E67" s="518"/>
      <c r="F67" s="519">
        <f t="shared" si="60"/>
        <v>0</v>
      </c>
      <c r="G67" s="518"/>
      <c r="H67" s="519">
        <f t="shared" si="61"/>
        <v>0</v>
      </c>
      <c r="I67" s="518"/>
      <c r="J67" s="519">
        <f t="shared" si="62"/>
        <v>0</v>
      </c>
      <c r="K67" s="518"/>
      <c r="L67" s="519">
        <f t="shared" si="63"/>
        <v>0</v>
      </c>
      <c r="M67" s="518">
        <v>0.16</v>
      </c>
      <c r="N67" s="519">
        <f t="shared" si="64"/>
        <v>2.56</v>
      </c>
      <c r="O67" s="518"/>
      <c r="P67" s="519">
        <f t="shared" si="65"/>
        <v>0</v>
      </c>
      <c r="Q67" s="518"/>
      <c r="R67" s="519">
        <f t="shared" si="66"/>
        <v>0</v>
      </c>
      <c r="S67" s="518"/>
      <c r="T67" s="519">
        <f t="shared" si="67"/>
        <v>0</v>
      </c>
      <c r="U67" s="518"/>
      <c r="V67" s="519">
        <f t="shared" si="68"/>
        <v>0</v>
      </c>
    </row>
    <row r="68" ht="14.25" customHeight="1">
      <c r="A68" s="516" t="str">
        <f t="shared" si="69"/>
        <v>#REF!</v>
      </c>
      <c r="B68" s="517">
        <v>8.0</v>
      </c>
      <c r="C68" s="518">
        <v>0.3</v>
      </c>
      <c r="D68" s="519">
        <f t="shared" si="59"/>
        <v>2.4</v>
      </c>
      <c r="E68" s="518"/>
      <c r="F68" s="519">
        <f t="shared" si="60"/>
        <v>0</v>
      </c>
      <c r="G68" s="518"/>
      <c r="H68" s="519">
        <f t="shared" si="61"/>
        <v>0</v>
      </c>
      <c r="I68" s="518"/>
      <c r="J68" s="519">
        <f t="shared" si="62"/>
        <v>0</v>
      </c>
      <c r="K68" s="518"/>
      <c r="L68" s="519">
        <f t="shared" si="63"/>
        <v>0</v>
      </c>
      <c r="M68" s="518">
        <v>0.16</v>
      </c>
      <c r="N68" s="519">
        <f t="shared" si="64"/>
        <v>1.28</v>
      </c>
      <c r="O68" s="518"/>
      <c r="P68" s="519">
        <f t="shared" si="65"/>
        <v>0</v>
      </c>
      <c r="Q68" s="518"/>
      <c r="R68" s="519">
        <f t="shared" si="66"/>
        <v>0</v>
      </c>
      <c r="S68" s="518"/>
      <c r="T68" s="519">
        <f t="shared" si="67"/>
        <v>0</v>
      </c>
      <c r="U68" s="518"/>
      <c r="V68" s="519">
        <f t="shared" si="68"/>
        <v>0</v>
      </c>
    </row>
    <row r="69" ht="14.25" customHeight="1">
      <c r="A69" s="516" t="str">
        <f t="shared" si="69"/>
        <v>#REF!</v>
      </c>
      <c r="B69" s="517">
        <v>8.0</v>
      </c>
      <c r="C69" s="518">
        <v>0.16</v>
      </c>
      <c r="D69" s="519">
        <f t="shared" si="59"/>
        <v>1.28</v>
      </c>
      <c r="E69" s="518"/>
      <c r="F69" s="519">
        <f t="shared" si="60"/>
        <v>0</v>
      </c>
      <c r="G69" s="518"/>
      <c r="H69" s="519">
        <f t="shared" si="61"/>
        <v>0</v>
      </c>
      <c r="I69" s="518"/>
      <c r="J69" s="519">
        <f t="shared" si="62"/>
        <v>0</v>
      </c>
      <c r="K69" s="518"/>
      <c r="L69" s="519">
        <f t="shared" si="63"/>
        <v>0</v>
      </c>
      <c r="M69" s="518"/>
      <c r="N69" s="519">
        <f t="shared" si="64"/>
        <v>0</v>
      </c>
      <c r="O69" s="518"/>
      <c r="P69" s="519">
        <f t="shared" si="65"/>
        <v>0</v>
      </c>
      <c r="Q69" s="518"/>
      <c r="R69" s="519">
        <f t="shared" si="66"/>
        <v>0</v>
      </c>
      <c r="S69" s="518"/>
      <c r="T69" s="519">
        <f t="shared" si="67"/>
        <v>0</v>
      </c>
      <c r="U69" s="518"/>
      <c r="V69" s="519">
        <f t="shared" si="68"/>
        <v>0</v>
      </c>
    </row>
    <row r="70" ht="14.25" customHeight="1">
      <c r="A70" s="516" t="str">
        <f t="shared" si="69"/>
        <v>#REF!</v>
      </c>
      <c r="B70" s="520"/>
      <c r="C70" s="518"/>
      <c r="D70" s="519">
        <f t="shared" si="59"/>
        <v>0</v>
      </c>
      <c r="E70" s="518"/>
      <c r="F70" s="519">
        <f t="shared" si="60"/>
        <v>0</v>
      </c>
      <c r="G70" s="518"/>
      <c r="H70" s="519">
        <f t="shared" si="61"/>
        <v>0</v>
      </c>
      <c r="I70" s="518"/>
      <c r="J70" s="519">
        <f t="shared" si="62"/>
        <v>0</v>
      </c>
      <c r="K70" s="518"/>
      <c r="L70" s="519">
        <f t="shared" si="63"/>
        <v>0</v>
      </c>
      <c r="M70" s="518"/>
      <c r="N70" s="519">
        <f t="shared" si="64"/>
        <v>0</v>
      </c>
      <c r="O70" s="518"/>
      <c r="P70" s="519">
        <f t="shared" si="65"/>
        <v>0</v>
      </c>
      <c r="Q70" s="518"/>
      <c r="R70" s="519">
        <f t="shared" si="66"/>
        <v>0</v>
      </c>
      <c r="S70" s="518"/>
      <c r="T70" s="519">
        <f t="shared" si="67"/>
        <v>0</v>
      </c>
      <c r="U70" s="518"/>
      <c r="V70" s="519">
        <f t="shared" si="68"/>
        <v>0</v>
      </c>
    </row>
    <row r="71" ht="14.25" customHeight="1">
      <c r="A71" s="516" t="str">
        <f t="shared" si="69"/>
        <v>#REF!</v>
      </c>
      <c r="B71" s="517">
        <v>23.0</v>
      </c>
      <c r="C71" s="518"/>
      <c r="D71" s="519">
        <f t="shared" si="59"/>
        <v>0</v>
      </c>
      <c r="E71" s="518"/>
      <c r="F71" s="519">
        <f t="shared" si="60"/>
        <v>0</v>
      </c>
      <c r="G71" s="518"/>
      <c r="H71" s="519">
        <f t="shared" si="61"/>
        <v>0</v>
      </c>
      <c r="I71" s="518"/>
      <c r="J71" s="519">
        <f t="shared" si="62"/>
        <v>0</v>
      </c>
      <c r="K71" s="518"/>
      <c r="L71" s="519">
        <f t="shared" si="63"/>
        <v>0</v>
      </c>
      <c r="M71" s="518">
        <v>0.16</v>
      </c>
      <c r="N71" s="519">
        <f t="shared" si="64"/>
        <v>3.68</v>
      </c>
      <c r="O71" s="518"/>
      <c r="P71" s="519">
        <f t="shared" si="65"/>
        <v>0</v>
      </c>
      <c r="Q71" s="518"/>
      <c r="R71" s="519">
        <f t="shared" si="66"/>
        <v>0</v>
      </c>
      <c r="S71" s="518"/>
      <c r="T71" s="519">
        <f t="shared" si="67"/>
        <v>0</v>
      </c>
      <c r="U71" s="518"/>
      <c r="V71" s="519">
        <f t="shared" si="68"/>
        <v>0</v>
      </c>
    </row>
    <row r="72" ht="14.25" customHeight="1">
      <c r="A72" s="516" t="str">
        <f t="shared" si="69"/>
        <v>#REF!</v>
      </c>
      <c r="B72" s="517">
        <v>3.0</v>
      </c>
      <c r="C72" s="518">
        <v>0.16</v>
      </c>
      <c r="D72" s="519">
        <f t="shared" si="59"/>
        <v>0.48</v>
      </c>
      <c r="E72" s="518">
        <v>0.6</v>
      </c>
      <c r="F72" s="519">
        <f t="shared" si="60"/>
        <v>1.8</v>
      </c>
      <c r="G72" s="518"/>
      <c r="H72" s="519">
        <f t="shared" si="61"/>
        <v>0</v>
      </c>
      <c r="I72" s="518"/>
      <c r="J72" s="519">
        <f t="shared" si="62"/>
        <v>0</v>
      </c>
      <c r="K72" s="518"/>
      <c r="L72" s="519">
        <f t="shared" si="63"/>
        <v>0</v>
      </c>
      <c r="M72" s="518">
        <v>0.16</v>
      </c>
      <c r="N72" s="519">
        <f t="shared" si="64"/>
        <v>0.48</v>
      </c>
      <c r="O72" s="518"/>
      <c r="P72" s="519">
        <f t="shared" si="65"/>
        <v>0</v>
      </c>
      <c r="Q72" s="518"/>
      <c r="R72" s="519">
        <f t="shared" si="66"/>
        <v>0</v>
      </c>
      <c r="S72" s="518"/>
      <c r="T72" s="519">
        <f t="shared" si="67"/>
        <v>0</v>
      </c>
      <c r="U72" s="518"/>
      <c r="V72" s="519">
        <f t="shared" si="68"/>
        <v>0</v>
      </c>
    </row>
    <row r="73" ht="14.25" customHeight="1">
      <c r="A73" s="516" t="str">
        <f t="shared" si="69"/>
        <v>#REF!</v>
      </c>
      <c r="B73" s="517">
        <v>16.0</v>
      </c>
      <c r="C73" s="518">
        <v>0.16</v>
      </c>
      <c r="D73" s="519">
        <f t="shared" si="59"/>
        <v>2.56</v>
      </c>
      <c r="E73" s="518"/>
      <c r="F73" s="519">
        <f t="shared" si="60"/>
        <v>0</v>
      </c>
      <c r="G73" s="518"/>
      <c r="H73" s="519">
        <f t="shared" si="61"/>
        <v>0</v>
      </c>
      <c r="I73" s="518"/>
      <c r="J73" s="519">
        <f t="shared" si="62"/>
        <v>0</v>
      </c>
      <c r="K73" s="518"/>
      <c r="L73" s="519">
        <f t="shared" si="63"/>
        <v>0</v>
      </c>
      <c r="M73" s="518">
        <v>0.16</v>
      </c>
      <c r="N73" s="519">
        <f t="shared" si="64"/>
        <v>2.56</v>
      </c>
      <c r="O73" s="518"/>
      <c r="P73" s="519">
        <f t="shared" si="65"/>
        <v>0</v>
      </c>
      <c r="Q73" s="518">
        <v>0.05</v>
      </c>
      <c r="R73" s="519">
        <f t="shared" si="66"/>
        <v>0.8</v>
      </c>
      <c r="S73" s="518"/>
      <c r="T73" s="519">
        <f t="shared" si="67"/>
        <v>0</v>
      </c>
      <c r="U73" s="518"/>
      <c r="V73" s="519">
        <f t="shared" si="68"/>
        <v>0</v>
      </c>
    </row>
    <row r="74" ht="14.25" customHeight="1">
      <c r="A74" s="546" t="s">
        <v>1509</v>
      </c>
      <c r="B74" s="517">
        <v>5.0</v>
      </c>
      <c r="C74" s="518">
        <v>0.16</v>
      </c>
      <c r="D74" s="519">
        <f t="shared" si="59"/>
        <v>0.8</v>
      </c>
      <c r="E74" s="518"/>
      <c r="F74" s="519"/>
      <c r="G74" s="518"/>
      <c r="H74" s="519"/>
      <c r="I74" s="518"/>
      <c r="J74" s="519"/>
      <c r="K74" s="518"/>
      <c r="L74" s="519"/>
      <c r="M74" s="518"/>
      <c r="N74" s="519"/>
      <c r="O74" s="518"/>
      <c r="P74" s="519"/>
      <c r="Q74" s="518"/>
      <c r="R74" s="519"/>
      <c r="S74" s="518"/>
      <c r="T74" s="519"/>
      <c r="U74" s="518"/>
      <c r="V74" s="519"/>
    </row>
    <row r="75" ht="14.25" customHeight="1">
      <c r="A75" s="516" t="str">
        <f>'ENG MENU D'!A84</f>
        <v>#REF!</v>
      </c>
      <c r="B75" s="517">
        <v>7.0</v>
      </c>
      <c r="C75" s="518"/>
      <c r="D75" s="519">
        <f>B75*C72</f>
        <v>1.12</v>
      </c>
      <c r="E75" s="518"/>
      <c r="F75" s="519">
        <f>B75*E75</f>
        <v>0</v>
      </c>
      <c r="G75" s="518"/>
      <c r="H75" s="519">
        <f>B75*G75</f>
        <v>0</v>
      </c>
      <c r="I75" s="518"/>
      <c r="J75" s="519">
        <f>B75*I75</f>
        <v>0</v>
      </c>
      <c r="K75" s="518"/>
      <c r="L75" s="519">
        <f>B75*K75</f>
        <v>0</v>
      </c>
      <c r="M75" s="518">
        <v>0.16</v>
      </c>
      <c r="N75" s="519">
        <f>B75*M75</f>
        <v>1.12</v>
      </c>
      <c r="O75" s="518"/>
      <c r="P75" s="519">
        <f>B75*O75</f>
        <v>0</v>
      </c>
      <c r="Q75" s="518">
        <v>0.05</v>
      </c>
      <c r="R75" s="519">
        <f>B75*Q75</f>
        <v>0.35</v>
      </c>
      <c r="S75" s="518"/>
      <c r="T75" s="519">
        <f>B75*S75</f>
        <v>0</v>
      </c>
      <c r="U75" s="518"/>
      <c r="V75" s="519">
        <f>B75*U75</f>
        <v>0</v>
      </c>
    </row>
    <row r="76" ht="14.25" customHeight="1">
      <c r="A76" s="516" t="s">
        <v>12</v>
      </c>
      <c r="B76" s="520"/>
      <c r="C76" s="518"/>
      <c r="D76" s="519"/>
      <c r="E76" s="518"/>
      <c r="F76" s="519"/>
      <c r="G76" s="518"/>
      <c r="H76" s="519"/>
      <c r="I76" s="518"/>
      <c r="J76" s="519"/>
      <c r="K76" s="518"/>
      <c r="L76" s="519"/>
      <c r="M76" s="518"/>
      <c r="N76" s="519"/>
      <c r="O76" s="518"/>
      <c r="P76" s="519"/>
      <c r="Q76" s="518"/>
      <c r="R76" s="519"/>
      <c r="S76" s="518"/>
      <c r="T76" s="519"/>
      <c r="U76" s="518"/>
      <c r="V76" s="519"/>
    </row>
    <row r="77" ht="14.25" customHeight="1">
      <c r="A77" s="516" t="s">
        <v>12</v>
      </c>
      <c r="B77" s="520"/>
      <c r="C77" s="518"/>
      <c r="D77" s="519"/>
      <c r="E77" s="518"/>
      <c r="F77" s="519"/>
      <c r="G77" s="518"/>
      <c r="H77" s="519"/>
      <c r="I77" s="518"/>
      <c r="J77" s="519"/>
      <c r="K77" s="518"/>
      <c r="L77" s="519"/>
      <c r="M77" s="518"/>
      <c r="N77" s="519"/>
      <c r="O77" s="518"/>
      <c r="P77" s="519"/>
      <c r="Q77" s="518"/>
      <c r="R77" s="519"/>
      <c r="S77" s="518"/>
      <c r="T77" s="519"/>
      <c r="U77" s="518"/>
      <c r="V77" s="519"/>
    </row>
    <row r="78" ht="14.25" customHeight="1">
      <c r="A78" s="516" t="str">
        <f t="shared" ref="A78:A80" si="70">'ENG MENU D'!A88</f>
        <v>#REF!</v>
      </c>
      <c r="B78" s="520"/>
      <c r="C78" s="514"/>
      <c r="D78" s="515"/>
      <c r="E78" s="515"/>
      <c r="F78" s="515"/>
      <c r="G78" s="515"/>
      <c r="H78" s="515"/>
      <c r="I78" s="515"/>
      <c r="J78" s="515"/>
      <c r="K78" s="515"/>
      <c r="L78" s="515"/>
      <c r="M78" s="515"/>
      <c r="N78" s="515"/>
      <c r="O78" s="515"/>
      <c r="P78" s="515"/>
      <c r="Q78" s="550"/>
      <c r="R78" s="550"/>
      <c r="S78" s="550"/>
      <c r="T78" s="550"/>
      <c r="U78" s="550"/>
      <c r="V78" s="550"/>
    </row>
    <row r="79" ht="14.25" customHeight="1">
      <c r="A79" s="516" t="str">
        <f t="shared" si="70"/>
        <v>#REF!</v>
      </c>
      <c r="B79" s="517">
        <v>13.0</v>
      </c>
      <c r="C79" s="518">
        <v>0.16</v>
      </c>
      <c r="D79" s="519">
        <f t="shared" ref="D79:D90" si="71">B79*C79</f>
        <v>2.08</v>
      </c>
      <c r="E79" s="518"/>
      <c r="F79" s="519">
        <f t="shared" ref="F79:F90" si="72">B79*E79</f>
        <v>0</v>
      </c>
      <c r="G79" s="518">
        <v>0.06</v>
      </c>
      <c r="H79" s="519">
        <f t="shared" ref="H79:H90" si="73">B79*G79</f>
        <v>0.78</v>
      </c>
      <c r="I79" s="518">
        <v>1.0</v>
      </c>
      <c r="J79" s="519">
        <f t="shared" ref="J79:J90" si="74">B79*I79</f>
        <v>13</v>
      </c>
      <c r="K79" s="518"/>
      <c r="L79" s="519">
        <f t="shared" ref="L79:L90" si="75">B79*K79</f>
        <v>0</v>
      </c>
      <c r="M79" s="518">
        <v>0.2</v>
      </c>
      <c r="N79" s="519">
        <f t="shared" ref="N79:N90" si="76">B79*M79</f>
        <v>2.6</v>
      </c>
      <c r="O79" s="518"/>
      <c r="P79" s="519">
        <f t="shared" ref="P79:P90" si="77">B79*O79</f>
        <v>0</v>
      </c>
      <c r="Q79" s="518"/>
      <c r="R79" s="519">
        <f t="shared" ref="R79:R90" si="78">B79*Q79</f>
        <v>0</v>
      </c>
      <c r="S79" s="518"/>
      <c r="T79" s="519">
        <f t="shared" ref="T79:T90" si="79">B79*S79</f>
        <v>0</v>
      </c>
      <c r="U79" s="518"/>
      <c r="V79" s="519">
        <f t="shared" ref="V79:V90" si="80">B79*U79</f>
        <v>0</v>
      </c>
    </row>
    <row r="80" ht="14.25" customHeight="1">
      <c r="A80" s="516" t="str">
        <f t="shared" si="70"/>
        <v>#REF!</v>
      </c>
      <c r="B80" s="517">
        <v>3.0</v>
      </c>
      <c r="C80" s="518">
        <v>0.16</v>
      </c>
      <c r="D80" s="519">
        <f t="shared" si="71"/>
        <v>0.48</v>
      </c>
      <c r="E80" s="518"/>
      <c r="F80" s="519">
        <f t="shared" si="72"/>
        <v>0</v>
      </c>
      <c r="G80" s="518"/>
      <c r="H80" s="519">
        <f t="shared" si="73"/>
        <v>0</v>
      </c>
      <c r="I80" s="518"/>
      <c r="J80" s="519">
        <f t="shared" si="74"/>
        <v>0</v>
      </c>
      <c r="K80" s="518">
        <v>1.0</v>
      </c>
      <c r="L80" s="519">
        <f t="shared" si="75"/>
        <v>3</v>
      </c>
      <c r="M80" s="518">
        <v>0.2</v>
      </c>
      <c r="N80" s="519">
        <f t="shared" si="76"/>
        <v>0.6</v>
      </c>
      <c r="O80" s="518"/>
      <c r="P80" s="519">
        <f t="shared" si="77"/>
        <v>0</v>
      </c>
      <c r="Q80" s="518"/>
      <c r="R80" s="519">
        <f t="shared" si="78"/>
        <v>0</v>
      </c>
      <c r="S80" s="518"/>
      <c r="T80" s="519">
        <f t="shared" si="79"/>
        <v>0</v>
      </c>
      <c r="U80" s="518"/>
      <c r="V80" s="519">
        <f t="shared" si="80"/>
        <v>0</v>
      </c>
    </row>
    <row r="81" ht="14.25" customHeight="1">
      <c r="A81" s="546" t="s">
        <v>671</v>
      </c>
      <c r="B81" s="517">
        <v>4.0</v>
      </c>
      <c r="C81" s="518">
        <v>0.16</v>
      </c>
      <c r="D81" s="519">
        <f t="shared" si="71"/>
        <v>0.64</v>
      </c>
      <c r="E81" s="518"/>
      <c r="F81" s="519">
        <f t="shared" si="72"/>
        <v>0</v>
      </c>
      <c r="G81" s="518"/>
      <c r="H81" s="519">
        <f t="shared" si="73"/>
        <v>0</v>
      </c>
      <c r="I81" s="518"/>
      <c r="J81" s="519">
        <f t="shared" si="74"/>
        <v>0</v>
      </c>
      <c r="K81" s="518"/>
      <c r="L81" s="519">
        <f t="shared" si="75"/>
        <v>0</v>
      </c>
      <c r="M81" s="518">
        <v>0.2</v>
      </c>
      <c r="N81" s="519">
        <f t="shared" si="76"/>
        <v>0.8</v>
      </c>
      <c r="O81" s="518"/>
      <c r="P81" s="519">
        <f t="shared" si="77"/>
        <v>0</v>
      </c>
      <c r="Q81" s="527"/>
      <c r="R81" s="519">
        <f t="shared" si="78"/>
        <v>0</v>
      </c>
      <c r="S81" s="527">
        <v>0.06</v>
      </c>
      <c r="T81" s="519">
        <f t="shared" si="79"/>
        <v>0.24</v>
      </c>
      <c r="U81" s="518"/>
      <c r="V81" s="519">
        <f t="shared" si="80"/>
        <v>0</v>
      </c>
    </row>
    <row r="82" ht="14.25" customHeight="1">
      <c r="A82" s="516" t="str">
        <f t="shared" ref="A82:A87" si="81">'ENG MENU D'!A92</f>
        <v>#REF!</v>
      </c>
      <c r="B82" s="517">
        <v>8.0</v>
      </c>
      <c r="C82" s="518">
        <v>0.16</v>
      </c>
      <c r="D82" s="519">
        <f t="shared" si="71"/>
        <v>1.28</v>
      </c>
      <c r="E82" s="518"/>
      <c r="F82" s="519">
        <f t="shared" si="72"/>
        <v>0</v>
      </c>
      <c r="G82" s="518"/>
      <c r="H82" s="519">
        <f t="shared" si="73"/>
        <v>0</v>
      </c>
      <c r="I82" s="518"/>
      <c r="J82" s="519">
        <f t="shared" si="74"/>
        <v>0</v>
      </c>
      <c r="K82" s="518">
        <v>1.0</v>
      </c>
      <c r="L82" s="519">
        <f t="shared" si="75"/>
        <v>8</v>
      </c>
      <c r="M82" s="518">
        <v>0.2</v>
      </c>
      <c r="N82" s="519">
        <f t="shared" si="76"/>
        <v>1.6</v>
      </c>
      <c r="O82" s="518"/>
      <c r="P82" s="519">
        <f t="shared" si="77"/>
        <v>0</v>
      </c>
      <c r="Q82" s="518"/>
      <c r="R82" s="519">
        <f t="shared" si="78"/>
        <v>0</v>
      </c>
      <c r="S82" s="518">
        <v>0.06</v>
      </c>
      <c r="T82" s="519">
        <f t="shared" si="79"/>
        <v>0.48</v>
      </c>
      <c r="U82" s="518"/>
      <c r="V82" s="519">
        <f t="shared" si="80"/>
        <v>0</v>
      </c>
    </row>
    <row r="83" ht="14.25" hidden="1" customHeight="1">
      <c r="A83" s="516" t="str">
        <f t="shared" si="81"/>
        <v>#REF!</v>
      </c>
      <c r="B83" s="520"/>
      <c r="C83" s="518"/>
      <c r="D83" s="519">
        <f t="shared" si="71"/>
        <v>0</v>
      </c>
      <c r="E83" s="518"/>
      <c r="F83" s="519">
        <f t="shared" si="72"/>
        <v>0</v>
      </c>
      <c r="G83" s="518"/>
      <c r="H83" s="519">
        <f t="shared" si="73"/>
        <v>0</v>
      </c>
      <c r="I83" s="518"/>
      <c r="J83" s="519">
        <f t="shared" si="74"/>
        <v>0</v>
      </c>
      <c r="K83" s="518"/>
      <c r="L83" s="519">
        <f t="shared" si="75"/>
        <v>0</v>
      </c>
      <c r="M83" s="518">
        <v>0.2</v>
      </c>
      <c r="N83" s="519">
        <f t="shared" si="76"/>
        <v>0</v>
      </c>
      <c r="O83" s="518"/>
      <c r="P83" s="519">
        <f t="shared" si="77"/>
        <v>0</v>
      </c>
      <c r="Q83" s="518"/>
      <c r="R83" s="519">
        <f t="shared" si="78"/>
        <v>0</v>
      </c>
      <c r="S83" s="518"/>
      <c r="T83" s="519">
        <f t="shared" si="79"/>
        <v>0</v>
      </c>
      <c r="U83" s="518"/>
      <c r="V83" s="519">
        <f t="shared" si="80"/>
        <v>0</v>
      </c>
    </row>
    <row r="84" ht="14.25" customHeight="1">
      <c r="A84" s="516" t="str">
        <f t="shared" si="81"/>
        <v>#REF!</v>
      </c>
      <c r="B84" s="517">
        <v>4.0</v>
      </c>
      <c r="C84" s="518">
        <v>0.16</v>
      </c>
      <c r="D84" s="519">
        <f t="shared" si="71"/>
        <v>0.64</v>
      </c>
      <c r="E84" s="518"/>
      <c r="F84" s="519">
        <f t="shared" si="72"/>
        <v>0</v>
      </c>
      <c r="G84" s="518"/>
      <c r="H84" s="519">
        <f t="shared" si="73"/>
        <v>0</v>
      </c>
      <c r="I84" s="518"/>
      <c r="J84" s="519">
        <f t="shared" si="74"/>
        <v>0</v>
      </c>
      <c r="K84" s="518">
        <v>1.0</v>
      </c>
      <c r="L84" s="519">
        <f t="shared" si="75"/>
        <v>4</v>
      </c>
      <c r="M84" s="518">
        <v>0.2</v>
      </c>
      <c r="N84" s="519">
        <f t="shared" si="76"/>
        <v>0.8</v>
      </c>
      <c r="O84" s="518"/>
      <c r="P84" s="519">
        <f t="shared" si="77"/>
        <v>0</v>
      </c>
      <c r="Q84" s="518"/>
      <c r="R84" s="519">
        <f t="shared" si="78"/>
        <v>0</v>
      </c>
      <c r="S84" s="518"/>
      <c r="T84" s="519">
        <f t="shared" si="79"/>
        <v>0</v>
      </c>
      <c r="U84" s="518"/>
      <c r="V84" s="519">
        <f t="shared" si="80"/>
        <v>0</v>
      </c>
    </row>
    <row r="85" ht="14.25" hidden="1" customHeight="1">
      <c r="A85" s="516" t="str">
        <f t="shared" si="81"/>
        <v>#REF!</v>
      </c>
      <c r="B85" s="520"/>
      <c r="C85" s="518"/>
      <c r="D85" s="519">
        <f t="shared" si="71"/>
        <v>0</v>
      </c>
      <c r="E85" s="518"/>
      <c r="F85" s="519">
        <f t="shared" si="72"/>
        <v>0</v>
      </c>
      <c r="G85" s="518"/>
      <c r="H85" s="519">
        <f t="shared" si="73"/>
        <v>0</v>
      </c>
      <c r="I85" s="518">
        <v>1.0</v>
      </c>
      <c r="J85" s="519">
        <f t="shared" si="74"/>
        <v>0</v>
      </c>
      <c r="K85" s="518"/>
      <c r="L85" s="519">
        <f t="shared" si="75"/>
        <v>0</v>
      </c>
      <c r="M85" s="518">
        <v>0.2</v>
      </c>
      <c r="N85" s="519">
        <f t="shared" si="76"/>
        <v>0</v>
      </c>
      <c r="O85" s="518"/>
      <c r="P85" s="519">
        <f t="shared" si="77"/>
        <v>0</v>
      </c>
      <c r="Q85" s="518"/>
      <c r="R85" s="519">
        <f t="shared" si="78"/>
        <v>0</v>
      </c>
      <c r="S85" s="518"/>
      <c r="T85" s="519">
        <f t="shared" si="79"/>
        <v>0</v>
      </c>
      <c r="U85" s="518"/>
      <c r="V85" s="519">
        <f t="shared" si="80"/>
        <v>0</v>
      </c>
    </row>
    <row r="86" ht="14.25" customHeight="1">
      <c r="A86" s="516" t="str">
        <f t="shared" si="81"/>
        <v>#REF!</v>
      </c>
      <c r="B86" s="517">
        <v>12.0</v>
      </c>
      <c r="C86" s="518">
        <v>0.16</v>
      </c>
      <c r="D86" s="519">
        <f t="shared" si="71"/>
        <v>1.92</v>
      </c>
      <c r="E86" s="518"/>
      <c r="F86" s="519">
        <f t="shared" si="72"/>
        <v>0</v>
      </c>
      <c r="G86" s="518">
        <v>0.04</v>
      </c>
      <c r="H86" s="519">
        <f t="shared" si="73"/>
        <v>0.48</v>
      </c>
      <c r="I86" s="518">
        <v>1.0</v>
      </c>
      <c r="J86" s="519">
        <f t="shared" si="74"/>
        <v>12</v>
      </c>
      <c r="K86" s="518"/>
      <c r="L86" s="519">
        <f t="shared" si="75"/>
        <v>0</v>
      </c>
      <c r="M86" s="518">
        <v>0.2</v>
      </c>
      <c r="N86" s="519">
        <f t="shared" si="76"/>
        <v>2.4</v>
      </c>
      <c r="O86" s="518"/>
      <c r="P86" s="519">
        <f t="shared" si="77"/>
        <v>0</v>
      </c>
      <c r="Q86" s="518"/>
      <c r="R86" s="519">
        <f t="shared" si="78"/>
        <v>0</v>
      </c>
      <c r="S86" s="518"/>
      <c r="T86" s="519">
        <f t="shared" si="79"/>
        <v>0</v>
      </c>
      <c r="U86" s="518"/>
      <c r="V86" s="519">
        <f t="shared" si="80"/>
        <v>0</v>
      </c>
    </row>
    <row r="87" ht="14.25" customHeight="1">
      <c r="A87" s="516" t="str">
        <f t="shared" si="81"/>
        <v>#REF!</v>
      </c>
      <c r="B87" s="517">
        <v>9.0</v>
      </c>
      <c r="C87" s="518">
        <v>0.16</v>
      </c>
      <c r="D87" s="519">
        <f t="shared" si="71"/>
        <v>1.44</v>
      </c>
      <c r="E87" s="518"/>
      <c r="F87" s="519">
        <f t="shared" si="72"/>
        <v>0</v>
      </c>
      <c r="G87" s="518">
        <v>0.05</v>
      </c>
      <c r="H87" s="519">
        <f t="shared" si="73"/>
        <v>0.45</v>
      </c>
      <c r="I87" s="518">
        <v>1.0</v>
      </c>
      <c r="J87" s="519">
        <f t="shared" si="74"/>
        <v>9</v>
      </c>
      <c r="K87" s="518"/>
      <c r="L87" s="519">
        <f t="shared" si="75"/>
        <v>0</v>
      </c>
      <c r="M87" s="518">
        <v>0.2</v>
      </c>
      <c r="N87" s="519">
        <f t="shared" si="76"/>
        <v>1.8</v>
      </c>
      <c r="O87" s="518"/>
      <c r="P87" s="519">
        <f t="shared" si="77"/>
        <v>0</v>
      </c>
      <c r="Q87" s="518"/>
      <c r="R87" s="519">
        <f t="shared" si="78"/>
        <v>0</v>
      </c>
      <c r="S87" s="518"/>
      <c r="T87" s="519">
        <f t="shared" si="79"/>
        <v>0</v>
      </c>
      <c r="U87" s="518"/>
      <c r="V87" s="519">
        <f t="shared" si="80"/>
        <v>0</v>
      </c>
    </row>
    <row r="88" ht="14.25" customHeight="1">
      <c r="A88" s="516" t="s">
        <v>1516</v>
      </c>
      <c r="B88" s="517">
        <v>2.0</v>
      </c>
      <c r="C88" s="518">
        <v>0.16</v>
      </c>
      <c r="D88" s="519">
        <f t="shared" si="71"/>
        <v>0.32</v>
      </c>
      <c r="E88" s="518"/>
      <c r="F88" s="519">
        <f t="shared" si="72"/>
        <v>0</v>
      </c>
      <c r="G88" s="518">
        <v>0.05</v>
      </c>
      <c r="H88" s="519">
        <f t="shared" si="73"/>
        <v>0.1</v>
      </c>
      <c r="I88" s="518"/>
      <c r="J88" s="519">
        <f t="shared" si="74"/>
        <v>0</v>
      </c>
      <c r="K88" s="518">
        <v>1.0</v>
      </c>
      <c r="L88" s="519">
        <f t="shared" si="75"/>
        <v>2</v>
      </c>
      <c r="M88" s="518">
        <v>0.2</v>
      </c>
      <c r="N88" s="519">
        <f t="shared" si="76"/>
        <v>0.4</v>
      </c>
      <c r="O88" s="518"/>
      <c r="P88" s="519">
        <f t="shared" si="77"/>
        <v>0</v>
      </c>
      <c r="Q88" s="518"/>
      <c r="R88" s="519">
        <f t="shared" si="78"/>
        <v>0</v>
      </c>
      <c r="S88" s="518"/>
      <c r="T88" s="519">
        <f t="shared" si="79"/>
        <v>0</v>
      </c>
      <c r="U88" s="518"/>
      <c r="V88" s="519">
        <f t="shared" si="80"/>
        <v>0</v>
      </c>
    </row>
    <row r="89" ht="14.25" hidden="1" customHeight="1">
      <c r="A89" s="516" t="s">
        <v>1520</v>
      </c>
      <c r="B89" s="520"/>
      <c r="C89" s="518">
        <v>0.16</v>
      </c>
      <c r="D89" s="519">
        <f t="shared" si="71"/>
        <v>0</v>
      </c>
      <c r="E89" s="518"/>
      <c r="F89" s="519">
        <f t="shared" si="72"/>
        <v>0</v>
      </c>
      <c r="G89" s="518">
        <v>1.05</v>
      </c>
      <c r="H89" s="519">
        <f t="shared" si="73"/>
        <v>0</v>
      </c>
      <c r="I89" s="518"/>
      <c r="J89" s="519">
        <f t="shared" si="74"/>
        <v>0</v>
      </c>
      <c r="K89" s="518">
        <v>2.0</v>
      </c>
      <c r="L89" s="519">
        <f t="shared" si="75"/>
        <v>0</v>
      </c>
      <c r="M89" s="518">
        <v>1.2</v>
      </c>
      <c r="N89" s="519">
        <f t="shared" si="76"/>
        <v>0</v>
      </c>
      <c r="O89" s="518"/>
      <c r="P89" s="519">
        <f t="shared" si="77"/>
        <v>0</v>
      </c>
      <c r="Q89" s="518"/>
      <c r="R89" s="519">
        <f t="shared" si="78"/>
        <v>0</v>
      </c>
      <c r="S89" s="518"/>
      <c r="T89" s="519">
        <f t="shared" si="79"/>
        <v>0</v>
      </c>
      <c r="U89" s="518"/>
      <c r="V89" s="519">
        <f t="shared" si="80"/>
        <v>0</v>
      </c>
    </row>
    <row r="90" ht="14.25" hidden="1" customHeight="1">
      <c r="A90" s="516" t="s">
        <v>1523</v>
      </c>
      <c r="B90" s="520"/>
      <c r="C90" s="518">
        <v>0.16</v>
      </c>
      <c r="D90" s="519">
        <f t="shared" si="71"/>
        <v>0</v>
      </c>
      <c r="E90" s="518"/>
      <c r="F90" s="519">
        <f t="shared" si="72"/>
        <v>0</v>
      </c>
      <c r="G90" s="518">
        <v>2.05</v>
      </c>
      <c r="H90" s="519">
        <f t="shared" si="73"/>
        <v>0</v>
      </c>
      <c r="I90" s="518"/>
      <c r="J90" s="519">
        <f t="shared" si="74"/>
        <v>0</v>
      </c>
      <c r="K90" s="518">
        <v>3.0</v>
      </c>
      <c r="L90" s="519">
        <f t="shared" si="75"/>
        <v>0</v>
      </c>
      <c r="M90" s="518">
        <v>2.2</v>
      </c>
      <c r="N90" s="519">
        <f t="shared" si="76"/>
        <v>0</v>
      </c>
      <c r="O90" s="518"/>
      <c r="P90" s="519">
        <f t="shared" si="77"/>
        <v>0</v>
      </c>
      <c r="Q90" s="518"/>
      <c r="R90" s="519">
        <f t="shared" si="78"/>
        <v>0</v>
      </c>
      <c r="S90" s="518"/>
      <c r="T90" s="519">
        <f t="shared" si="79"/>
        <v>0</v>
      </c>
      <c r="U90" s="518"/>
      <c r="V90" s="519">
        <f t="shared" si="80"/>
        <v>0</v>
      </c>
    </row>
    <row r="91" ht="14.25" customHeight="1">
      <c r="A91" s="516"/>
      <c r="B91" s="520"/>
      <c r="C91" s="518"/>
      <c r="D91" s="519"/>
      <c r="E91" s="518"/>
      <c r="F91" s="519"/>
      <c r="G91" s="518"/>
      <c r="H91" s="544"/>
      <c r="I91" s="518"/>
      <c r="J91" s="519"/>
      <c r="K91" s="518"/>
      <c r="L91" s="519"/>
      <c r="M91" s="518"/>
      <c r="N91" s="519"/>
      <c r="O91" s="518"/>
      <c r="P91" s="519"/>
      <c r="Q91" s="518"/>
      <c r="R91" s="519"/>
      <c r="S91" s="518"/>
      <c r="T91" s="519"/>
      <c r="U91" s="518"/>
      <c r="V91" s="519"/>
    </row>
    <row r="92" ht="14.25" customHeight="1">
      <c r="A92" s="516" t="str">
        <f t="shared" ref="A92:A102" si="82">'ENG MENU D'!A105</f>
        <v>#REF!</v>
      </c>
      <c r="B92" s="520"/>
      <c r="C92" s="514"/>
      <c r="D92" s="515"/>
      <c r="E92" s="515"/>
      <c r="F92" s="515"/>
      <c r="G92" s="515"/>
      <c r="H92" s="515"/>
      <c r="I92" s="515"/>
      <c r="J92" s="515"/>
      <c r="K92" s="515"/>
      <c r="L92" s="515"/>
      <c r="M92" s="515"/>
      <c r="N92" s="515"/>
      <c r="O92" s="515"/>
      <c r="P92" s="515"/>
      <c r="Q92" s="550"/>
      <c r="R92" s="550"/>
      <c r="S92" s="550"/>
      <c r="T92" s="550"/>
      <c r="U92" s="550"/>
      <c r="V92" s="550"/>
    </row>
    <row r="93" ht="14.25" customHeight="1">
      <c r="A93" s="516" t="str">
        <f t="shared" si="82"/>
        <v>#REF!</v>
      </c>
      <c r="B93" s="520"/>
      <c r="C93" s="518"/>
      <c r="D93" s="519">
        <f t="shared" ref="D93:D104" si="83">B93*C93</f>
        <v>0</v>
      </c>
      <c r="E93" s="518"/>
      <c r="F93" s="519">
        <f t="shared" ref="F93:F104" si="84">B93*E93</f>
        <v>0</v>
      </c>
      <c r="G93" s="518"/>
      <c r="H93" s="519">
        <f t="shared" ref="H93:H104" si="85">B93*G93</f>
        <v>0</v>
      </c>
      <c r="I93" s="518"/>
      <c r="J93" s="519">
        <f t="shared" ref="J93:J104" si="86">B93*I93</f>
        <v>0</v>
      </c>
      <c r="K93" s="518"/>
      <c r="L93" s="519">
        <f t="shared" ref="L93:L104" si="87">B93*K93</f>
        <v>0</v>
      </c>
      <c r="M93" s="518"/>
      <c r="N93" s="519">
        <f t="shared" ref="N93:N104" si="88">B93*M93</f>
        <v>0</v>
      </c>
      <c r="O93" s="518"/>
      <c r="P93" s="519">
        <f t="shared" ref="P93:P104" si="89">B93*O93</f>
        <v>0</v>
      </c>
      <c r="Q93" s="518"/>
      <c r="R93" s="519">
        <f t="shared" ref="R93:R104" si="90">B93*Q93</f>
        <v>0</v>
      </c>
      <c r="S93" s="518"/>
      <c r="T93" s="519">
        <f t="shared" ref="T93:T104" si="91">B93*S93</f>
        <v>0</v>
      </c>
      <c r="U93" s="518"/>
      <c r="V93" s="519">
        <f t="shared" ref="V93:V104" si="92">B93*U93</f>
        <v>0</v>
      </c>
    </row>
    <row r="94" ht="14.25" customHeight="1">
      <c r="A94" s="516" t="str">
        <f t="shared" si="82"/>
        <v>#REF!</v>
      </c>
      <c r="B94" s="520"/>
      <c r="C94" s="518"/>
      <c r="D94" s="519">
        <f t="shared" si="83"/>
        <v>0</v>
      </c>
      <c r="E94" s="518"/>
      <c r="F94" s="519">
        <f t="shared" si="84"/>
        <v>0</v>
      </c>
      <c r="G94" s="518"/>
      <c r="H94" s="519">
        <f t="shared" si="85"/>
        <v>0</v>
      </c>
      <c r="I94" s="518"/>
      <c r="J94" s="519">
        <f t="shared" si="86"/>
        <v>0</v>
      </c>
      <c r="K94" s="518"/>
      <c r="L94" s="519">
        <f t="shared" si="87"/>
        <v>0</v>
      </c>
      <c r="M94" s="518"/>
      <c r="N94" s="519">
        <f t="shared" si="88"/>
        <v>0</v>
      </c>
      <c r="O94" s="518"/>
      <c r="P94" s="519">
        <f t="shared" si="89"/>
        <v>0</v>
      </c>
      <c r="Q94" s="518"/>
      <c r="R94" s="519">
        <f t="shared" si="90"/>
        <v>0</v>
      </c>
      <c r="S94" s="518"/>
      <c r="T94" s="519">
        <f t="shared" si="91"/>
        <v>0</v>
      </c>
      <c r="U94" s="518"/>
      <c r="V94" s="519">
        <f t="shared" si="92"/>
        <v>0</v>
      </c>
    </row>
    <row r="95" ht="14.25" customHeight="1">
      <c r="A95" s="516" t="str">
        <f t="shared" si="82"/>
        <v>#REF!</v>
      </c>
      <c r="B95" s="520"/>
      <c r="C95" s="518"/>
      <c r="D95" s="519">
        <f t="shared" si="83"/>
        <v>0</v>
      </c>
      <c r="E95" s="518"/>
      <c r="F95" s="519">
        <f t="shared" si="84"/>
        <v>0</v>
      </c>
      <c r="G95" s="518"/>
      <c r="H95" s="519">
        <f t="shared" si="85"/>
        <v>0</v>
      </c>
      <c r="I95" s="518"/>
      <c r="J95" s="519">
        <f t="shared" si="86"/>
        <v>0</v>
      </c>
      <c r="K95" s="518"/>
      <c r="L95" s="519">
        <f t="shared" si="87"/>
        <v>0</v>
      </c>
      <c r="M95" s="518"/>
      <c r="N95" s="519">
        <f t="shared" si="88"/>
        <v>0</v>
      </c>
      <c r="O95" s="518"/>
      <c r="P95" s="519">
        <f t="shared" si="89"/>
        <v>0</v>
      </c>
      <c r="Q95" s="518"/>
      <c r="R95" s="519">
        <f t="shared" si="90"/>
        <v>0</v>
      </c>
      <c r="S95" s="518"/>
      <c r="T95" s="519">
        <f t="shared" si="91"/>
        <v>0</v>
      </c>
      <c r="U95" s="518"/>
      <c r="V95" s="519">
        <f t="shared" si="92"/>
        <v>0</v>
      </c>
    </row>
    <row r="96" ht="14.25" customHeight="1">
      <c r="A96" s="516" t="str">
        <f t="shared" si="82"/>
        <v>#REF!</v>
      </c>
      <c r="B96" s="520"/>
      <c r="C96" s="518"/>
      <c r="D96" s="519">
        <f t="shared" si="83"/>
        <v>0</v>
      </c>
      <c r="E96" s="518"/>
      <c r="F96" s="519">
        <f t="shared" si="84"/>
        <v>0</v>
      </c>
      <c r="G96" s="518"/>
      <c r="H96" s="519">
        <f t="shared" si="85"/>
        <v>0</v>
      </c>
      <c r="I96" s="518"/>
      <c r="J96" s="519">
        <f t="shared" si="86"/>
        <v>0</v>
      </c>
      <c r="K96" s="518"/>
      <c r="L96" s="519">
        <f t="shared" si="87"/>
        <v>0</v>
      </c>
      <c r="M96" s="518"/>
      <c r="N96" s="519">
        <f t="shared" si="88"/>
        <v>0</v>
      </c>
      <c r="O96" s="518"/>
      <c r="P96" s="519">
        <f t="shared" si="89"/>
        <v>0</v>
      </c>
      <c r="Q96" s="518"/>
      <c r="R96" s="519">
        <f t="shared" si="90"/>
        <v>0</v>
      </c>
      <c r="S96" s="518"/>
      <c r="T96" s="519">
        <f t="shared" si="91"/>
        <v>0</v>
      </c>
      <c r="U96" s="518"/>
      <c r="V96" s="519">
        <f t="shared" si="92"/>
        <v>0</v>
      </c>
    </row>
    <row r="97" ht="14.25" customHeight="1">
      <c r="A97" s="516" t="str">
        <f t="shared" si="82"/>
        <v>#REF!</v>
      </c>
      <c r="B97" s="520"/>
      <c r="C97" s="518"/>
      <c r="D97" s="519">
        <f t="shared" si="83"/>
        <v>0</v>
      </c>
      <c r="E97" s="518"/>
      <c r="F97" s="519">
        <f t="shared" si="84"/>
        <v>0</v>
      </c>
      <c r="G97" s="518"/>
      <c r="H97" s="519">
        <f t="shared" si="85"/>
        <v>0</v>
      </c>
      <c r="I97" s="518"/>
      <c r="J97" s="519">
        <f t="shared" si="86"/>
        <v>0</v>
      </c>
      <c r="K97" s="518"/>
      <c r="L97" s="519">
        <f t="shared" si="87"/>
        <v>0</v>
      </c>
      <c r="M97" s="518"/>
      <c r="N97" s="519">
        <f t="shared" si="88"/>
        <v>0</v>
      </c>
      <c r="O97" s="518"/>
      <c r="P97" s="519">
        <f t="shared" si="89"/>
        <v>0</v>
      </c>
      <c r="Q97" s="518"/>
      <c r="R97" s="519">
        <f t="shared" si="90"/>
        <v>0</v>
      </c>
      <c r="S97" s="518"/>
      <c r="T97" s="519">
        <f t="shared" si="91"/>
        <v>0</v>
      </c>
      <c r="U97" s="518"/>
      <c r="V97" s="519">
        <f t="shared" si="92"/>
        <v>0</v>
      </c>
    </row>
    <row r="98" ht="14.25" customHeight="1">
      <c r="A98" s="516" t="str">
        <f t="shared" si="82"/>
        <v>#REF!</v>
      </c>
      <c r="B98" s="520"/>
      <c r="C98" s="518"/>
      <c r="D98" s="519">
        <f t="shared" si="83"/>
        <v>0</v>
      </c>
      <c r="E98" s="518"/>
      <c r="F98" s="519">
        <f t="shared" si="84"/>
        <v>0</v>
      </c>
      <c r="G98" s="518"/>
      <c r="H98" s="519">
        <f t="shared" si="85"/>
        <v>0</v>
      </c>
      <c r="I98" s="518"/>
      <c r="J98" s="519">
        <f t="shared" si="86"/>
        <v>0</v>
      </c>
      <c r="K98" s="518"/>
      <c r="L98" s="519">
        <f t="shared" si="87"/>
        <v>0</v>
      </c>
      <c r="M98" s="518"/>
      <c r="N98" s="519">
        <f t="shared" si="88"/>
        <v>0</v>
      </c>
      <c r="O98" s="518"/>
      <c r="P98" s="519">
        <f t="shared" si="89"/>
        <v>0</v>
      </c>
      <c r="Q98" s="518"/>
      <c r="R98" s="519">
        <f t="shared" si="90"/>
        <v>0</v>
      </c>
      <c r="S98" s="518"/>
      <c r="T98" s="519">
        <f t="shared" si="91"/>
        <v>0</v>
      </c>
      <c r="U98" s="518"/>
      <c r="V98" s="519">
        <f t="shared" si="92"/>
        <v>0</v>
      </c>
    </row>
    <row r="99" ht="14.25" customHeight="1">
      <c r="A99" s="516" t="str">
        <f t="shared" si="82"/>
        <v>#REF!</v>
      </c>
      <c r="B99" s="520"/>
      <c r="C99" s="518"/>
      <c r="D99" s="519">
        <f t="shared" si="83"/>
        <v>0</v>
      </c>
      <c r="E99" s="518">
        <v>0.15</v>
      </c>
      <c r="F99" s="519">
        <f t="shared" si="84"/>
        <v>0</v>
      </c>
      <c r="G99" s="518"/>
      <c r="H99" s="519">
        <f t="shared" si="85"/>
        <v>0</v>
      </c>
      <c r="I99" s="518"/>
      <c r="J99" s="519">
        <f t="shared" si="86"/>
        <v>0</v>
      </c>
      <c r="K99" s="518"/>
      <c r="L99" s="519">
        <f t="shared" si="87"/>
        <v>0</v>
      </c>
      <c r="M99" s="518"/>
      <c r="N99" s="519">
        <f t="shared" si="88"/>
        <v>0</v>
      </c>
      <c r="O99" s="518"/>
      <c r="P99" s="519">
        <f t="shared" si="89"/>
        <v>0</v>
      </c>
      <c r="Q99" s="518"/>
      <c r="R99" s="519">
        <f t="shared" si="90"/>
        <v>0</v>
      </c>
      <c r="S99" s="518"/>
      <c r="T99" s="519">
        <f t="shared" si="91"/>
        <v>0</v>
      </c>
      <c r="U99" s="518"/>
      <c r="V99" s="519">
        <f t="shared" si="92"/>
        <v>0</v>
      </c>
    </row>
    <row r="100" ht="14.25" customHeight="1">
      <c r="A100" s="516" t="str">
        <f t="shared" si="82"/>
        <v>#REF!</v>
      </c>
      <c r="B100" s="520"/>
      <c r="C100" s="518"/>
      <c r="D100" s="519">
        <f t="shared" si="83"/>
        <v>0</v>
      </c>
      <c r="E100" s="518">
        <v>0.15</v>
      </c>
      <c r="F100" s="519">
        <f t="shared" si="84"/>
        <v>0</v>
      </c>
      <c r="G100" s="518"/>
      <c r="H100" s="519">
        <f t="shared" si="85"/>
        <v>0</v>
      </c>
      <c r="I100" s="518"/>
      <c r="J100" s="519">
        <f t="shared" si="86"/>
        <v>0</v>
      </c>
      <c r="K100" s="518"/>
      <c r="L100" s="519">
        <f t="shared" si="87"/>
        <v>0</v>
      </c>
      <c r="M100" s="518"/>
      <c r="N100" s="519">
        <f t="shared" si="88"/>
        <v>0</v>
      </c>
      <c r="O100" s="518"/>
      <c r="P100" s="519">
        <f t="shared" si="89"/>
        <v>0</v>
      </c>
      <c r="Q100" s="518"/>
      <c r="R100" s="519">
        <f t="shared" si="90"/>
        <v>0</v>
      </c>
      <c r="S100" s="518"/>
      <c r="T100" s="519">
        <f t="shared" si="91"/>
        <v>0</v>
      </c>
      <c r="U100" s="518"/>
      <c r="V100" s="519">
        <f t="shared" si="92"/>
        <v>0</v>
      </c>
    </row>
    <row r="101" ht="14.25" customHeight="1">
      <c r="A101" s="516" t="str">
        <f t="shared" si="82"/>
        <v>#REF!</v>
      </c>
      <c r="B101" s="520"/>
      <c r="C101" s="518"/>
      <c r="D101" s="519">
        <f t="shared" si="83"/>
        <v>0</v>
      </c>
      <c r="E101" s="518"/>
      <c r="F101" s="519">
        <f t="shared" si="84"/>
        <v>0</v>
      </c>
      <c r="G101" s="518"/>
      <c r="H101" s="519">
        <f t="shared" si="85"/>
        <v>0</v>
      </c>
      <c r="I101" s="518"/>
      <c r="J101" s="519">
        <f t="shared" si="86"/>
        <v>0</v>
      </c>
      <c r="K101" s="518"/>
      <c r="L101" s="519">
        <f t="shared" si="87"/>
        <v>0</v>
      </c>
      <c r="M101" s="518"/>
      <c r="N101" s="519">
        <f t="shared" si="88"/>
        <v>0</v>
      </c>
      <c r="O101" s="518"/>
      <c r="P101" s="519">
        <f t="shared" si="89"/>
        <v>0</v>
      </c>
      <c r="Q101" s="518"/>
      <c r="R101" s="519">
        <f t="shared" si="90"/>
        <v>0</v>
      </c>
      <c r="S101" s="518"/>
      <c r="T101" s="519">
        <f t="shared" si="91"/>
        <v>0</v>
      </c>
      <c r="U101" s="518"/>
      <c r="V101" s="519">
        <f t="shared" si="92"/>
        <v>0</v>
      </c>
    </row>
    <row r="102" ht="14.25" customHeight="1">
      <c r="A102" s="516" t="str">
        <f t="shared" si="82"/>
        <v>#REF!</v>
      </c>
      <c r="B102" s="520"/>
      <c r="C102" s="518"/>
      <c r="D102" s="519">
        <f t="shared" si="83"/>
        <v>0</v>
      </c>
      <c r="E102" s="518"/>
      <c r="F102" s="519">
        <f t="shared" si="84"/>
        <v>0</v>
      </c>
      <c r="G102" s="518"/>
      <c r="H102" s="519">
        <f t="shared" si="85"/>
        <v>0</v>
      </c>
      <c r="I102" s="518"/>
      <c r="J102" s="519">
        <f t="shared" si="86"/>
        <v>0</v>
      </c>
      <c r="K102" s="518"/>
      <c r="L102" s="519">
        <f t="shared" si="87"/>
        <v>0</v>
      </c>
      <c r="M102" s="518"/>
      <c r="N102" s="519">
        <f t="shared" si="88"/>
        <v>0</v>
      </c>
      <c r="O102" s="518"/>
      <c r="P102" s="519">
        <f t="shared" si="89"/>
        <v>0</v>
      </c>
      <c r="Q102" s="518"/>
      <c r="R102" s="519">
        <f t="shared" si="90"/>
        <v>0</v>
      </c>
      <c r="S102" s="518"/>
      <c r="T102" s="519">
        <f t="shared" si="91"/>
        <v>0</v>
      </c>
      <c r="U102" s="518"/>
      <c r="V102" s="519">
        <f t="shared" si="92"/>
        <v>0</v>
      </c>
    </row>
    <row r="103" ht="14.25" customHeight="1">
      <c r="A103" s="516" t="str">
        <f t="shared" ref="A103:A104" si="93">'ENG MENU D'!A117</f>
        <v>#REF!</v>
      </c>
      <c r="B103" s="520"/>
      <c r="C103" s="518"/>
      <c r="D103" s="519">
        <f t="shared" si="83"/>
        <v>0</v>
      </c>
      <c r="E103" s="518"/>
      <c r="F103" s="519">
        <f t="shared" si="84"/>
        <v>0</v>
      </c>
      <c r="G103" s="518"/>
      <c r="H103" s="519">
        <f t="shared" si="85"/>
        <v>0</v>
      </c>
      <c r="I103" s="518"/>
      <c r="J103" s="519">
        <f t="shared" si="86"/>
        <v>0</v>
      </c>
      <c r="K103" s="518"/>
      <c r="L103" s="519">
        <f t="shared" si="87"/>
        <v>0</v>
      </c>
      <c r="M103" s="518"/>
      <c r="N103" s="519">
        <f t="shared" si="88"/>
        <v>0</v>
      </c>
      <c r="O103" s="518"/>
      <c r="P103" s="519">
        <f t="shared" si="89"/>
        <v>0</v>
      </c>
      <c r="Q103" s="518"/>
      <c r="R103" s="519">
        <f t="shared" si="90"/>
        <v>0</v>
      </c>
      <c r="S103" s="518"/>
      <c r="T103" s="519">
        <f t="shared" si="91"/>
        <v>0</v>
      </c>
      <c r="U103" s="518"/>
      <c r="V103" s="519">
        <f t="shared" si="92"/>
        <v>0</v>
      </c>
    </row>
    <row r="104" ht="14.25" customHeight="1">
      <c r="A104" s="516" t="str">
        <f t="shared" si="93"/>
        <v>#REF!</v>
      </c>
      <c r="B104" s="520"/>
      <c r="C104" s="518"/>
      <c r="D104" s="519">
        <f t="shared" si="83"/>
        <v>0</v>
      </c>
      <c r="E104" s="518"/>
      <c r="F104" s="519">
        <f t="shared" si="84"/>
        <v>0</v>
      </c>
      <c r="G104" s="518"/>
      <c r="H104" s="519">
        <f t="shared" si="85"/>
        <v>0</v>
      </c>
      <c r="I104" s="518"/>
      <c r="J104" s="519">
        <f t="shared" si="86"/>
        <v>0</v>
      </c>
      <c r="K104" s="518"/>
      <c r="L104" s="519">
        <f t="shared" si="87"/>
        <v>0</v>
      </c>
      <c r="M104" s="518"/>
      <c r="N104" s="519">
        <f t="shared" si="88"/>
        <v>0</v>
      </c>
      <c r="O104" s="518"/>
      <c r="P104" s="519">
        <f t="shared" si="89"/>
        <v>0</v>
      </c>
      <c r="Q104" s="518"/>
      <c r="R104" s="519">
        <f t="shared" si="90"/>
        <v>0</v>
      </c>
      <c r="S104" s="518"/>
      <c r="T104" s="519">
        <f t="shared" si="91"/>
        <v>0</v>
      </c>
      <c r="U104" s="518"/>
      <c r="V104" s="519">
        <f t="shared" si="92"/>
        <v>0</v>
      </c>
    </row>
    <row r="105" ht="14.25" customHeight="1">
      <c r="A105" s="516" t="s">
        <v>12</v>
      </c>
      <c r="B105" s="520"/>
      <c r="C105" s="518"/>
      <c r="D105" s="519"/>
      <c r="E105" s="518"/>
      <c r="F105" s="519"/>
      <c r="G105" s="518"/>
      <c r="H105" s="519"/>
      <c r="I105" s="518"/>
      <c r="J105" s="519"/>
      <c r="K105" s="518"/>
      <c r="L105" s="519"/>
      <c r="M105" s="518"/>
      <c r="N105" s="519"/>
      <c r="O105" s="518"/>
      <c r="P105" s="519"/>
      <c r="Q105" s="518"/>
      <c r="R105" s="519"/>
      <c r="S105" s="518"/>
      <c r="T105" s="519"/>
      <c r="U105" s="518"/>
      <c r="V105" s="519"/>
    </row>
    <row r="106" ht="14.25" customHeight="1">
      <c r="A106" s="516" t="s">
        <v>12</v>
      </c>
      <c r="B106" s="520"/>
      <c r="C106" s="518"/>
      <c r="D106" s="519"/>
      <c r="E106" s="518"/>
      <c r="F106" s="519"/>
      <c r="G106" s="518"/>
      <c r="H106" s="544"/>
      <c r="I106" s="518"/>
      <c r="J106" s="519"/>
      <c r="K106" s="518"/>
      <c r="L106" s="519"/>
      <c r="M106" s="518"/>
      <c r="N106" s="519"/>
      <c r="O106" s="518"/>
      <c r="P106" s="519"/>
      <c r="Q106" s="518"/>
      <c r="R106" s="519"/>
      <c r="S106" s="518"/>
      <c r="T106" s="519"/>
      <c r="U106" s="518"/>
      <c r="V106" s="519"/>
    </row>
    <row r="107" ht="14.25" customHeight="1">
      <c r="A107" s="516" t="str">
        <f t="shared" ref="A107:A111" si="94">'ENG MENU D'!A121</f>
        <v>#REF!</v>
      </c>
      <c r="B107" s="520"/>
      <c r="C107" s="514"/>
      <c r="D107" s="515"/>
      <c r="E107" s="515"/>
      <c r="F107" s="515"/>
      <c r="G107" s="515"/>
      <c r="H107" s="515"/>
      <c r="I107" s="515"/>
      <c r="J107" s="515"/>
      <c r="K107" s="515"/>
      <c r="L107" s="515"/>
      <c r="M107" s="515"/>
      <c r="N107" s="515"/>
      <c r="O107" s="515"/>
      <c r="P107" s="515"/>
      <c r="Q107" s="550"/>
      <c r="R107" s="550"/>
      <c r="S107" s="550"/>
      <c r="T107" s="550"/>
      <c r="U107" s="550"/>
      <c r="V107" s="550"/>
    </row>
    <row r="108" ht="14.25" customHeight="1">
      <c r="A108" s="516" t="str">
        <f t="shared" si="94"/>
        <v>#REF!</v>
      </c>
      <c r="B108" s="520"/>
      <c r="C108" s="518"/>
      <c r="D108" s="519">
        <f t="shared" ref="D108:D118" si="95">B108*C108</f>
        <v>0</v>
      </c>
      <c r="E108" s="518"/>
      <c r="F108" s="519">
        <f t="shared" ref="F108:F118" si="96">B108*E108</f>
        <v>0</v>
      </c>
      <c r="G108" s="518"/>
      <c r="H108" s="519">
        <f t="shared" ref="H108:H118" si="97">B108*G108</f>
        <v>0</v>
      </c>
      <c r="I108" s="518"/>
      <c r="J108" s="519">
        <f t="shared" ref="J108:J118" si="98">B108*I108</f>
        <v>0</v>
      </c>
      <c r="K108" s="518"/>
      <c r="L108" s="519">
        <f t="shared" ref="L108:L118" si="99">B108*K108</f>
        <v>0</v>
      </c>
      <c r="M108" s="518"/>
      <c r="N108" s="519">
        <f t="shared" ref="N108:N118" si="100">B108*M108</f>
        <v>0</v>
      </c>
      <c r="O108" s="518"/>
      <c r="P108" s="519">
        <f t="shared" ref="P108:P118" si="101">B108*O108</f>
        <v>0</v>
      </c>
      <c r="Q108" s="518"/>
      <c r="R108" s="519">
        <f t="shared" ref="R108:R118" si="102">B108*Q108</f>
        <v>0</v>
      </c>
      <c r="S108" s="518"/>
      <c r="T108" s="519">
        <f t="shared" ref="T108:T118" si="103">B108*S108</f>
        <v>0</v>
      </c>
      <c r="U108" s="518"/>
      <c r="V108" s="519">
        <f t="shared" ref="V108:V118" si="104">B108*U108</f>
        <v>0</v>
      </c>
    </row>
    <row r="109" ht="14.25" customHeight="1">
      <c r="A109" s="516" t="str">
        <f t="shared" si="94"/>
        <v>#REF!</v>
      </c>
      <c r="B109" s="520"/>
      <c r="C109" s="518"/>
      <c r="D109" s="519">
        <f t="shared" si="95"/>
        <v>0</v>
      </c>
      <c r="E109" s="518"/>
      <c r="F109" s="519">
        <f t="shared" si="96"/>
        <v>0</v>
      </c>
      <c r="G109" s="518"/>
      <c r="H109" s="519">
        <f t="shared" si="97"/>
        <v>0</v>
      </c>
      <c r="I109" s="518"/>
      <c r="J109" s="519">
        <f t="shared" si="98"/>
        <v>0</v>
      </c>
      <c r="K109" s="518"/>
      <c r="L109" s="519">
        <f t="shared" si="99"/>
        <v>0</v>
      </c>
      <c r="M109" s="518"/>
      <c r="N109" s="519">
        <f t="shared" si="100"/>
        <v>0</v>
      </c>
      <c r="O109" s="518"/>
      <c r="P109" s="519">
        <f t="shared" si="101"/>
        <v>0</v>
      </c>
      <c r="Q109" s="518"/>
      <c r="R109" s="519">
        <f t="shared" si="102"/>
        <v>0</v>
      </c>
      <c r="S109" s="518"/>
      <c r="T109" s="519">
        <f t="shared" si="103"/>
        <v>0</v>
      </c>
      <c r="U109" s="518"/>
      <c r="V109" s="519">
        <f t="shared" si="104"/>
        <v>0</v>
      </c>
    </row>
    <row r="110" ht="14.25" customHeight="1">
      <c r="A110" s="516" t="str">
        <f t="shared" si="94"/>
        <v>#REF!</v>
      </c>
      <c r="B110" s="520"/>
      <c r="C110" s="518"/>
      <c r="D110" s="519">
        <f t="shared" si="95"/>
        <v>0</v>
      </c>
      <c r="E110" s="518"/>
      <c r="F110" s="519">
        <f t="shared" si="96"/>
        <v>0</v>
      </c>
      <c r="G110" s="518"/>
      <c r="H110" s="519">
        <f t="shared" si="97"/>
        <v>0</v>
      </c>
      <c r="I110" s="518"/>
      <c r="J110" s="519">
        <f t="shared" si="98"/>
        <v>0</v>
      </c>
      <c r="K110" s="518"/>
      <c r="L110" s="519">
        <f t="shared" si="99"/>
        <v>0</v>
      </c>
      <c r="M110" s="518"/>
      <c r="N110" s="519">
        <f t="shared" si="100"/>
        <v>0</v>
      </c>
      <c r="O110" s="518"/>
      <c r="P110" s="519">
        <f t="shared" si="101"/>
        <v>0</v>
      </c>
      <c r="Q110" s="518"/>
      <c r="R110" s="519">
        <f t="shared" si="102"/>
        <v>0</v>
      </c>
      <c r="S110" s="518"/>
      <c r="T110" s="519">
        <f t="shared" si="103"/>
        <v>0</v>
      </c>
      <c r="U110" s="518"/>
      <c r="V110" s="519">
        <f t="shared" si="104"/>
        <v>0</v>
      </c>
    </row>
    <row r="111" ht="14.25" customHeight="1">
      <c r="A111" s="516" t="str">
        <f t="shared" si="94"/>
        <v>#REF!</v>
      </c>
      <c r="B111" s="520"/>
      <c r="C111" s="518"/>
      <c r="D111" s="519">
        <f t="shared" si="95"/>
        <v>0</v>
      </c>
      <c r="E111" s="518"/>
      <c r="F111" s="519">
        <f t="shared" si="96"/>
        <v>0</v>
      </c>
      <c r="G111" s="518"/>
      <c r="H111" s="519">
        <f t="shared" si="97"/>
        <v>0</v>
      </c>
      <c r="I111" s="518"/>
      <c r="J111" s="519">
        <f t="shared" si="98"/>
        <v>0</v>
      </c>
      <c r="K111" s="518"/>
      <c r="L111" s="519">
        <f t="shared" si="99"/>
        <v>0</v>
      </c>
      <c r="M111" s="518"/>
      <c r="N111" s="519">
        <f t="shared" si="100"/>
        <v>0</v>
      </c>
      <c r="O111" s="518"/>
      <c r="P111" s="519">
        <f t="shared" si="101"/>
        <v>0</v>
      </c>
      <c r="Q111" s="518"/>
      <c r="R111" s="519">
        <f t="shared" si="102"/>
        <v>0</v>
      </c>
      <c r="S111" s="518"/>
      <c r="T111" s="519">
        <f t="shared" si="103"/>
        <v>0</v>
      </c>
      <c r="U111" s="518"/>
      <c r="V111" s="519">
        <f t="shared" si="104"/>
        <v>0</v>
      </c>
    </row>
    <row r="112" ht="14.25" customHeight="1">
      <c r="A112" s="516" t="str">
        <f t="shared" ref="A112:A113" si="105">'ENG MENU D'!A128</f>
        <v>#REF!</v>
      </c>
      <c r="B112" s="520"/>
      <c r="C112" s="518"/>
      <c r="D112" s="519">
        <f t="shared" si="95"/>
        <v>0</v>
      </c>
      <c r="E112" s="518"/>
      <c r="F112" s="519">
        <f t="shared" si="96"/>
        <v>0</v>
      </c>
      <c r="G112" s="518"/>
      <c r="H112" s="519">
        <f t="shared" si="97"/>
        <v>0</v>
      </c>
      <c r="I112" s="518"/>
      <c r="J112" s="519">
        <f t="shared" si="98"/>
        <v>0</v>
      </c>
      <c r="K112" s="518"/>
      <c r="L112" s="519">
        <f t="shared" si="99"/>
        <v>0</v>
      </c>
      <c r="M112" s="518"/>
      <c r="N112" s="519">
        <f t="shared" si="100"/>
        <v>0</v>
      </c>
      <c r="O112" s="518"/>
      <c r="P112" s="519">
        <f t="shared" si="101"/>
        <v>0</v>
      </c>
      <c r="Q112" s="518"/>
      <c r="R112" s="519">
        <f t="shared" si="102"/>
        <v>0</v>
      </c>
      <c r="S112" s="518"/>
      <c r="T112" s="519">
        <f t="shared" si="103"/>
        <v>0</v>
      </c>
      <c r="U112" s="518"/>
      <c r="V112" s="519">
        <f t="shared" si="104"/>
        <v>0</v>
      </c>
    </row>
    <row r="113" ht="14.25" customHeight="1">
      <c r="A113" s="516" t="str">
        <f t="shared" si="105"/>
        <v>#REF!</v>
      </c>
      <c r="B113" s="520"/>
      <c r="C113" s="518"/>
      <c r="D113" s="519">
        <f t="shared" si="95"/>
        <v>0</v>
      </c>
      <c r="E113" s="518"/>
      <c r="F113" s="519">
        <f t="shared" si="96"/>
        <v>0</v>
      </c>
      <c r="G113" s="518"/>
      <c r="H113" s="519">
        <f t="shared" si="97"/>
        <v>0</v>
      </c>
      <c r="I113" s="518"/>
      <c r="J113" s="519">
        <f t="shared" si="98"/>
        <v>0</v>
      </c>
      <c r="K113" s="518"/>
      <c r="L113" s="519">
        <f t="shared" si="99"/>
        <v>0</v>
      </c>
      <c r="M113" s="518"/>
      <c r="N113" s="519">
        <f t="shared" si="100"/>
        <v>0</v>
      </c>
      <c r="O113" s="518"/>
      <c r="P113" s="519">
        <f t="shared" si="101"/>
        <v>0</v>
      </c>
      <c r="Q113" s="518"/>
      <c r="R113" s="519">
        <f t="shared" si="102"/>
        <v>0</v>
      </c>
      <c r="S113" s="518"/>
      <c r="T113" s="519">
        <f t="shared" si="103"/>
        <v>0</v>
      </c>
      <c r="U113" s="518"/>
      <c r="V113" s="519">
        <f t="shared" si="104"/>
        <v>0</v>
      </c>
    </row>
    <row r="114" ht="14.25" customHeight="1">
      <c r="A114" s="516" t="str">
        <f t="shared" ref="A114:A116" si="106">'ENG MENU D'!A123</f>
        <v>#REF!</v>
      </c>
      <c r="B114" s="520"/>
      <c r="C114" s="518"/>
      <c r="D114" s="519">
        <f t="shared" si="95"/>
        <v>0</v>
      </c>
      <c r="E114" s="518"/>
      <c r="F114" s="519">
        <f t="shared" si="96"/>
        <v>0</v>
      </c>
      <c r="G114" s="518"/>
      <c r="H114" s="519">
        <f t="shared" si="97"/>
        <v>0</v>
      </c>
      <c r="I114" s="518"/>
      <c r="J114" s="519">
        <f t="shared" si="98"/>
        <v>0</v>
      </c>
      <c r="K114" s="518"/>
      <c r="L114" s="519">
        <f t="shared" si="99"/>
        <v>0</v>
      </c>
      <c r="M114" s="518"/>
      <c r="N114" s="519">
        <f t="shared" si="100"/>
        <v>0</v>
      </c>
      <c r="O114" s="518"/>
      <c r="P114" s="519">
        <f t="shared" si="101"/>
        <v>0</v>
      </c>
      <c r="Q114" s="518"/>
      <c r="R114" s="519">
        <f t="shared" si="102"/>
        <v>0</v>
      </c>
      <c r="S114" s="518"/>
      <c r="T114" s="519">
        <f t="shared" si="103"/>
        <v>0</v>
      </c>
      <c r="U114" s="518"/>
      <c r="V114" s="519">
        <f t="shared" si="104"/>
        <v>0</v>
      </c>
    </row>
    <row r="115" ht="14.25" customHeight="1">
      <c r="A115" s="516" t="str">
        <f t="shared" si="106"/>
        <v>#REF!</v>
      </c>
      <c r="B115" s="520"/>
      <c r="C115" s="518"/>
      <c r="D115" s="519">
        <f t="shared" si="95"/>
        <v>0</v>
      </c>
      <c r="E115" s="518"/>
      <c r="F115" s="519">
        <f t="shared" si="96"/>
        <v>0</v>
      </c>
      <c r="G115" s="518"/>
      <c r="H115" s="519">
        <f t="shared" si="97"/>
        <v>0</v>
      </c>
      <c r="I115" s="518"/>
      <c r="J115" s="519">
        <f t="shared" si="98"/>
        <v>0</v>
      </c>
      <c r="K115" s="518"/>
      <c r="L115" s="519">
        <f t="shared" si="99"/>
        <v>0</v>
      </c>
      <c r="M115" s="518"/>
      <c r="N115" s="519">
        <f t="shared" si="100"/>
        <v>0</v>
      </c>
      <c r="O115" s="518"/>
      <c r="P115" s="519">
        <f t="shared" si="101"/>
        <v>0</v>
      </c>
      <c r="Q115" s="518"/>
      <c r="R115" s="519">
        <f t="shared" si="102"/>
        <v>0</v>
      </c>
      <c r="S115" s="518"/>
      <c r="T115" s="519">
        <f t="shared" si="103"/>
        <v>0</v>
      </c>
      <c r="U115" s="518"/>
      <c r="V115" s="519">
        <f t="shared" si="104"/>
        <v>0</v>
      </c>
    </row>
    <row r="116" ht="14.25" customHeight="1">
      <c r="A116" s="516" t="str">
        <f t="shared" si="106"/>
        <v>#REF!</v>
      </c>
      <c r="B116" s="520"/>
      <c r="C116" s="518"/>
      <c r="D116" s="519">
        <f t="shared" si="95"/>
        <v>0</v>
      </c>
      <c r="E116" s="518"/>
      <c r="F116" s="519">
        <f t="shared" si="96"/>
        <v>0</v>
      </c>
      <c r="G116" s="518"/>
      <c r="H116" s="519">
        <f t="shared" si="97"/>
        <v>0</v>
      </c>
      <c r="I116" s="518"/>
      <c r="J116" s="519">
        <f t="shared" si="98"/>
        <v>0</v>
      </c>
      <c r="K116" s="518"/>
      <c r="L116" s="519">
        <f t="shared" si="99"/>
        <v>0</v>
      </c>
      <c r="M116" s="518"/>
      <c r="N116" s="519">
        <f t="shared" si="100"/>
        <v>0</v>
      </c>
      <c r="O116" s="518"/>
      <c r="P116" s="519">
        <f t="shared" si="101"/>
        <v>0</v>
      </c>
      <c r="Q116" s="518"/>
      <c r="R116" s="519">
        <f t="shared" si="102"/>
        <v>0</v>
      </c>
      <c r="S116" s="518"/>
      <c r="T116" s="519">
        <f t="shared" si="103"/>
        <v>0</v>
      </c>
      <c r="U116" s="518"/>
      <c r="V116" s="519">
        <f t="shared" si="104"/>
        <v>0</v>
      </c>
    </row>
    <row r="117" ht="14.25" customHeight="1">
      <c r="A117" s="516" t="str">
        <f t="shared" ref="A117:A118" si="107">'ENG MENU D'!A128</f>
        <v>#REF!</v>
      </c>
      <c r="B117" s="520"/>
      <c r="C117" s="518"/>
      <c r="D117" s="519">
        <f t="shared" si="95"/>
        <v>0</v>
      </c>
      <c r="E117" s="518"/>
      <c r="F117" s="519">
        <f t="shared" si="96"/>
        <v>0</v>
      </c>
      <c r="G117" s="518"/>
      <c r="H117" s="519">
        <f t="shared" si="97"/>
        <v>0</v>
      </c>
      <c r="I117" s="518"/>
      <c r="J117" s="519">
        <f t="shared" si="98"/>
        <v>0</v>
      </c>
      <c r="K117" s="518"/>
      <c r="L117" s="519">
        <f t="shared" si="99"/>
        <v>0</v>
      </c>
      <c r="M117" s="518"/>
      <c r="N117" s="519">
        <f t="shared" si="100"/>
        <v>0</v>
      </c>
      <c r="O117" s="518"/>
      <c r="P117" s="519">
        <f t="shared" si="101"/>
        <v>0</v>
      </c>
      <c r="Q117" s="518"/>
      <c r="R117" s="519">
        <f t="shared" si="102"/>
        <v>0</v>
      </c>
      <c r="S117" s="518"/>
      <c r="T117" s="519">
        <f t="shared" si="103"/>
        <v>0</v>
      </c>
      <c r="U117" s="518"/>
      <c r="V117" s="519">
        <f t="shared" si="104"/>
        <v>0</v>
      </c>
    </row>
    <row r="118" ht="14.25" customHeight="1">
      <c r="A118" s="516" t="str">
        <f t="shared" si="107"/>
        <v>#REF!</v>
      </c>
      <c r="B118" s="520"/>
      <c r="C118" s="518"/>
      <c r="D118" s="519">
        <f t="shared" si="95"/>
        <v>0</v>
      </c>
      <c r="E118" s="518"/>
      <c r="F118" s="519">
        <f t="shared" si="96"/>
        <v>0</v>
      </c>
      <c r="G118" s="518"/>
      <c r="H118" s="519">
        <f t="shared" si="97"/>
        <v>0</v>
      </c>
      <c r="I118" s="518"/>
      <c r="J118" s="519">
        <f t="shared" si="98"/>
        <v>0</v>
      </c>
      <c r="K118" s="518"/>
      <c r="L118" s="519">
        <f t="shared" si="99"/>
        <v>0</v>
      </c>
      <c r="M118" s="518"/>
      <c r="N118" s="519">
        <f t="shared" si="100"/>
        <v>0</v>
      </c>
      <c r="O118" s="518"/>
      <c r="P118" s="519">
        <f t="shared" si="101"/>
        <v>0</v>
      </c>
      <c r="Q118" s="518"/>
      <c r="R118" s="519">
        <f t="shared" si="102"/>
        <v>0</v>
      </c>
      <c r="S118" s="518"/>
      <c r="T118" s="519">
        <f t="shared" si="103"/>
        <v>0</v>
      </c>
      <c r="U118" s="518"/>
      <c r="V118" s="519">
        <f t="shared" si="104"/>
        <v>0</v>
      </c>
    </row>
    <row r="119" ht="14.25" customHeight="1">
      <c r="A119" s="516"/>
      <c r="B119" s="520"/>
      <c r="C119" s="518"/>
      <c r="D119" s="519"/>
      <c r="E119" s="518"/>
      <c r="F119" s="519"/>
      <c r="G119" s="518"/>
      <c r="H119" s="519"/>
      <c r="I119" s="518"/>
      <c r="J119" s="519"/>
      <c r="K119" s="518"/>
      <c r="L119" s="519"/>
      <c r="M119" s="518"/>
      <c r="N119" s="519"/>
      <c r="O119" s="518"/>
      <c r="P119" s="519"/>
      <c r="Q119" s="518"/>
      <c r="R119" s="519"/>
      <c r="S119" s="518"/>
      <c r="T119" s="519"/>
      <c r="U119" s="518"/>
      <c r="V119" s="519"/>
    </row>
    <row r="120" ht="14.25" customHeight="1">
      <c r="A120" s="516" t="s">
        <v>12</v>
      </c>
      <c r="B120" s="520"/>
      <c r="C120" s="518"/>
      <c r="D120" s="519"/>
      <c r="E120" s="518"/>
      <c r="F120" s="519"/>
      <c r="G120" s="518"/>
      <c r="H120" s="544"/>
      <c r="I120" s="518"/>
      <c r="J120" s="519"/>
      <c r="K120" s="518"/>
      <c r="L120" s="519"/>
      <c r="M120" s="518"/>
      <c r="N120" s="519"/>
      <c r="O120" s="518"/>
      <c r="P120" s="519"/>
      <c r="Q120" s="518"/>
      <c r="R120" s="519"/>
      <c r="S120" s="518"/>
      <c r="T120" s="519"/>
      <c r="U120" s="518"/>
      <c r="V120" s="519"/>
    </row>
    <row r="121" ht="14.25" customHeight="1">
      <c r="A121" s="516" t="str">
        <f t="shared" ref="A121:A128" si="108">'ENG MENU D'!A132</f>
        <v>#REF!</v>
      </c>
      <c r="B121" s="520"/>
      <c r="C121" s="514"/>
      <c r="D121" s="515"/>
      <c r="E121" s="515"/>
      <c r="F121" s="515"/>
      <c r="G121" s="515"/>
      <c r="H121" s="515"/>
      <c r="I121" s="515"/>
      <c r="J121" s="515"/>
      <c r="K121" s="515"/>
      <c r="L121" s="515"/>
      <c r="M121" s="515"/>
      <c r="N121" s="515"/>
      <c r="O121" s="515"/>
      <c r="P121" s="515"/>
      <c r="Q121" s="550"/>
      <c r="R121" s="550"/>
      <c r="S121" s="550"/>
      <c r="T121" s="550"/>
      <c r="U121" s="550"/>
      <c r="V121" s="550"/>
    </row>
    <row r="122" ht="14.25" customHeight="1">
      <c r="A122" s="516" t="str">
        <f t="shared" si="108"/>
        <v>#REF!</v>
      </c>
      <c r="B122" s="520"/>
      <c r="C122" s="518">
        <v>0.16</v>
      </c>
      <c r="D122" s="519">
        <f t="shared" ref="D122:D128" si="109">B122*C122</f>
        <v>0</v>
      </c>
      <c r="E122" s="518"/>
      <c r="F122" s="519">
        <f t="shared" ref="F122:F128" si="110">B122*E122</f>
        <v>0</v>
      </c>
      <c r="G122" s="518">
        <v>0.16</v>
      </c>
      <c r="H122" s="519">
        <f t="shared" ref="H122:H128" si="111">B122*G122</f>
        <v>0</v>
      </c>
      <c r="I122" s="518"/>
      <c r="J122" s="519">
        <f t="shared" ref="J122:J128" si="112">B122*I122</f>
        <v>0</v>
      </c>
      <c r="K122" s="518"/>
      <c r="L122" s="519">
        <f t="shared" ref="L122:L128" si="113">B122*K122</f>
        <v>0</v>
      </c>
      <c r="M122" s="518"/>
      <c r="N122" s="519">
        <f t="shared" ref="N122:N128" si="114">B122*M122</f>
        <v>0</v>
      </c>
      <c r="O122" s="518"/>
      <c r="P122" s="519">
        <f t="shared" ref="P122:P128" si="115">B122*O122</f>
        <v>0</v>
      </c>
      <c r="Q122" s="518"/>
      <c r="R122" s="519">
        <f t="shared" ref="R122:R128" si="116">B122*Q122</f>
        <v>0</v>
      </c>
      <c r="S122" s="518"/>
      <c r="T122" s="519">
        <f t="shared" ref="T122:T128" si="117">B122*S122</f>
        <v>0</v>
      </c>
      <c r="U122" s="518"/>
      <c r="V122" s="519">
        <f t="shared" ref="V122:V128" si="118">B122*U122</f>
        <v>0</v>
      </c>
    </row>
    <row r="123" ht="14.25" customHeight="1">
      <c r="A123" s="516" t="str">
        <f t="shared" si="108"/>
        <v>#REF!</v>
      </c>
      <c r="B123" s="520"/>
      <c r="C123" s="518">
        <v>0.16</v>
      </c>
      <c r="D123" s="519">
        <f t="shared" si="109"/>
        <v>0</v>
      </c>
      <c r="E123" s="518"/>
      <c r="F123" s="519">
        <f t="shared" si="110"/>
        <v>0</v>
      </c>
      <c r="G123" s="518"/>
      <c r="H123" s="519">
        <f t="shared" si="111"/>
        <v>0</v>
      </c>
      <c r="I123" s="518"/>
      <c r="J123" s="519">
        <f t="shared" si="112"/>
        <v>0</v>
      </c>
      <c r="K123" s="518"/>
      <c r="L123" s="519">
        <f t="shared" si="113"/>
        <v>0</v>
      </c>
      <c r="M123" s="518"/>
      <c r="N123" s="519">
        <f t="shared" si="114"/>
        <v>0</v>
      </c>
      <c r="O123" s="518"/>
      <c r="P123" s="519">
        <f t="shared" si="115"/>
        <v>0</v>
      </c>
      <c r="Q123" s="518"/>
      <c r="R123" s="519">
        <f t="shared" si="116"/>
        <v>0</v>
      </c>
      <c r="S123" s="518"/>
      <c r="T123" s="519">
        <f t="shared" si="117"/>
        <v>0</v>
      </c>
      <c r="U123" s="518"/>
      <c r="V123" s="519">
        <f t="shared" si="118"/>
        <v>0</v>
      </c>
    </row>
    <row r="124" ht="14.25" customHeight="1">
      <c r="A124" s="516" t="str">
        <f t="shared" si="108"/>
        <v>#REF!</v>
      </c>
      <c r="B124" s="520"/>
      <c r="C124" s="518"/>
      <c r="D124" s="519">
        <f t="shared" si="109"/>
        <v>0</v>
      </c>
      <c r="E124" s="518">
        <v>0.15</v>
      </c>
      <c r="F124" s="519">
        <f t="shared" si="110"/>
        <v>0</v>
      </c>
      <c r="G124" s="518"/>
      <c r="H124" s="519">
        <f t="shared" si="111"/>
        <v>0</v>
      </c>
      <c r="I124" s="518"/>
      <c r="J124" s="519">
        <f t="shared" si="112"/>
        <v>0</v>
      </c>
      <c r="K124" s="518"/>
      <c r="L124" s="519">
        <f t="shared" si="113"/>
        <v>0</v>
      </c>
      <c r="M124" s="518"/>
      <c r="N124" s="519">
        <f t="shared" si="114"/>
        <v>0</v>
      </c>
      <c r="O124" s="518"/>
      <c r="P124" s="519">
        <f t="shared" si="115"/>
        <v>0</v>
      </c>
      <c r="Q124" s="518"/>
      <c r="R124" s="519">
        <f t="shared" si="116"/>
        <v>0</v>
      </c>
      <c r="S124" s="518"/>
      <c r="T124" s="519">
        <f t="shared" si="117"/>
        <v>0</v>
      </c>
      <c r="U124" s="518"/>
      <c r="V124" s="519">
        <f t="shared" si="118"/>
        <v>0</v>
      </c>
    </row>
    <row r="125" ht="14.25" customHeight="1">
      <c r="A125" s="516" t="str">
        <f t="shared" si="108"/>
        <v>#REF!</v>
      </c>
      <c r="B125" s="520"/>
      <c r="C125" s="518"/>
      <c r="D125" s="519">
        <f t="shared" si="109"/>
        <v>0</v>
      </c>
      <c r="E125" s="518"/>
      <c r="F125" s="519">
        <f t="shared" si="110"/>
        <v>0</v>
      </c>
      <c r="G125" s="518">
        <v>0.16</v>
      </c>
      <c r="H125" s="519">
        <f t="shared" si="111"/>
        <v>0</v>
      </c>
      <c r="I125" s="518"/>
      <c r="J125" s="519">
        <f t="shared" si="112"/>
        <v>0</v>
      </c>
      <c r="K125" s="518"/>
      <c r="L125" s="519">
        <f t="shared" si="113"/>
        <v>0</v>
      </c>
      <c r="M125" s="518"/>
      <c r="N125" s="519">
        <f t="shared" si="114"/>
        <v>0</v>
      </c>
      <c r="O125" s="518"/>
      <c r="P125" s="519">
        <f t="shared" si="115"/>
        <v>0</v>
      </c>
      <c r="Q125" s="518"/>
      <c r="R125" s="519">
        <f t="shared" si="116"/>
        <v>0</v>
      </c>
      <c r="S125" s="518"/>
      <c r="T125" s="519">
        <f t="shared" si="117"/>
        <v>0</v>
      </c>
      <c r="U125" s="518"/>
      <c r="V125" s="519">
        <f t="shared" si="118"/>
        <v>0</v>
      </c>
    </row>
    <row r="126" ht="14.25" customHeight="1">
      <c r="A126" s="516" t="str">
        <f t="shared" si="108"/>
        <v>#REF!</v>
      </c>
      <c r="B126" s="520"/>
      <c r="C126" s="518"/>
      <c r="D126" s="519">
        <f t="shared" si="109"/>
        <v>0</v>
      </c>
      <c r="E126" s="518">
        <v>0.075</v>
      </c>
      <c r="F126" s="519">
        <f t="shared" si="110"/>
        <v>0</v>
      </c>
      <c r="G126" s="518">
        <v>0.16</v>
      </c>
      <c r="H126" s="519">
        <f t="shared" si="111"/>
        <v>0</v>
      </c>
      <c r="I126" s="518"/>
      <c r="J126" s="519">
        <f t="shared" si="112"/>
        <v>0</v>
      </c>
      <c r="K126" s="518"/>
      <c r="L126" s="519">
        <f t="shared" si="113"/>
        <v>0</v>
      </c>
      <c r="M126" s="518"/>
      <c r="N126" s="519">
        <f t="shared" si="114"/>
        <v>0</v>
      </c>
      <c r="O126" s="518"/>
      <c r="P126" s="519">
        <f t="shared" si="115"/>
        <v>0</v>
      </c>
      <c r="Q126" s="518"/>
      <c r="R126" s="519">
        <f t="shared" si="116"/>
        <v>0</v>
      </c>
      <c r="S126" s="518"/>
      <c r="T126" s="519">
        <f t="shared" si="117"/>
        <v>0</v>
      </c>
      <c r="U126" s="518"/>
      <c r="V126" s="519">
        <f t="shared" si="118"/>
        <v>0</v>
      </c>
    </row>
    <row r="127" ht="14.25" customHeight="1">
      <c r="A127" s="516" t="str">
        <f t="shared" si="108"/>
        <v>#REF!</v>
      </c>
      <c r="B127" s="520"/>
      <c r="C127" s="518"/>
      <c r="D127" s="519">
        <f t="shared" si="109"/>
        <v>0</v>
      </c>
      <c r="E127" s="518"/>
      <c r="F127" s="519">
        <f t="shared" si="110"/>
        <v>0</v>
      </c>
      <c r="G127" s="518"/>
      <c r="H127" s="519">
        <f t="shared" si="111"/>
        <v>0</v>
      </c>
      <c r="I127" s="518"/>
      <c r="J127" s="519">
        <f t="shared" si="112"/>
        <v>0</v>
      </c>
      <c r="K127" s="518"/>
      <c r="L127" s="519">
        <f t="shared" si="113"/>
        <v>0</v>
      </c>
      <c r="M127" s="518"/>
      <c r="N127" s="519">
        <f t="shared" si="114"/>
        <v>0</v>
      </c>
      <c r="O127" s="518"/>
      <c r="P127" s="519">
        <f t="shared" si="115"/>
        <v>0</v>
      </c>
      <c r="Q127" s="518"/>
      <c r="R127" s="519">
        <f t="shared" si="116"/>
        <v>0</v>
      </c>
      <c r="S127" s="518"/>
      <c r="T127" s="519">
        <f t="shared" si="117"/>
        <v>0</v>
      </c>
      <c r="U127" s="518"/>
      <c r="V127" s="519">
        <f t="shared" si="118"/>
        <v>0</v>
      </c>
    </row>
    <row r="128" ht="14.25" customHeight="1">
      <c r="A128" s="516" t="str">
        <f t="shared" si="108"/>
        <v>#REF!</v>
      </c>
      <c r="B128" s="520"/>
      <c r="C128" s="518"/>
      <c r="D128" s="519">
        <f t="shared" si="109"/>
        <v>0</v>
      </c>
      <c r="E128" s="518"/>
      <c r="F128" s="519">
        <f t="shared" si="110"/>
        <v>0</v>
      </c>
      <c r="G128" s="518">
        <v>0.16</v>
      </c>
      <c r="H128" s="519">
        <f t="shared" si="111"/>
        <v>0</v>
      </c>
      <c r="I128" s="518"/>
      <c r="J128" s="519">
        <f t="shared" si="112"/>
        <v>0</v>
      </c>
      <c r="K128" s="518"/>
      <c r="L128" s="519">
        <f t="shared" si="113"/>
        <v>0</v>
      </c>
      <c r="M128" s="518"/>
      <c r="N128" s="519">
        <f t="shared" si="114"/>
        <v>0</v>
      </c>
      <c r="O128" s="518"/>
      <c r="P128" s="519">
        <f t="shared" si="115"/>
        <v>0</v>
      </c>
      <c r="Q128" s="518"/>
      <c r="R128" s="519">
        <f t="shared" si="116"/>
        <v>0</v>
      </c>
      <c r="S128" s="518"/>
      <c r="T128" s="519">
        <f t="shared" si="117"/>
        <v>0</v>
      </c>
      <c r="U128" s="518"/>
      <c r="V128" s="519">
        <f t="shared" si="118"/>
        <v>0</v>
      </c>
    </row>
    <row r="129" ht="14.25" customHeight="1">
      <c r="A129" s="516"/>
      <c r="B129" s="520"/>
      <c r="C129" s="518"/>
      <c r="D129" s="519"/>
      <c r="E129" s="518"/>
      <c r="F129" s="519"/>
      <c r="G129" s="518"/>
      <c r="H129" s="519"/>
      <c r="I129" s="518"/>
      <c r="J129" s="519"/>
      <c r="K129" s="518"/>
      <c r="L129" s="519"/>
      <c r="M129" s="518"/>
      <c r="N129" s="519"/>
      <c r="O129" s="518"/>
      <c r="P129" s="519"/>
      <c r="Q129" s="518"/>
      <c r="R129" s="519"/>
      <c r="S129" s="518"/>
      <c r="T129" s="519"/>
      <c r="U129" s="518"/>
      <c r="V129" s="519"/>
    </row>
    <row r="130" ht="14.25" customHeight="1">
      <c r="A130" s="516" t="str">
        <f t="shared" ref="A130:A134" si="119">'ENG MENU D'!A143</f>
        <v>#REF!</v>
      </c>
      <c r="B130" s="520"/>
      <c r="C130" s="514"/>
      <c r="D130" s="515"/>
      <c r="E130" s="515"/>
      <c r="F130" s="515"/>
      <c r="G130" s="515"/>
      <c r="H130" s="515"/>
      <c r="I130" s="515"/>
      <c r="J130" s="515"/>
      <c r="K130" s="515"/>
      <c r="L130" s="515"/>
      <c r="M130" s="515"/>
      <c r="N130" s="515"/>
      <c r="O130" s="515"/>
      <c r="P130" s="515"/>
      <c r="Q130" s="550"/>
      <c r="R130" s="550"/>
      <c r="S130" s="550"/>
      <c r="T130" s="550"/>
      <c r="U130" s="550"/>
      <c r="V130" s="550"/>
    </row>
    <row r="131" ht="14.25" customHeight="1">
      <c r="A131" s="516" t="str">
        <f t="shared" si="119"/>
        <v>#REF!</v>
      </c>
      <c r="B131" s="520"/>
      <c r="C131" s="518"/>
      <c r="D131" s="519">
        <f t="shared" ref="D131:D135" si="120">B131*C131</f>
        <v>0</v>
      </c>
      <c r="E131" s="518">
        <v>0.4</v>
      </c>
      <c r="F131" s="571">
        <f t="shared" ref="F131:F135" si="121">B131*E131</f>
        <v>0</v>
      </c>
      <c r="G131" s="518"/>
      <c r="H131" s="519">
        <f t="shared" ref="H131:H135" si="122">B131*G131</f>
        <v>0</v>
      </c>
      <c r="I131" s="518"/>
      <c r="J131" s="519">
        <f t="shared" ref="J131:J135" si="123">B131*I131</f>
        <v>0</v>
      </c>
      <c r="K131" s="518"/>
      <c r="L131" s="519">
        <f t="shared" ref="L131:L135" si="124">B131*K131</f>
        <v>0</v>
      </c>
      <c r="M131" s="518"/>
      <c r="N131" s="519">
        <f t="shared" ref="N131:N135" si="125">B131*M131</f>
        <v>0</v>
      </c>
      <c r="O131" s="518"/>
      <c r="P131" s="519">
        <f t="shared" ref="P131:P135" si="126">B131*O131</f>
        <v>0</v>
      </c>
      <c r="Q131" s="518"/>
      <c r="R131" s="519">
        <f t="shared" ref="R131:R135" si="127">B131*Q131</f>
        <v>0</v>
      </c>
      <c r="S131" s="518"/>
      <c r="T131" s="519">
        <f t="shared" ref="T131:T135" si="128">B131*S131</f>
        <v>0</v>
      </c>
      <c r="U131" s="518"/>
      <c r="V131" s="519">
        <f t="shared" ref="V131:V135" si="129">B131*U131</f>
        <v>0</v>
      </c>
    </row>
    <row r="132" ht="14.25" customHeight="1">
      <c r="A132" s="516" t="str">
        <f t="shared" si="119"/>
        <v>#REF!</v>
      </c>
      <c r="B132" s="520"/>
      <c r="C132" s="518"/>
      <c r="D132" s="519">
        <f t="shared" si="120"/>
        <v>0</v>
      </c>
      <c r="E132" s="518">
        <v>0.4</v>
      </c>
      <c r="F132" s="571">
        <f t="shared" si="121"/>
        <v>0</v>
      </c>
      <c r="G132" s="518"/>
      <c r="H132" s="519">
        <f t="shared" si="122"/>
        <v>0</v>
      </c>
      <c r="I132" s="518"/>
      <c r="J132" s="519">
        <f t="shared" si="123"/>
        <v>0</v>
      </c>
      <c r="K132" s="518"/>
      <c r="L132" s="519">
        <f t="shared" si="124"/>
        <v>0</v>
      </c>
      <c r="M132" s="518"/>
      <c r="N132" s="519">
        <f t="shared" si="125"/>
        <v>0</v>
      </c>
      <c r="O132" s="518">
        <f>40*0.04</f>
        <v>1.6</v>
      </c>
      <c r="P132" s="519">
        <f t="shared" si="126"/>
        <v>0</v>
      </c>
      <c r="Q132" s="518"/>
      <c r="R132" s="519">
        <f t="shared" si="127"/>
        <v>0</v>
      </c>
      <c r="S132" s="518"/>
      <c r="T132" s="519">
        <f t="shared" si="128"/>
        <v>0</v>
      </c>
      <c r="U132" s="518"/>
      <c r="V132" s="519">
        <f t="shared" si="129"/>
        <v>0</v>
      </c>
    </row>
    <row r="133" ht="14.25" customHeight="1">
      <c r="A133" s="516" t="str">
        <f t="shared" si="119"/>
        <v>#REF!</v>
      </c>
      <c r="B133" s="520"/>
      <c r="C133" s="518"/>
      <c r="D133" s="519">
        <f t="shared" si="120"/>
        <v>0</v>
      </c>
      <c r="E133" s="518">
        <v>0.8</v>
      </c>
      <c r="F133" s="571">
        <f t="shared" si="121"/>
        <v>0</v>
      </c>
      <c r="G133" s="518"/>
      <c r="H133" s="519">
        <f t="shared" si="122"/>
        <v>0</v>
      </c>
      <c r="I133" s="518"/>
      <c r="J133" s="519">
        <f t="shared" si="123"/>
        <v>0</v>
      </c>
      <c r="K133" s="518"/>
      <c r="L133" s="519">
        <f t="shared" si="124"/>
        <v>0</v>
      </c>
      <c r="M133" s="518"/>
      <c r="N133" s="519">
        <f t="shared" si="125"/>
        <v>0</v>
      </c>
      <c r="O133" s="518"/>
      <c r="P133" s="519">
        <f t="shared" si="126"/>
        <v>0</v>
      </c>
      <c r="Q133" s="518"/>
      <c r="R133" s="519">
        <f t="shared" si="127"/>
        <v>0</v>
      </c>
      <c r="S133" s="518"/>
      <c r="T133" s="519">
        <f t="shared" si="128"/>
        <v>0</v>
      </c>
      <c r="U133" s="518"/>
      <c r="V133" s="519">
        <f t="shared" si="129"/>
        <v>0</v>
      </c>
    </row>
    <row r="134" ht="14.25" customHeight="1">
      <c r="A134" s="516" t="str">
        <f t="shared" si="119"/>
        <v>#REF!</v>
      </c>
      <c r="B134" s="520"/>
      <c r="C134" s="518"/>
      <c r="D134" s="519">
        <f t="shared" si="120"/>
        <v>0</v>
      </c>
      <c r="E134" s="518">
        <v>0.4</v>
      </c>
      <c r="F134" s="571">
        <f t="shared" si="121"/>
        <v>0</v>
      </c>
      <c r="G134" s="518"/>
      <c r="H134" s="519">
        <f t="shared" si="122"/>
        <v>0</v>
      </c>
      <c r="I134" s="518"/>
      <c r="J134" s="519">
        <f t="shared" si="123"/>
        <v>0</v>
      </c>
      <c r="K134" s="518"/>
      <c r="L134" s="519">
        <f t="shared" si="124"/>
        <v>0</v>
      </c>
      <c r="M134" s="518"/>
      <c r="N134" s="519">
        <f t="shared" si="125"/>
        <v>0</v>
      </c>
      <c r="O134" s="518"/>
      <c r="P134" s="519">
        <f t="shared" si="126"/>
        <v>0</v>
      </c>
      <c r="Q134" s="518"/>
      <c r="R134" s="519">
        <f t="shared" si="127"/>
        <v>0</v>
      </c>
      <c r="S134" s="518"/>
      <c r="T134" s="519">
        <f t="shared" si="128"/>
        <v>0</v>
      </c>
      <c r="U134" s="518"/>
      <c r="V134" s="519">
        <f t="shared" si="129"/>
        <v>0</v>
      </c>
    </row>
    <row r="135" ht="14.25" customHeight="1">
      <c r="A135" s="516" t="s">
        <v>1416</v>
      </c>
      <c r="B135" s="520"/>
      <c r="C135" s="518"/>
      <c r="D135" s="519">
        <f t="shared" si="120"/>
        <v>0</v>
      </c>
      <c r="E135" s="518">
        <v>8.0</v>
      </c>
      <c r="F135" s="571">
        <f t="shared" si="121"/>
        <v>0</v>
      </c>
      <c r="G135" s="518"/>
      <c r="H135" s="519">
        <f t="shared" si="122"/>
        <v>0</v>
      </c>
      <c r="I135" s="518"/>
      <c r="J135" s="519">
        <f t="shared" si="123"/>
        <v>0</v>
      </c>
      <c r="K135" s="518"/>
      <c r="L135" s="519">
        <f t="shared" si="124"/>
        <v>0</v>
      </c>
      <c r="M135" s="518"/>
      <c r="N135" s="519">
        <f t="shared" si="125"/>
        <v>0</v>
      </c>
      <c r="O135" s="518"/>
      <c r="P135" s="519">
        <f t="shared" si="126"/>
        <v>0</v>
      </c>
      <c r="Q135" s="518"/>
      <c r="R135" s="519">
        <f t="shared" si="127"/>
        <v>0</v>
      </c>
      <c r="S135" s="518"/>
      <c r="T135" s="519">
        <f t="shared" si="128"/>
        <v>0</v>
      </c>
      <c r="U135" s="518"/>
      <c r="V135" s="519">
        <f t="shared" si="129"/>
        <v>0</v>
      </c>
    </row>
    <row r="136" ht="14.25" customHeight="1">
      <c r="A136" s="537"/>
      <c r="D136" s="572"/>
      <c r="F136" s="572"/>
    </row>
    <row r="137" ht="14.25" customHeight="1">
      <c r="A137" s="537"/>
      <c r="D137" s="573">
        <f>SUM(D3:D128)</f>
        <v>37.04</v>
      </c>
      <c r="F137" s="572"/>
      <c r="N137" s="573">
        <f>SUM(N3:N128)</f>
        <v>48.92</v>
      </c>
    </row>
    <row r="138" ht="14.25" customHeight="1">
      <c r="A138" s="537"/>
      <c r="D138" s="572"/>
      <c r="F138" s="572"/>
    </row>
    <row r="139" ht="14.25" customHeight="1">
      <c r="A139" s="537"/>
      <c r="D139" s="572"/>
      <c r="F139" s="572"/>
    </row>
    <row r="140" ht="14.25" customHeight="1">
      <c r="A140" s="537"/>
      <c r="D140" s="572"/>
      <c r="F140" s="572"/>
    </row>
    <row r="141" ht="14.25" customHeight="1">
      <c r="A141" s="537"/>
      <c r="D141" s="572"/>
      <c r="F141" s="572"/>
    </row>
    <row r="142" ht="14.25" customHeight="1">
      <c r="A142" s="537"/>
      <c r="D142" s="572"/>
      <c r="F142" s="572"/>
    </row>
    <row r="143" ht="14.25" customHeight="1">
      <c r="A143" s="558"/>
      <c r="B143" s="559"/>
      <c r="C143" s="559"/>
      <c r="D143" s="560"/>
      <c r="E143" s="560"/>
      <c r="F143" s="560"/>
    </row>
    <row r="144" ht="14.25" customHeight="1">
      <c r="A144" s="32"/>
      <c r="B144" s="574" t="s">
        <v>1531</v>
      </c>
      <c r="C144" s="574" t="s">
        <v>1532</v>
      </c>
      <c r="D144" s="575" t="s">
        <v>1541</v>
      </c>
      <c r="E144" s="576" t="s">
        <v>1542</v>
      </c>
      <c r="F144" s="577" t="s">
        <v>1543</v>
      </c>
    </row>
    <row r="145" ht="14.25" customHeight="1">
      <c r="A145" s="32" t="s">
        <v>703</v>
      </c>
      <c r="B145" s="20">
        <v>84.7</v>
      </c>
      <c r="C145" s="578">
        <f>'CON D'!D137+D161</f>
        <v>38.24</v>
      </c>
      <c r="D145" s="20">
        <v>34.77</v>
      </c>
      <c r="E145" s="20">
        <v>42.0</v>
      </c>
      <c r="F145" s="578">
        <f t="shared" ref="F145:F158" si="130">((D145 + B145) - (E145 + C145)) </f>
        <v>39.23</v>
      </c>
      <c r="G145" s="32"/>
      <c r="H145" s="158"/>
      <c r="I145" s="32"/>
      <c r="J145" s="32"/>
      <c r="K145" s="32"/>
      <c r="L145" s="293"/>
      <c r="M145" s="32"/>
      <c r="N145" s="32"/>
      <c r="O145" s="32"/>
    </row>
    <row r="146" ht="14.25" customHeight="1">
      <c r="A146" s="32" t="s">
        <v>1271</v>
      </c>
      <c r="B146" s="20">
        <v>0.0</v>
      </c>
      <c r="C146" s="578">
        <f>SUM(J3:J89)</f>
        <v>34</v>
      </c>
      <c r="D146" s="579">
        <v>65.0</v>
      </c>
      <c r="E146" s="20">
        <v>40.0</v>
      </c>
      <c r="F146" s="578">
        <f t="shared" si="130"/>
        <v>-9</v>
      </c>
      <c r="G146" s="32"/>
      <c r="H146" s="158"/>
      <c r="I146" s="32"/>
      <c r="J146" s="32"/>
      <c r="K146" s="32"/>
      <c r="L146" s="293"/>
      <c r="M146" s="32"/>
      <c r="N146" s="32"/>
      <c r="O146" s="32"/>
    </row>
    <row r="147" ht="14.25" customHeight="1">
      <c r="A147" s="32" t="s">
        <v>1037</v>
      </c>
      <c r="B147" s="20">
        <v>0.0</v>
      </c>
      <c r="C147" s="578">
        <f>SUM(L79:L89)</f>
        <v>17</v>
      </c>
      <c r="D147" s="579">
        <v>65.0</v>
      </c>
      <c r="E147" s="20">
        <v>50.0</v>
      </c>
      <c r="F147" s="578">
        <f t="shared" si="130"/>
        <v>-2</v>
      </c>
      <c r="G147" s="32"/>
      <c r="H147" s="32"/>
      <c r="I147" s="32"/>
      <c r="J147" s="32"/>
      <c r="K147" s="32"/>
      <c r="L147" s="293"/>
      <c r="M147" s="32"/>
      <c r="N147" s="32"/>
      <c r="O147" s="32"/>
    </row>
    <row r="148" ht="14.25" customHeight="1">
      <c r="A148" s="32" t="s">
        <v>1280</v>
      </c>
      <c r="B148" s="20">
        <v>0.0</v>
      </c>
      <c r="C148" s="32"/>
      <c r="D148" s="579">
        <v>77.0</v>
      </c>
      <c r="E148" s="20">
        <v>45.0</v>
      </c>
      <c r="F148" s="578">
        <f t="shared" si="130"/>
        <v>32</v>
      </c>
      <c r="G148" s="32"/>
      <c r="H148" s="158"/>
      <c r="I148" s="32"/>
      <c r="J148" s="32"/>
      <c r="K148" s="32"/>
      <c r="L148" s="293"/>
      <c r="M148" s="32"/>
      <c r="N148" s="32"/>
      <c r="O148" s="32"/>
    </row>
    <row r="149" ht="14.25" customHeight="1">
      <c r="A149" s="32" t="s">
        <v>1535</v>
      </c>
      <c r="B149" s="20">
        <v>0.0</v>
      </c>
      <c r="C149" s="578">
        <f>SUM(L54:L62)</f>
        <v>48</v>
      </c>
      <c r="D149" s="579">
        <v>51.0</v>
      </c>
      <c r="E149" s="20">
        <v>40.0</v>
      </c>
      <c r="F149" s="578">
        <f t="shared" si="130"/>
        <v>-37</v>
      </c>
      <c r="G149" s="32"/>
      <c r="H149" s="158"/>
      <c r="I149" s="32"/>
      <c r="J149" s="32"/>
      <c r="K149" s="32"/>
      <c r="L149" s="293"/>
      <c r="M149" s="32"/>
      <c r="N149" s="32"/>
      <c r="O149" s="32"/>
    </row>
    <row r="150" ht="14.25" customHeight="1">
      <c r="A150" s="32" t="s">
        <v>604</v>
      </c>
      <c r="B150" s="20">
        <v>15.6</v>
      </c>
      <c r="C150" s="578">
        <f>SUM(F54:F62)</f>
        <v>43</v>
      </c>
      <c r="D150" s="579">
        <v>14.02</v>
      </c>
      <c r="E150" s="20">
        <v>25.5</v>
      </c>
      <c r="F150" s="578">
        <f t="shared" si="130"/>
        <v>-38.88</v>
      </c>
      <c r="G150" s="32"/>
      <c r="H150" s="158"/>
      <c r="I150" s="32"/>
      <c r="J150" s="32"/>
      <c r="K150" s="32"/>
      <c r="L150" s="293"/>
      <c r="M150" s="32"/>
      <c r="N150" s="32"/>
      <c r="O150" s="32"/>
    </row>
    <row r="151" ht="14.25" customHeight="1">
      <c r="A151" s="32" t="s">
        <v>33</v>
      </c>
      <c r="B151" s="20">
        <v>50.0</v>
      </c>
      <c r="C151" s="578">
        <f>'CON D'!N137+D162</f>
        <v>49.12</v>
      </c>
      <c r="D151" s="579">
        <v>55.0</v>
      </c>
      <c r="E151" s="20">
        <v>19.0</v>
      </c>
      <c r="F151" s="578">
        <f t="shared" si="130"/>
        <v>36.88</v>
      </c>
      <c r="G151" s="578"/>
      <c r="H151" s="158"/>
      <c r="I151" s="32"/>
      <c r="J151" s="32"/>
      <c r="K151" s="32"/>
      <c r="L151" s="293"/>
      <c r="M151" s="32"/>
      <c r="N151" s="32"/>
      <c r="O151" s="32"/>
    </row>
    <row r="152" ht="14.25" customHeight="1">
      <c r="A152" s="32" t="s">
        <v>850</v>
      </c>
      <c r="B152" s="20">
        <v>12.0</v>
      </c>
      <c r="C152" s="578">
        <f>SUM(H3:H128)+D163</f>
        <v>5.05</v>
      </c>
      <c r="D152" s="579">
        <v>14.0</v>
      </c>
      <c r="E152" s="20">
        <v>2.0</v>
      </c>
      <c r="F152" s="578">
        <f t="shared" si="130"/>
        <v>18.95</v>
      </c>
      <c r="G152" s="32"/>
      <c r="H152" s="158"/>
      <c r="I152" s="32"/>
      <c r="J152" s="32"/>
      <c r="K152" s="32"/>
      <c r="L152" s="293"/>
      <c r="M152" s="32"/>
      <c r="N152" s="32"/>
      <c r="O152" s="32"/>
    </row>
    <row r="153" ht="14.25" customHeight="1">
      <c r="A153" s="32" t="s">
        <v>1537</v>
      </c>
      <c r="B153" s="32"/>
      <c r="C153" s="578">
        <f>SUM(R36:R41)</f>
        <v>8</v>
      </c>
      <c r="D153" s="579">
        <v>20.7</v>
      </c>
      <c r="E153" s="20">
        <v>13.0</v>
      </c>
      <c r="F153" s="578">
        <f t="shared" si="130"/>
        <v>-0.3</v>
      </c>
      <c r="G153" s="32"/>
      <c r="H153" s="158"/>
      <c r="I153" s="32"/>
      <c r="J153" s="32"/>
      <c r="K153" s="32"/>
      <c r="L153" s="293"/>
      <c r="M153" s="32"/>
      <c r="N153" s="32"/>
      <c r="O153" s="32"/>
    </row>
    <row r="154" ht="14.25" customHeight="1">
      <c r="A154" s="222" t="s">
        <v>1344</v>
      </c>
      <c r="B154" s="20">
        <v>9.2</v>
      </c>
      <c r="C154" s="580">
        <f>B71*0.45</f>
        <v>10.35</v>
      </c>
      <c r="D154" s="581">
        <v>12.0</v>
      </c>
      <c r="E154" s="20">
        <v>3.0</v>
      </c>
      <c r="F154" s="578">
        <f t="shared" si="130"/>
        <v>7.85</v>
      </c>
      <c r="G154" s="32"/>
      <c r="H154" s="158"/>
      <c r="I154" s="32"/>
      <c r="J154" s="32"/>
      <c r="K154" s="32"/>
      <c r="L154" s="293"/>
      <c r="M154" s="32"/>
      <c r="N154" s="32"/>
      <c r="O154" s="32"/>
    </row>
    <row r="155" ht="14.25" customHeight="1">
      <c r="A155" s="20" t="s">
        <v>1204</v>
      </c>
      <c r="B155" s="32"/>
      <c r="C155" s="578">
        <f>SUM(P3:P114)+1.6</f>
        <v>8.46</v>
      </c>
      <c r="D155" s="579">
        <v>5.5</v>
      </c>
      <c r="E155" s="20">
        <v>3.2</v>
      </c>
      <c r="F155" s="578">
        <f t="shared" si="130"/>
        <v>-6.16</v>
      </c>
      <c r="G155" s="32"/>
      <c r="H155" s="158"/>
      <c r="I155" s="32"/>
      <c r="J155" s="32"/>
      <c r="K155" s="32"/>
      <c r="L155" s="293"/>
      <c r="M155" s="32"/>
      <c r="N155" s="32"/>
      <c r="O155" s="32"/>
    </row>
    <row r="156" ht="14.25" customHeight="1">
      <c r="A156" s="20" t="s">
        <v>1546</v>
      </c>
      <c r="B156" s="20">
        <v>4.39</v>
      </c>
      <c r="C156" s="578">
        <f>SUM(V3:V128)</f>
        <v>1.7</v>
      </c>
      <c r="D156" s="579">
        <v>2.0</v>
      </c>
      <c r="E156" s="20">
        <v>3.0</v>
      </c>
      <c r="F156" s="578">
        <f t="shared" si="130"/>
        <v>1.69</v>
      </c>
      <c r="G156" s="32"/>
      <c r="H156" s="158"/>
      <c r="I156" s="32"/>
      <c r="J156" s="32"/>
      <c r="K156" s="32"/>
      <c r="L156" s="293"/>
      <c r="M156" s="32"/>
      <c r="N156" s="32"/>
      <c r="O156" s="32"/>
    </row>
    <row r="157" ht="14.25" customHeight="1">
      <c r="A157" s="20" t="s">
        <v>1185</v>
      </c>
      <c r="B157" s="32"/>
      <c r="C157" s="578">
        <f>sum(T3:T135)</f>
        <v>0.98</v>
      </c>
      <c r="D157" s="579">
        <v>5.3</v>
      </c>
      <c r="E157" s="20">
        <v>4.0</v>
      </c>
      <c r="F157" s="578">
        <f t="shared" si="130"/>
        <v>0.32</v>
      </c>
      <c r="G157" s="32"/>
      <c r="H157" s="158"/>
      <c r="I157" s="32"/>
      <c r="J157" s="32"/>
      <c r="K157" s="32"/>
      <c r="L157" s="293"/>
      <c r="M157" s="32"/>
      <c r="N157" s="32"/>
      <c r="O157" s="32"/>
    </row>
    <row r="158" ht="14.25" customHeight="1">
      <c r="A158" s="32" t="s">
        <v>1547</v>
      </c>
      <c r="B158" s="20">
        <v>10.0</v>
      </c>
      <c r="C158" s="578">
        <f>F18+D166</f>
        <v>7.4</v>
      </c>
      <c r="D158" s="578"/>
      <c r="E158" s="20">
        <v>8.0</v>
      </c>
      <c r="F158" s="578">
        <f t="shared" si="130"/>
        <v>-5.4</v>
      </c>
      <c r="G158" s="32"/>
      <c r="H158" s="158"/>
      <c r="I158" s="32"/>
      <c r="J158" s="32"/>
      <c r="K158" s="32"/>
      <c r="L158" s="293"/>
      <c r="M158" s="32"/>
      <c r="N158" s="32"/>
      <c r="O158" s="32"/>
    </row>
    <row r="159" ht="14.25" customHeight="1">
      <c r="A159" s="582"/>
      <c r="D159" s="572"/>
      <c r="F159" s="572"/>
    </row>
    <row r="160" ht="14.25" customHeight="1">
      <c r="A160" s="537"/>
      <c r="D160" s="572"/>
      <c r="F160" s="572"/>
    </row>
    <row r="161" ht="14.25" customHeight="1">
      <c r="A161" s="582" t="s">
        <v>994</v>
      </c>
      <c r="B161" s="165">
        <v>10.0</v>
      </c>
      <c r="C161" s="165">
        <v>0.12</v>
      </c>
      <c r="D161" s="572">
        <f t="shared" ref="D161:D166" si="131">B161*C161</f>
        <v>1.2</v>
      </c>
      <c r="F161" s="572"/>
    </row>
    <row r="162" ht="14.25" customHeight="1">
      <c r="A162" s="582" t="s">
        <v>1548</v>
      </c>
      <c r="B162" s="165">
        <v>1.0</v>
      </c>
      <c r="C162" s="165">
        <v>0.2</v>
      </c>
      <c r="D162" s="572">
        <f t="shared" si="131"/>
        <v>0.2</v>
      </c>
      <c r="F162" s="572"/>
    </row>
    <row r="163" ht="14.25" customHeight="1">
      <c r="A163" s="582" t="s">
        <v>1549</v>
      </c>
      <c r="B163" s="165">
        <v>6.0</v>
      </c>
      <c r="C163" s="165">
        <v>0.16</v>
      </c>
      <c r="D163" s="572">
        <f t="shared" si="131"/>
        <v>0.96</v>
      </c>
      <c r="F163" s="572"/>
    </row>
    <row r="164" ht="14.25" customHeight="1">
      <c r="A164" s="582" t="s">
        <v>1037</v>
      </c>
      <c r="C164" s="165">
        <v>1.0</v>
      </c>
      <c r="D164" s="572">
        <f t="shared" si="131"/>
        <v>0</v>
      </c>
      <c r="F164" s="572"/>
    </row>
    <row r="165" ht="14.25" customHeight="1">
      <c r="A165" s="32" t="s">
        <v>1037</v>
      </c>
      <c r="C165" s="165">
        <v>1.0</v>
      </c>
      <c r="D165" s="572">
        <f t="shared" si="131"/>
        <v>0</v>
      </c>
      <c r="F165" s="572"/>
    </row>
    <row r="166" ht="14.25" customHeight="1">
      <c r="A166" s="20" t="s">
        <v>1547</v>
      </c>
      <c r="B166" s="165">
        <v>9.0</v>
      </c>
      <c r="C166" s="165">
        <v>0.2</v>
      </c>
      <c r="D166" s="572">
        <f t="shared" si="131"/>
        <v>1.8</v>
      </c>
      <c r="F166" s="572"/>
    </row>
    <row r="167" ht="14.25" customHeight="1">
      <c r="A167" s="537"/>
      <c r="D167" s="572"/>
      <c r="F167" s="572"/>
    </row>
    <row r="168" ht="14.25" customHeight="1">
      <c r="A168" s="537"/>
      <c r="D168" s="572"/>
      <c r="F168" s="572"/>
    </row>
    <row r="169" ht="14.25" customHeight="1">
      <c r="A169" s="537"/>
      <c r="D169" s="572"/>
      <c r="F169" s="572"/>
    </row>
    <row r="170" ht="14.25" customHeight="1">
      <c r="A170" s="537"/>
      <c r="D170" s="572"/>
      <c r="F170" s="572"/>
    </row>
    <row r="171" ht="14.25" customHeight="1">
      <c r="A171" s="537"/>
      <c r="D171" s="572"/>
      <c r="F171" s="572"/>
    </row>
    <row r="172" ht="14.25" customHeight="1">
      <c r="A172" s="537"/>
      <c r="D172" s="572"/>
      <c r="F172" s="572"/>
    </row>
    <row r="173" ht="14.25" customHeight="1">
      <c r="A173" s="537"/>
      <c r="D173" s="572"/>
      <c r="F173" s="572"/>
    </row>
    <row r="174" ht="14.25" customHeight="1">
      <c r="A174" s="537"/>
      <c r="D174" s="572"/>
      <c r="F174" s="572"/>
    </row>
    <row r="175" ht="14.25" customHeight="1">
      <c r="A175" s="537"/>
      <c r="D175" s="572"/>
      <c r="F175" s="572"/>
    </row>
    <row r="176" ht="14.25" customHeight="1">
      <c r="A176" s="537"/>
      <c r="D176" s="572"/>
      <c r="F176" s="572"/>
    </row>
    <row r="177" ht="14.25" customHeight="1">
      <c r="A177" s="537"/>
      <c r="D177" s="572"/>
      <c r="F177" s="572"/>
    </row>
    <row r="178" ht="14.25" customHeight="1">
      <c r="A178" s="537"/>
      <c r="D178" s="572"/>
      <c r="F178" s="572"/>
    </row>
    <row r="179" ht="14.25" customHeight="1">
      <c r="A179" s="537"/>
      <c r="D179" s="572"/>
      <c r="F179" s="572"/>
    </row>
    <row r="180" ht="14.25" customHeight="1">
      <c r="A180" s="537"/>
      <c r="D180" s="572"/>
      <c r="F180" s="572"/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conditionalFormatting sqref="O145:O158">
    <cfRule type="cellIs" dxfId="6" priority="1" operator="equal">
      <formula>"High"</formula>
    </cfRule>
  </conditionalFormatting>
  <printOptions/>
  <pageMargins bottom="1.0" footer="0.0" header="0.0" left="1.0" right="1.0" top="1.0"/>
  <pageSetup fitToHeight="0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9594"/>
    <pageSetUpPr fitToPage="1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11.88"/>
    <col customWidth="1" min="3" max="3" width="8.75"/>
    <col customWidth="1" min="4" max="4" width="8.38"/>
    <col customWidth="1" min="5" max="5" width="9.38"/>
    <col customWidth="1" min="6" max="6" width="12.38"/>
    <col customWidth="1" min="7" max="7" width="8.63"/>
    <col customWidth="1" min="8" max="8" width="10.38"/>
    <col customWidth="1" min="9" max="9" width="8.75"/>
    <col customWidth="1" min="10" max="10" width="11.13"/>
    <col customWidth="1" min="11" max="12" width="10.0"/>
    <col customWidth="1" min="13" max="13" width="11.75"/>
    <col customWidth="1" min="14" max="14" width="12.38"/>
    <col customWidth="1" min="15" max="15" width="10.38"/>
    <col customWidth="1" min="16" max="16" width="9.0"/>
    <col customWidth="1" min="17" max="17" width="11.88"/>
    <col customWidth="1" min="18" max="26" width="14.38"/>
  </cols>
  <sheetData>
    <row r="1" ht="18.0" customHeight="1">
      <c r="A1" s="38" t="s">
        <v>12</v>
      </c>
      <c r="B1" s="293"/>
      <c r="C1" s="521" t="s">
        <v>35</v>
      </c>
      <c r="D1" s="321"/>
      <c r="E1" s="522" t="str">
        <f>SUM(L5:L124)</f>
        <v>#REF!</v>
      </c>
      <c r="F1" s="523" t="s">
        <v>1473</v>
      </c>
      <c r="G1" s="522" t="str">
        <f>SUM(M5:M124)</f>
        <v>#REF!</v>
      </c>
      <c r="H1" s="524" t="s">
        <v>1474</v>
      </c>
      <c r="I1" s="522" t="str">
        <f>SUM(N5:N124)</f>
        <v>#REF!</v>
      </c>
      <c r="J1" s="524" t="s">
        <v>1475</v>
      </c>
      <c r="K1" s="525" t="str">
        <f>E1/G1</f>
        <v>#REF!</v>
      </c>
      <c r="L1" s="524" t="s">
        <v>1476</v>
      </c>
      <c r="M1" s="293" t="str">
        <f>I1/J126</f>
        <v>#REF!</v>
      </c>
      <c r="N1" s="32"/>
      <c r="O1" s="32"/>
      <c r="P1" s="32"/>
      <c r="Q1" s="32"/>
    </row>
    <row r="2" ht="18.0" customHeight="1">
      <c r="A2" s="526" t="str">
        <f>#REF!</f>
        <v>#REF!</v>
      </c>
      <c r="B2" s="222">
        <v>85.0</v>
      </c>
      <c r="C2" s="521" t="s">
        <v>1477</v>
      </c>
      <c r="D2" s="321"/>
      <c r="E2" s="158">
        <f>100%/10*(80%)</f>
        <v>0.08</v>
      </c>
      <c r="F2" s="155"/>
      <c r="G2" s="528" t="s">
        <v>1478</v>
      </c>
      <c r="I2" s="528" t="s">
        <v>1479</v>
      </c>
      <c r="K2" s="528"/>
      <c r="L2" s="293"/>
      <c r="M2" s="32"/>
      <c r="N2" s="32"/>
      <c r="O2" s="32"/>
      <c r="P2" s="32"/>
      <c r="Q2" s="32"/>
    </row>
    <row r="3">
      <c r="A3" s="39" t="s">
        <v>819</v>
      </c>
      <c r="B3" s="529" t="str">
        <f t="shared" ref="B3:D3" si="1">#REF!</f>
        <v>#REF!</v>
      </c>
      <c r="C3" s="530" t="str">
        <f t="shared" si="1"/>
        <v>#REF!</v>
      </c>
      <c r="D3" s="530" t="str">
        <f t="shared" si="1"/>
        <v>#REF!</v>
      </c>
      <c r="E3" s="530" t="s">
        <v>1481</v>
      </c>
      <c r="F3" s="531" t="str">
        <f>#REF!</f>
        <v>#REF!</v>
      </c>
      <c r="G3" s="532" t="s">
        <v>1483</v>
      </c>
      <c r="H3" s="533" t="s">
        <v>1484</v>
      </c>
      <c r="I3" s="534" t="s">
        <v>1483</v>
      </c>
      <c r="J3" s="533" t="s">
        <v>1484</v>
      </c>
      <c r="K3" s="533" t="s">
        <v>1485</v>
      </c>
      <c r="L3" s="535" t="s">
        <v>35</v>
      </c>
      <c r="M3" s="533" t="s">
        <v>1486</v>
      </c>
      <c r="N3" s="533" t="s">
        <v>1474</v>
      </c>
      <c r="O3" s="533" t="s">
        <v>1487</v>
      </c>
      <c r="P3" s="32"/>
      <c r="Q3" s="533" t="s">
        <v>1488</v>
      </c>
    </row>
    <row r="4">
      <c r="A4" s="537" t="s">
        <v>29</v>
      </c>
      <c r="B4" s="525" t="str">
        <f>J22/$J$126</f>
        <v>#DIV/0!</v>
      </c>
      <c r="C4" s="293"/>
      <c r="D4" s="525"/>
      <c r="E4" s="525"/>
      <c r="F4" s="159"/>
      <c r="G4" s="538" t="str">
        <f>G22/$G$126</f>
        <v>#DIV/0!</v>
      </c>
      <c r="I4" s="538" t="str">
        <f>I22/$I$126</f>
        <v>#DIV/0!</v>
      </c>
      <c r="K4" s="539"/>
      <c r="L4" s="540"/>
      <c r="M4" s="32"/>
      <c r="N4" s="32"/>
      <c r="O4" s="32"/>
      <c r="P4" s="32"/>
      <c r="Q4" s="541" t="s">
        <v>29</v>
      </c>
    </row>
    <row r="5">
      <c r="A5" s="32" t="s">
        <v>33</v>
      </c>
      <c r="B5" s="293" t="str">
        <f t="shared" ref="B5:F5" si="2">#REF!</f>
        <v>#REF!</v>
      </c>
      <c r="C5" s="293" t="str">
        <f t="shared" si="2"/>
        <v>#REF!</v>
      </c>
      <c r="D5" s="525" t="str">
        <f t="shared" si="2"/>
        <v>#REF!</v>
      </c>
      <c r="E5" s="293" t="str">
        <f t="shared" si="2"/>
        <v>#REF!</v>
      </c>
      <c r="F5" s="159" t="str">
        <f t="shared" si="2"/>
        <v>#REF!</v>
      </c>
      <c r="G5" s="542"/>
      <c r="H5" s="158" t="str">
        <f t="shared" ref="H5:H21" si="4">G5/$G$22</f>
        <v>#DIV/0!</v>
      </c>
      <c r="I5" s="543"/>
      <c r="J5" s="158" t="str">
        <f t="shared" ref="J5:J21" si="5">I5/$I$22</f>
        <v>#DIV/0!</v>
      </c>
      <c r="K5" s="158" t="str">
        <f t="shared" ref="K5:K21" si="6">(G5+I5)/$J$22</f>
        <v>#DIV/0!</v>
      </c>
      <c r="L5" s="540" t="str">
        <f t="shared" ref="L5:L21" si="7">(G5+I5)*C5</f>
        <v>#REF!</v>
      </c>
      <c r="M5" s="293" t="str">
        <f t="shared" ref="M5:M21" si="8">(G5+I5)*B5</f>
        <v>#REF!</v>
      </c>
      <c r="N5" s="293" t="str">
        <f t="shared" ref="N5:N21" si="9">M5-L5</f>
        <v>#REF!</v>
      </c>
      <c r="O5" s="32" t="str">
        <f t="shared" ref="O5:O21" si="10">IF(E5&lt;$M$1,"Low","High")</f>
        <v>#REF!</v>
      </c>
      <c r="P5" s="222" t="str">
        <f t="shared" ref="P5:P21" si="11">IF(AND(O5="Low",$Q$5="Low"),"Dog",IF(AND(O5="Low",$Q$5="High"),"Workhorse",IF(AND(O5="High",$Q$5="Low"),"Challenge",IF(AND(O5="High",$Q$5="High"),"Star",""))))</f>
        <v>#REF!</v>
      </c>
      <c r="Q5" s="32" t="str">
        <f>IF(B4&lt;$E$2,"Low","High")</f>
        <v>#DIV/0!</v>
      </c>
    </row>
    <row r="6">
      <c r="A6" s="32" t="s">
        <v>57</v>
      </c>
      <c r="B6" s="293" t="str">
        <f t="shared" ref="B6:F6" si="3">#REF!</f>
        <v>#REF!</v>
      </c>
      <c r="C6" s="293" t="str">
        <f t="shared" si="3"/>
        <v>#REF!</v>
      </c>
      <c r="D6" s="525" t="str">
        <f t="shared" si="3"/>
        <v>#REF!</v>
      </c>
      <c r="E6" s="293" t="str">
        <f t="shared" si="3"/>
        <v>#REF!</v>
      </c>
      <c r="F6" s="159" t="str">
        <f t="shared" si="3"/>
        <v>#REF!</v>
      </c>
      <c r="G6" s="542"/>
      <c r="H6" s="158" t="str">
        <f t="shared" si="4"/>
        <v>#DIV/0!</v>
      </c>
      <c r="I6" s="543"/>
      <c r="J6" s="158" t="str">
        <f t="shared" si="5"/>
        <v>#DIV/0!</v>
      </c>
      <c r="K6" s="158" t="str">
        <f t="shared" si="6"/>
        <v>#DIV/0!</v>
      </c>
      <c r="L6" s="540" t="str">
        <f t="shared" si="7"/>
        <v>#REF!</v>
      </c>
      <c r="M6" s="293" t="str">
        <f t="shared" si="8"/>
        <v>#REF!</v>
      </c>
      <c r="N6" s="293" t="str">
        <f t="shared" si="9"/>
        <v>#REF!</v>
      </c>
      <c r="O6" s="32" t="str">
        <f t="shared" si="10"/>
        <v>#REF!</v>
      </c>
      <c r="P6" s="222" t="str">
        <f t="shared" si="11"/>
        <v>#REF!</v>
      </c>
      <c r="Q6" s="541" t="s">
        <v>191</v>
      </c>
    </row>
    <row r="7">
      <c r="A7" s="32" t="s">
        <v>67</v>
      </c>
      <c r="B7" s="293" t="str">
        <f t="shared" ref="B7:F7" si="12">#REF!</f>
        <v>#REF!</v>
      </c>
      <c r="C7" s="293" t="str">
        <f t="shared" si="12"/>
        <v>#REF!</v>
      </c>
      <c r="D7" s="525" t="str">
        <f t="shared" si="12"/>
        <v>#REF!</v>
      </c>
      <c r="E7" s="293" t="str">
        <f t="shared" si="12"/>
        <v>#REF!</v>
      </c>
      <c r="F7" s="159" t="str">
        <f t="shared" si="12"/>
        <v>#REF!</v>
      </c>
      <c r="G7" s="542"/>
      <c r="H7" s="158" t="str">
        <f t="shared" si="4"/>
        <v>#DIV/0!</v>
      </c>
      <c r="I7" s="543"/>
      <c r="J7" s="158" t="str">
        <f t="shared" si="5"/>
        <v>#DIV/0!</v>
      </c>
      <c r="K7" s="158" t="str">
        <f t="shared" si="6"/>
        <v>#DIV/0!</v>
      </c>
      <c r="L7" s="540" t="str">
        <f t="shared" si="7"/>
        <v>#REF!</v>
      </c>
      <c r="M7" s="293" t="str">
        <f t="shared" si="8"/>
        <v>#REF!</v>
      </c>
      <c r="N7" s="293" t="str">
        <f t="shared" si="9"/>
        <v>#REF!</v>
      </c>
      <c r="O7" s="32" t="str">
        <f t="shared" si="10"/>
        <v>#REF!</v>
      </c>
      <c r="P7" s="222" t="str">
        <f t="shared" si="11"/>
        <v>#REF!</v>
      </c>
      <c r="Q7" s="32" t="str">
        <f>IF(B24&lt;$E$2,"Low","High")</f>
        <v>#DIV/0!</v>
      </c>
    </row>
    <row r="8" hidden="1">
      <c r="A8" s="378" t="s">
        <v>73</v>
      </c>
      <c r="B8" s="293" t="str">
        <f t="shared" ref="B8:F8" si="13">#REF!</f>
        <v>#REF!</v>
      </c>
      <c r="C8" s="293" t="str">
        <f t="shared" si="13"/>
        <v>#REF!</v>
      </c>
      <c r="D8" s="525" t="str">
        <f t="shared" si="13"/>
        <v>#REF!</v>
      </c>
      <c r="E8" s="293" t="str">
        <f t="shared" si="13"/>
        <v>#REF!</v>
      </c>
      <c r="F8" s="159" t="str">
        <f t="shared" si="13"/>
        <v>#REF!</v>
      </c>
      <c r="G8" s="106"/>
      <c r="H8" s="158" t="str">
        <f t="shared" si="4"/>
        <v>#DIV/0!</v>
      </c>
      <c r="I8" s="543"/>
      <c r="J8" s="158" t="str">
        <f t="shared" si="5"/>
        <v>#DIV/0!</v>
      </c>
      <c r="K8" s="158" t="str">
        <f t="shared" si="6"/>
        <v>#DIV/0!</v>
      </c>
      <c r="L8" s="540" t="str">
        <f t="shared" si="7"/>
        <v>#REF!</v>
      </c>
      <c r="M8" s="293" t="str">
        <f t="shared" si="8"/>
        <v>#REF!</v>
      </c>
      <c r="N8" s="293" t="str">
        <f t="shared" si="9"/>
        <v>#REF!</v>
      </c>
      <c r="O8" s="32" t="str">
        <f t="shared" si="10"/>
        <v>#REF!</v>
      </c>
      <c r="P8" s="222" t="str">
        <f t="shared" si="11"/>
        <v>#REF!</v>
      </c>
      <c r="Q8" s="32" t="s">
        <v>313</v>
      </c>
    </row>
    <row r="9">
      <c r="A9" s="222" t="s">
        <v>85</v>
      </c>
      <c r="B9" s="293" t="str">
        <f t="shared" ref="B9:F9" si="14">#REF!</f>
        <v>#REF!</v>
      </c>
      <c r="C9" s="293" t="str">
        <f t="shared" si="14"/>
        <v>#REF!</v>
      </c>
      <c r="D9" s="525" t="str">
        <f t="shared" si="14"/>
        <v>#REF!</v>
      </c>
      <c r="E9" s="293" t="str">
        <f t="shared" si="14"/>
        <v>#REF!</v>
      </c>
      <c r="F9" s="159" t="str">
        <f t="shared" si="14"/>
        <v>#REF!</v>
      </c>
      <c r="G9" s="542"/>
      <c r="H9" s="158" t="str">
        <f t="shared" si="4"/>
        <v>#DIV/0!</v>
      </c>
      <c r="I9" s="543"/>
      <c r="J9" s="158" t="str">
        <f t="shared" si="5"/>
        <v>#DIV/0!</v>
      </c>
      <c r="K9" s="158" t="str">
        <f t="shared" si="6"/>
        <v>#DIV/0!</v>
      </c>
      <c r="L9" s="540" t="str">
        <f t="shared" si="7"/>
        <v>#REF!</v>
      </c>
      <c r="M9" s="293" t="str">
        <f t="shared" si="8"/>
        <v>#REF!</v>
      </c>
      <c r="N9" s="293" t="str">
        <f t="shared" si="9"/>
        <v>#REF!</v>
      </c>
      <c r="O9" s="32" t="str">
        <f t="shared" si="10"/>
        <v>#REF!</v>
      </c>
      <c r="P9" s="222" t="str">
        <f t="shared" si="11"/>
        <v>#REF!</v>
      </c>
      <c r="Q9" s="541" t="s">
        <v>385</v>
      </c>
    </row>
    <row r="10" hidden="1">
      <c r="A10" s="545" t="s">
        <v>91</v>
      </c>
      <c r="B10" s="293" t="str">
        <f t="shared" ref="B10:F10" si="15">#REF!</f>
        <v>#REF!</v>
      </c>
      <c r="C10" s="293" t="str">
        <f t="shared" si="15"/>
        <v>#REF!</v>
      </c>
      <c r="D10" s="525" t="str">
        <f t="shared" si="15"/>
        <v>#REF!</v>
      </c>
      <c r="E10" s="293" t="str">
        <f t="shared" si="15"/>
        <v>#REF!</v>
      </c>
      <c r="F10" s="159" t="str">
        <f t="shared" si="15"/>
        <v>#REF!</v>
      </c>
      <c r="G10" s="106"/>
      <c r="H10" s="158" t="str">
        <f t="shared" si="4"/>
        <v>#DIV/0!</v>
      </c>
      <c r="I10" s="543"/>
      <c r="J10" s="158" t="str">
        <f t="shared" si="5"/>
        <v>#DIV/0!</v>
      </c>
      <c r="K10" s="158" t="str">
        <f t="shared" si="6"/>
        <v>#DIV/0!</v>
      </c>
      <c r="L10" s="540" t="str">
        <f t="shared" si="7"/>
        <v>#REF!</v>
      </c>
      <c r="M10" s="293" t="str">
        <f t="shared" si="8"/>
        <v>#REF!</v>
      </c>
      <c r="N10" s="293" t="str">
        <f t="shared" si="9"/>
        <v>#REF!</v>
      </c>
      <c r="O10" s="32" t="str">
        <f t="shared" si="10"/>
        <v>#REF!</v>
      </c>
      <c r="P10" s="222" t="str">
        <f t="shared" si="11"/>
        <v>#REF!</v>
      </c>
      <c r="Q10" s="32"/>
    </row>
    <row r="11">
      <c r="A11" s="222" t="s">
        <v>96</v>
      </c>
      <c r="B11" s="293" t="str">
        <f t="shared" ref="B11:F11" si="16">#REF!</f>
        <v>#REF!</v>
      </c>
      <c r="C11" s="293" t="str">
        <f t="shared" si="16"/>
        <v>#REF!</v>
      </c>
      <c r="D11" s="525" t="str">
        <f t="shared" si="16"/>
        <v>#REF!</v>
      </c>
      <c r="E11" s="293" t="str">
        <f t="shared" si="16"/>
        <v>#REF!</v>
      </c>
      <c r="F11" s="159" t="str">
        <f t="shared" si="16"/>
        <v>#REF!</v>
      </c>
      <c r="G11" s="542"/>
      <c r="H11" s="158" t="str">
        <f t="shared" si="4"/>
        <v>#DIV/0!</v>
      </c>
      <c r="I11" s="543"/>
      <c r="J11" s="158" t="str">
        <f t="shared" si="5"/>
        <v>#DIV/0!</v>
      </c>
      <c r="K11" s="158" t="str">
        <f t="shared" si="6"/>
        <v>#DIV/0!</v>
      </c>
      <c r="L11" s="540" t="str">
        <f t="shared" si="7"/>
        <v>#REF!</v>
      </c>
      <c r="M11" s="293" t="str">
        <f t="shared" si="8"/>
        <v>#REF!</v>
      </c>
      <c r="N11" s="293" t="str">
        <f t="shared" si="9"/>
        <v>#REF!</v>
      </c>
      <c r="O11" s="32" t="str">
        <f t="shared" si="10"/>
        <v>#REF!</v>
      </c>
      <c r="P11" s="222" t="str">
        <f t="shared" si="11"/>
        <v>#REF!</v>
      </c>
      <c r="Q11" s="32" t="str">
        <f>IF(B47&lt;$E$2,"Low","High")</f>
        <v>#DIV/0!</v>
      </c>
    </row>
    <row r="12">
      <c r="A12" s="222" t="s">
        <v>101</v>
      </c>
      <c r="B12" s="293" t="str">
        <f t="shared" ref="B12:F12" si="17">#REF!</f>
        <v>#REF!</v>
      </c>
      <c r="C12" s="293" t="str">
        <f t="shared" si="17"/>
        <v>#REF!</v>
      </c>
      <c r="D12" s="525" t="str">
        <f t="shared" si="17"/>
        <v>#REF!</v>
      </c>
      <c r="E12" s="293" t="str">
        <f t="shared" si="17"/>
        <v>#REF!</v>
      </c>
      <c r="F12" s="159" t="str">
        <f t="shared" si="17"/>
        <v>#REF!</v>
      </c>
      <c r="G12" s="542"/>
      <c r="H12" s="158" t="str">
        <f t="shared" si="4"/>
        <v>#DIV/0!</v>
      </c>
      <c r="I12" s="543"/>
      <c r="J12" s="158" t="str">
        <f t="shared" si="5"/>
        <v>#DIV/0!</v>
      </c>
      <c r="K12" s="158" t="str">
        <f t="shared" si="6"/>
        <v>#DIV/0!</v>
      </c>
      <c r="L12" s="540" t="str">
        <f t="shared" si="7"/>
        <v>#REF!</v>
      </c>
      <c r="M12" s="293" t="str">
        <f t="shared" si="8"/>
        <v>#REF!</v>
      </c>
      <c r="N12" s="293" t="str">
        <f t="shared" si="9"/>
        <v>#REF!</v>
      </c>
      <c r="O12" s="32" t="str">
        <f t="shared" si="10"/>
        <v>#REF!</v>
      </c>
      <c r="P12" s="222" t="str">
        <f t="shared" si="11"/>
        <v>#REF!</v>
      </c>
      <c r="Q12" s="541" t="s">
        <v>313</v>
      </c>
    </row>
    <row r="13">
      <c r="A13" s="222" t="s">
        <v>103</v>
      </c>
      <c r="B13" s="293" t="str">
        <f t="shared" ref="B13:F13" si="18">#REF!</f>
        <v>#REF!</v>
      </c>
      <c r="C13" s="293" t="str">
        <f t="shared" si="18"/>
        <v>#REF!</v>
      </c>
      <c r="D13" s="525" t="str">
        <f t="shared" si="18"/>
        <v>#REF!</v>
      </c>
      <c r="E13" s="293" t="str">
        <f t="shared" si="18"/>
        <v>#REF!</v>
      </c>
      <c r="F13" s="159" t="str">
        <f t="shared" si="18"/>
        <v>#REF!</v>
      </c>
      <c r="G13" s="542"/>
      <c r="H13" s="158" t="str">
        <f t="shared" si="4"/>
        <v>#DIV/0!</v>
      </c>
      <c r="I13" s="543"/>
      <c r="J13" s="158" t="str">
        <f t="shared" si="5"/>
        <v>#DIV/0!</v>
      </c>
      <c r="K13" s="158" t="str">
        <f t="shared" si="6"/>
        <v>#DIV/0!</v>
      </c>
      <c r="L13" s="540" t="str">
        <f t="shared" si="7"/>
        <v>#REF!</v>
      </c>
      <c r="M13" s="293" t="str">
        <f t="shared" si="8"/>
        <v>#REF!</v>
      </c>
      <c r="N13" s="293" t="str">
        <f t="shared" si="9"/>
        <v>#REF!</v>
      </c>
      <c r="O13" s="32" t="str">
        <f t="shared" si="10"/>
        <v>#REF!</v>
      </c>
      <c r="P13" s="222" t="str">
        <f t="shared" si="11"/>
        <v>#REF!</v>
      </c>
      <c r="Q13" s="32" t="str">
        <f>IF(B40&lt;$E$2,"Low","High")</f>
        <v>#REF!</v>
      </c>
    </row>
    <row r="14">
      <c r="A14" s="222" t="s">
        <v>107</v>
      </c>
      <c r="B14" s="293" t="str">
        <f t="shared" ref="B14:F14" si="19">#REF!</f>
        <v>#REF!</v>
      </c>
      <c r="C14" s="293" t="str">
        <f t="shared" si="19"/>
        <v>#REF!</v>
      </c>
      <c r="D14" s="525" t="str">
        <f t="shared" si="19"/>
        <v>#REF!</v>
      </c>
      <c r="E14" s="293" t="str">
        <f t="shared" si="19"/>
        <v>#REF!</v>
      </c>
      <c r="F14" s="159" t="str">
        <f t="shared" si="19"/>
        <v>#REF!</v>
      </c>
      <c r="G14" s="542"/>
      <c r="H14" s="158" t="str">
        <f t="shared" si="4"/>
        <v>#DIV/0!</v>
      </c>
      <c r="I14" s="543"/>
      <c r="J14" s="158" t="str">
        <f t="shared" si="5"/>
        <v>#DIV/0!</v>
      </c>
      <c r="K14" s="158" t="str">
        <f t="shared" si="6"/>
        <v>#DIV/0!</v>
      </c>
      <c r="L14" s="540" t="str">
        <f t="shared" si="7"/>
        <v>#REF!</v>
      </c>
      <c r="M14" s="293" t="str">
        <f t="shared" si="8"/>
        <v>#REF!</v>
      </c>
      <c r="N14" s="293" t="str">
        <f t="shared" si="9"/>
        <v>#REF!</v>
      </c>
      <c r="O14" s="32" t="str">
        <f t="shared" si="10"/>
        <v>#REF!</v>
      </c>
      <c r="P14" s="222" t="str">
        <f t="shared" si="11"/>
        <v>#REF!</v>
      </c>
      <c r="Q14" s="541" t="s">
        <v>1491</v>
      </c>
    </row>
    <row r="15">
      <c r="A15" s="222" t="s">
        <v>112</v>
      </c>
      <c r="B15" s="293" t="str">
        <f t="shared" ref="B15:F15" si="20">#REF!</f>
        <v>#REF!</v>
      </c>
      <c r="C15" s="293" t="str">
        <f t="shared" si="20"/>
        <v>#REF!</v>
      </c>
      <c r="D15" s="525" t="str">
        <f t="shared" si="20"/>
        <v>#REF!</v>
      </c>
      <c r="E15" s="293" t="str">
        <f t="shared" si="20"/>
        <v>#REF!</v>
      </c>
      <c r="F15" s="159" t="str">
        <f t="shared" si="20"/>
        <v>#REF!</v>
      </c>
      <c r="G15" s="542"/>
      <c r="H15" s="158" t="str">
        <f t="shared" si="4"/>
        <v>#DIV/0!</v>
      </c>
      <c r="I15" s="543"/>
      <c r="J15" s="158" t="str">
        <f t="shared" si="5"/>
        <v>#DIV/0!</v>
      </c>
      <c r="K15" s="158" t="str">
        <f t="shared" si="6"/>
        <v>#DIV/0!</v>
      </c>
      <c r="L15" s="540" t="str">
        <f t="shared" si="7"/>
        <v>#REF!</v>
      </c>
      <c r="M15" s="293" t="str">
        <f t="shared" si="8"/>
        <v>#REF!</v>
      </c>
      <c r="N15" s="293" t="str">
        <f t="shared" si="9"/>
        <v>#REF!</v>
      </c>
      <c r="O15" s="32" t="str">
        <f t="shared" si="10"/>
        <v>#REF!</v>
      </c>
      <c r="P15" s="222" t="str">
        <f t="shared" si="11"/>
        <v>#REF!</v>
      </c>
      <c r="Q15" s="32" t="str">
        <f>IF(B55&lt;$E$2,"Low","High")</f>
        <v>#DIV/0!</v>
      </c>
    </row>
    <row r="16">
      <c r="A16" s="222" t="s">
        <v>116</v>
      </c>
      <c r="B16" s="293" t="str">
        <f t="shared" ref="B16:F16" si="21">#REF!</f>
        <v>#REF!</v>
      </c>
      <c r="C16" s="293" t="str">
        <f t="shared" si="21"/>
        <v>#REF!</v>
      </c>
      <c r="D16" s="525" t="str">
        <f t="shared" si="21"/>
        <v>#REF!</v>
      </c>
      <c r="E16" s="293" t="str">
        <f t="shared" si="21"/>
        <v>#REF!</v>
      </c>
      <c r="F16" s="159" t="str">
        <f t="shared" si="21"/>
        <v>#REF!</v>
      </c>
      <c r="G16" s="542"/>
      <c r="H16" s="158" t="str">
        <f t="shared" si="4"/>
        <v>#DIV/0!</v>
      </c>
      <c r="I16" s="543"/>
      <c r="J16" s="158" t="str">
        <f t="shared" si="5"/>
        <v>#DIV/0!</v>
      </c>
      <c r="K16" s="158" t="str">
        <f t="shared" si="6"/>
        <v>#DIV/0!</v>
      </c>
      <c r="L16" s="540" t="str">
        <f t="shared" si="7"/>
        <v>#REF!</v>
      </c>
      <c r="M16" s="293" t="str">
        <f t="shared" si="8"/>
        <v>#REF!</v>
      </c>
      <c r="N16" s="293" t="str">
        <f t="shared" si="9"/>
        <v>#REF!</v>
      </c>
      <c r="O16" s="32" t="str">
        <f t="shared" si="10"/>
        <v>#REF!</v>
      </c>
      <c r="P16" s="222" t="str">
        <f t="shared" si="11"/>
        <v>#REF!</v>
      </c>
      <c r="Q16" s="541" t="s">
        <v>500</v>
      </c>
    </row>
    <row r="17">
      <c r="A17" s="222" t="s">
        <v>120</v>
      </c>
      <c r="B17" s="293" t="str">
        <f t="shared" ref="B17:F17" si="22">#REF!</f>
        <v>#REF!</v>
      </c>
      <c r="C17" s="293" t="str">
        <f t="shared" si="22"/>
        <v>#REF!</v>
      </c>
      <c r="D17" s="525" t="str">
        <f t="shared" si="22"/>
        <v>#REF!</v>
      </c>
      <c r="E17" s="293" t="str">
        <f t="shared" si="22"/>
        <v>#REF!</v>
      </c>
      <c r="F17" s="159" t="str">
        <f t="shared" si="22"/>
        <v>#REF!</v>
      </c>
      <c r="G17" s="542"/>
      <c r="H17" s="158" t="str">
        <f t="shared" si="4"/>
        <v>#DIV/0!</v>
      </c>
      <c r="I17" s="543"/>
      <c r="J17" s="158" t="str">
        <f t="shared" si="5"/>
        <v>#DIV/0!</v>
      </c>
      <c r="K17" s="158" t="str">
        <f t="shared" si="6"/>
        <v>#DIV/0!</v>
      </c>
      <c r="L17" s="540" t="str">
        <f t="shared" si="7"/>
        <v>#REF!</v>
      </c>
      <c r="M17" s="293" t="str">
        <f t="shared" si="8"/>
        <v>#REF!</v>
      </c>
      <c r="N17" s="293" t="str">
        <f t="shared" si="9"/>
        <v>#REF!</v>
      </c>
      <c r="O17" s="32" t="str">
        <f t="shared" si="10"/>
        <v>#REF!</v>
      </c>
      <c r="P17" s="222" t="str">
        <f t="shared" si="11"/>
        <v>#REF!</v>
      </c>
      <c r="Q17" s="32" t="str">
        <f>IF(B66&lt;$E$2,"Low","High")</f>
        <v>#DIV/0!</v>
      </c>
    </row>
    <row r="18">
      <c r="A18" s="222" t="s">
        <v>136</v>
      </c>
      <c r="B18" s="293" t="str">
        <f t="shared" ref="B18:F18" si="23">#REF!</f>
        <v>#REF!</v>
      </c>
      <c r="C18" s="293" t="str">
        <f t="shared" si="23"/>
        <v>#REF!</v>
      </c>
      <c r="D18" s="525" t="str">
        <f t="shared" si="23"/>
        <v>#REF!</v>
      </c>
      <c r="E18" s="293" t="str">
        <f t="shared" si="23"/>
        <v>#REF!</v>
      </c>
      <c r="F18" s="159" t="str">
        <f t="shared" si="23"/>
        <v>#REF!</v>
      </c>
      <c r="G18" s="542"/>
      <c r="H18" s="158" t="str">
        <f t="shared" si="4"/>
        <v>#DIV/0!</v>
      </c>
      <c r="I18" s="543"/>
      <c r="J18" s="158" t="str">
        <f t="shared" si="5"/>
        <v>#DIV/0!</v>
      </c>
      <c r="K18" s="158" t="str">
        <f t="shared" si="6"/>
        <v>#DIV/0!</v>
      </c>
      <c r="L18" s="540" t="str">
        <f t="shared" si="7"/>
        <v>#REF!</v>
      </c>
      <c r="M18" s="293" t="str">
        <f t="shared" si="8"/>
        <v>#REF!</v>
      </c>
      <c r="N18" s="293" t="str">
        <f t="shared" si="9"/>
        <v>#REF!</v>
      </c>
      <c r="O18" s="32" t="str">
        <f t="shared" si="10"/>
        <v>#REF!</v>
      </c>
      <c r="P18" s="222" t="str">
        <f t="shared" si="11"/>
        <v>#REF!</v>
      </c>
      <c r="Q18" s="541" t="s">
        <v>626</v>
      </c>
    </row>
    <row r="19">
      <c r="A19" s="222" t="s">
        <v>142</v>
      </c>
      <c r="B19" s="293" t="str">
        <f t="shared" ref="B19:F19" si="24">#REF!</f>
        <v>#REF!</v>
      </c>
      <c r="C19" s="293" t="str">
        <f t="shared" si="24"/>
        <v>#REF!</v>
      </c>
      <c r="D19" s="525" t="str">
        <f t="shared" si="24"/>
        <v>#REF!</v>
      </c>
      <c r="E19" s="293" t="str">
        <f t="shared" si="24"/>
        <v>#REF!</v>
      </c>
      <c r="F19" s="159" t="str">
        <f t="shared" si="24"/>
        <v>#REF!</v>
      </c>
      <c r="G19" s="542"/>
      <c r="H19" s="158" t="str">
        <f t="shared" si="4"/>
        <v>#DIV/0!</v>
      </c>
      <c r="I19" s="543"/>
      <c r="J19" s="158" t="str">
        <f t="shared" si="5"/>
        <v>#DIV/0!</v>
      </c>
      <c r="K19" s="158" t="str">
        <f t="shared" si="6"/>
        <v>#DIV/0!</v>
      </c>
      <c r="L19" s="540" t="str">
        <f t="shared" si="7"/>
        <v>#REF!</v>
      </c>
      <c r="M19" s="293" t="str">
        <f t="shared" si="8"/>
        <v>#REF!</v>
      </c>
      <c r="N19" s="293" t="str">
        <f t="shared" si="9"/>
        <v>#REF!</v>
      </c>
      <c r="O19" s="32" t="str">
        <f t="shared" si="10"/>
        <v>#REF!</v>
      </c>
      <c r="P19" s="222" t="str">
        <f t="shared" si="11"/>
        <v>#REF!</v>
      </c>
      <c r="Q19" s="32" t="str">
        <f>IF(B79&lt;$E$2,"Low","High")</f>
        <v>#DIV/0!</v>
      </c>
    </row>
    <row r="20">
      <c r="A20" s="222" t="s">
        <v>146</v>
      </c>
      <c r="B20" s="293" t="str">
        <f t="shared" ref="B20:F20" si="25">#REF!</f>
        <v>#REF!</v>
      </c>
      <c r="C20" s="293" t="str">
        <f t="shared" si="25"/>
        <v>#REF!</v>
      </c>
      <c r="D20" s="525" t="str">
        <f t="shared" si="25"/>
        <v>#REF!</v>
      </c>
      <c r="E20" s="293" t="str">
        <f t="shared" si="25"/>
        <v>#REF!</v>
      </c>
      <c r="F20" s="159" t="str">
        <f t="shared" si="25"/>
        <v>#REF!</v>
      </c>
      <c r="G20" s="542"/>
      <c r="H20" s="158" t="str">
        <f t="shared" si="4"/>
        <v>#DIV/0!</v>
      </c>
      <c r="I20" s="543"/>
      <c r="J20" s="158" t="str">
        <f t="shared" si="5"/>
        <v>#DIV/0!</v>
      </c>
      <c r="K20" s="158" t="str">
        <f t="shared" si="6"/>
        <v>#DIV/0!</v>
      </c>
      <c r="L20" s="540" t="str">
        <f t="shared" si="7"/>
        <v>#REF!</v>
      </c>
      <c r="M20" s="293" t="str">
        <f t="shared" si="8"/>
        <v>#REF!</v>
      </c>
      <c r="N20" s="293" t="str">
        <f t="shared" si="9"/>
        <v>#REF!</v>
      </c>
      <c r="O20" s="32" t="str">
        <f t="shared" si="10"/>
        <v>#REF!</v>
      </c>
      <c r="P20" s="222" t="str">
        <f t="shared" si="11"/>
        <v>#REF!</v>
      </c>
      <c r="Q20" s="541" t="s">
        <v>705</v>
      </c>
    </row>
    <row r="21" ht="15.75" customHeight="1">
      <c r="A21" s="222" t="s">
        <v>153</v>
      </c>
      <c r="B21" s="293" t="str">
        <f t="shared" ref="B21:F21" si="26">#REF!</f>
        <v>#REF!</v>
      </c>
      <c r="C21" s="293" t="str">
        <f t="shared" si="26"/>
        <v>#REF!</v>
      </c>
      <c r="D21" s="525" t="str">
        <f t="shared" si="26"/>
        <v>#REF!</v>
      </c>
      <c r="E21" s="293" t="str">
        <f t="shared" si="26"/>
        <v>#REF!</v>
      </c>
      <c r="F21" s="159" t="str">
        <f t="shared" si="26"/>
        <v>#REF!</v>
      </c>
      <c r="G21" s="547"/>
      <c r="H21" s="71" t="str">
        <f t="shared" si="4"/>
        <v>#DIV/0!</v>
      </c>
      <c r="I21" s="548"/>
      <c r="J21" s="71" t="str">
        <f t="shared" si="5"/>
        <v>#DIV/0!</v>
      </c>
      <c r="K21" s="71" t="str">
        <f t="shared" si="6"/>
        <v>#DIV/0!</v>
      </c>
      <c r="L21" s="549" t="str">
        <f t="shared" si="7"/>
        <v>#REF!</v>
      </c>
      <c r="M21" s="385" t="str">
        <f t="shared" si="8"/>
        <v>#REF!</v>
      </c>
      <c r="N21" s="385" t="str">
        <f t="shared" si="9"/>
        <v>#REF!</v>
      </c>
      <c r="O21" s="384" t="str">
        <f t="shared" si="10"/>
        <v>#REF!</v>
      </c>
      <c r="P21" s="222" t="str">
        <f t="shared" si="11"/>
        <v>#REF!</v>
      </c>
      <c r="Q21" s="32" t="str">
        <f>IF(B93&lt;$E$2,"Low","High")</f>
        <v>#DIV/0!</v>
      </c>
    </row>
    <row r="22" ht="15.75" customHeight="1">
      <c r="A22" s="222"/>
      <c r="B22" s="293"/>
      <c r="C22" s="293"/>
      <c r="D22" s="525"/>
      <c r="E22" s="525"/>
      <c r="F22" s="159"/>
      <c r="G22" s="106">
        <f>SUM(G5:G21)</f>
        <v>0</v>
      </c>
      <c r="H22" s="158"/>
      <c r="I22" s="543">
        <f>SUM(I5:I21)</f>
        <v>0</v>
      </c>
      <c r="J22" s="106">
        <f>G22+I22</f>
        <v>0</v>
      </c>
      <c r="K22" s="106"/>
      <c r="L22" s="540" t="str">
        <f t="shared" ref="L22:N22" si="27">SUM(L5:L21)</f>
        <v>#REF!</v>
      </c>
      <c r="M22" s="293" t="str">
        <f t="shared" si="27"/>
        <v>#REF!</v>
      </c>
      <c r="N22" s="293" t="str">
        <f t="shared" si="27"/>
        <v>#REF!</v>
      </c>
      <c r="O22" s="32"/>
      <c r="P22" s="32"/>
      <c r="Q22" s="541" t="s">
        <v>798</v>
      </c>
    </row>
    <row r="23" ht="15.75" customHeight="1">
      <c r="A23" s="222"/>
      <c r="B23" s="293"/>
      <c r="C23" s="293"/>
      <c r="D23" s="525"/>
      <c r="E23" s="525"/>
      <c r="F23" s="159"/>
      <c r="G23" s="106"/>
      <c r="H23" s="158"/>
      <c r="I23" s="543"/>
      <c r="J23" s="158"/>
      <c r="K23" s="158"/>
      <c r="L23" s="540"/>
      <c r="M23" s="293"/>
      <c r="N23" s="293"/>
      <c r="O23" s="32"/>
      <c r="P23" s="32"/>
      <c r="Q23" s="32" t="str">
        <f>IF(B108&lt;$E$2,"Low","High")</f>
        <v>#DIV/0!</v>
      </c>
    </row>
    <row r="24" ht="15.75" customHeight="1">
      <c r="A24" s="48" t="s">
        <v>191</v>
      </c>
      <c r="B24" s="525" t="str">
        <f>J36/$J$126</f>
        <v>#DIV/0!</v>
      </c>
      <c r="C24" s="293"/>
      <c r="D24" s="525"/>
      <c r="E24" s="525"/>
      <c r="F24" s="159"/>
      <c r="G24" s="538" t="str">
        <f>G36/$G$126</f>
        <v>#DIV/0!</v>
      </c>
      <c r="I24" s="538" t="str">
        <f>I36/$I$126</f>
        <v>#DIV/0!</v>
      </c>
      <c r="K24" s="539"/>
      <c r="L24" s="540"/>
      <c r="M24" s="293"/>
      <c r="N24" s="293"/>
      <c r="O24" s="32"/>
      <c r="P24" s="32"/>
      <c r="Q24" s="541" t="s">
        <v>1493</v>
      </c>
    </row>
    <row r="25" ht="15.75" customHeight="1">
      <c r="A25" s="222" t="s">
        <v>194</v>
      </c>
      <c r="B25" s="293" t="str">
        <f t="shared" ref="B25:F25" si="28">#REF!</f>
        <v>#REF!</v>
      </c>
      <c r="C25" s="293" t="str">
        <f t="shared" si="28"/>
        <v>#REF!</v>
      </c>
      <c r="D25" s="525" t="str">
        <f t="shared" si="28"/>
        <v>#REF!</v>
      </c>
      <c r="E25" s="293" t="str">
        <f t="shared" si="28"/>
        <v>#REF!</v>
      </c>
      <c r="F25" s="159" t="str">
        <f t="shared" si="28"/>
        <v>#REF!</v>
      </c>
      <c r="G25" s="106"/>
      <c r="H25" s="158" t="str">
        <f t="shared" ref="H25:H35" si="30">G25/$G$36</f>
        <v>#DIV/0!</v>
      </c>
      <c r="I25" s="543"/>
      <c r="J25" s="158" t="str">
        <f t="shared" ref="J25:J35" si="31">I25/$I$36</f>
        <v>#DIV/0!</v>
      </c>
      <c r="K25" s="158" t="str">
        <f t="shared" ref="K25:K35" si="32">(G25+I25)/$J$36</f>
        <v>#DIV/0!</v>
      </c>
      <c r="L25" s="540" t="str">
        <f t="shared" ref="L25:L35" si="33">(G25+I25)*C25</f>
        <v>#REF!</v>
      </c>
      <c r="M25" s="293" t="str">
        <f t="shared" ref="M25:M35" si="34">(G25+I25)*B25</f>
        <v>#REF!</v>
      </c>
      <c r="N25" s="293" t="str">
        <f t="shared" ref="N25:N35" si="35">M25-L25</f>
        <v>#REF!</v>
      </c>
      <c r="O25" s="32" t="str">
        <f t="shared" ref="O25:O35" si="36">IF(E25&lt;$M$1,"Low","High")</f>
        <v>#REF!</v>
      </c>
      <c r="P25" s="32"/>
      <c r="Q25" s="32" t="str">
        <f>IF(B117&lt;$E$2,"Low","High")</f>
        <v>#DIV/0!</v>
      </c>
    </row>
    <row r="26" ht="15.75" customHeight="1">
      <c r="A26" s="222" t="s">
        <v>217</v>
      </c>
      <c r="B26" s="293" t="str">
        <f t="shared" ref="B26:F26" si="29">#REF!</f>
        <v>#REF!</v>
      </c>
      <c r="C26" s="293" t="str">
        <f t="shared" si="29"/>
        <v>#REF!</v>
      </c>
      <c r="D26" s="525" t="str">
        <f t="shared" si="29"/>
        <v>#REF!</v>
      </c>
      <c r="E26" s="293" t="str">
        <f t="shared" si="29"/>
        <v>#REF!</v>
      </c>
      <c r="F26" s="159" t="str">
        <f t="shared" si="29"/>
        <v>#REF!</v>
      </c>
      <c r="G26" s="106"/>
      <c r="H26" s="158" t="str">
        <f t="shared" si="30"/>
        <v>#DIV/0!</v>
      </c>
      <c r="I26" s="543"/>
      <c r="J26" s="158" t="str">
        <f t="shared" si="31"/>
        <v>#DIV/0!</v>
      </c>
      <c r="K26" s="158" t="str">
        <f t="shared" si="32"/>
        <v>#DIV/0!</v>
      </c>
      <c r="L26" s="540" t="str">
        <f t="shared" si="33"/>
        <v>#REF!</v>
      </c>
      <c r="M26" s="293" t="str">
        <f t="shared" si="34"/>
        <v>#REF!</v>
      </c>
      <c r="N26" s="293" t="str">
        <f t="shared" si="35"/>
        <v>#REF!</v>
      </c>
      <c r="O26" s="32" t="str">
        <f t="shared" si="36"/>
        <v>#REF!</v>
      </c>
      <c r="P26" s="32"/>
      <c r="Q26" s="32"/>
    </row>
    <row r="27" ht="15.75" customHeight="1">
      <c r="A27" s="222" t="s">
        <v>230</v>
      </c>
      <c r="B27" s="293" t="str">
        <f t="shared" ref="B27:F27" si="37">#REF!</f>
        <v>#REF!</v>
      </c>
      <c r="C27" s="293" t="str">
        <f t="shared" si="37"/>
        <v>#REF!</v>
      </c>
      <c r="D27" s="525" t="str">
        <f t="shared" si="37"/>
        <v>#REF!</v>
      </c>
      <c r="E27" s="293" t="str">
        <f t="shared" si="37"/>
        <v>#REF!</v>
      </c>
      <c r="F27" s="159" t="str">
        <f t="shared" si="37"/>
        <v>#REF!</v>
      </c>
      <c r="G27" s="106"/>
      <c r="H27" s="158" t="str">
        <f t="shared" si="30"/>
        <v>#DIV/0!</v>
      </c>
      <c r="I27" s="543"/>
      <c r="J27" s="158" t="str">
        <f t="shared" si="31"/>
        <v>#DIV/0!</v>
      </c>
      <c r="K27" s="158" t="str">
        <f t="shared" si="32"/>
        <v>#DIV/0!</v>
      </c>
      <c r="L27" s="540" t="str">
        <f t="shared" si="33"/>
        <v>#REF!</v>
      </c>
      <c r="M27" s="293" t="str">
        <f t="shared" si="34"/>
        <v>#REF!</v>
      </c>
      <c r="N27" s="293" t="str">
        <f t="shared" si="35"/>
        <v>#REF!</v>
      </c>
      <c r="O27" s="32" t="str">
        <f t="shared" si="36"/>
        <v>#REF!</v>
      </c>
      <c r="P27" s="32"/>
      <c r="Q27" s="32"/>
    </row>
    <row r="28" ht="15.75" customHeight="1">
      <c r="A28" s="222" t="s">
        <v>236</v>
      </c>
      <c r="B28" s="293" t="str">
        <f t="shared" ref="B28:F28" si="38">#REF!</f>
        <v>#REF!</v>
      </c>
      <c r="C28" s="293" t="str">
        <f t="shared" si="38"/>
        <v>#REF!</v>
      </c>
      <c r="D28" s="525" t="str">
        <f t="shared" si="38"/>
        <v>#REF!</v>
      </c>
      <c r="E28" s="293" t="str">
        <f t="shared" si="38"/>
        <v>#REF!</v>
      </c>
      <c r="F28" s="159" t="str">
        <f t="shared" si="38"/>
        <v>#REF!</v>
      </c>
      <c r="G28" s="106"/>
      <c r="H28" s="158" t="str">
        <f t="shared" si="30"/>
        <v>#DIV/0!</v>
      </c>
      <c r="I28" s="543"/>
      <c r="J28" s="158" t="str">
        <f t="shared" si="31"/>
        <v>#DIV/0!</v>
      </c>
      <c r="K28" s="158" t="str">
        <f t="shared" si="32"/>
        <v>#DIV/0!</v>
      </c>
      <c r="L28" s="540" t="str">
        <f t="shared" si="33"/>
        <v>#REF!</v>
      </c>
      <c r="M28" s="293" t="str">
        <f t="shared" si="34"/>
        <v>#REF!</v>
      </c>
      <c r="N28" s="293" t="str">
        <f t="shared" si="35"/>
        <v>#REF!</v>
      </c>
      <c r="O28" s="32" t="str">
        <f t="shared" si="36"/>
        <v>#REF!</v>
      </c>
      <c r="P28" s="32"/>
      <c r="Q28" s="32"/>
    </row>
    <row r="29" ht="15.75" customHeight="1">
      <c r="A29" s="222" t="s">
        <v>240</v>
      </c>
      <c r="B29" s="293" t="str">
        <f t="shared" ref="B29:F29" si="39">#REF!</f>
        <v>#REF!</v>
      </c>
      <c r="C29" s="293" t="str">
        <f t="shared" si="39"/>
        <v>#REF!</v>
      </c>
      <c r="D29" s="525" t="str">
        <f t="shared" si="39"/>
        <v>#REF!</v>
      </c>
      <c r="E29" s="293" t="str">
        <f t="shared" si="39"/>
        <v>#REF!</v>
      </c>
      <c r="F29" s="159" t="str">
        <f t="shared" si="39"/>
        <v>#REF!</v>
      </c>
      <c r="G29" s="106"/>
      <c r="H29" s="158" t="str">
        <f t="shared" si="30"/>
        <v>#DIV/0!</v>
      </c>
      <c r="I29" s="543"/>
      <c r="J29" s="158" t="str">
        <f t="shared" si="31"/>
        <v>#DIV/0!</v>
      </c>
      <c r="K29" s="158" t="str">
        <f t="shared" si="32"/>
        <v>#DIV/0!</v>
      </c>
      <c r="L29" s="540" t="str">
        <f t="shared" si="33"/>
        <v>#REF!</v>
      </c>
      <c r="M29" s="293" t="str">
        <f t="shared" si="34"/>
        <v>#REF!</v>
      </c>
      <c r="N29" s="293" t="str">
        <f t="shared" si="35"/>
        <v>#REF!</v>
      </c>
      <c r="O29" s="32" t="str">
        <f t="shared" si="36"/>
        <v>#REF!</v>
      </c>
      <c r="P29" s="32"/>
      <c r="Q29" s="32"/>
    </row>
    <row r="30" ht="15.75" customHeight="1">
      <c r="A30" s="222" t="s">
        <v>1494</v>
      </c>
      <c r="B30" s="293" t="str">
        <f t="shared" ref="B30:F30" si="40">#REF!</f>
        <v>#REF!</v>
      </c>
      <c r="C30" s="293" t="str">
        <f t="shared" si="40"/>
        <v>#REF!</v>
      </c>
      <c r="D30" s="525" t="str">
        <f t="shared" si="40"/>
        <v>#REF!</v>
      </c>
      <c r="E30" s="293" t="str">
        <f t="shared" si="40"/>
        <v>#REF!</v>
      </c>
      <c r="F30" s="159" t="str">
        <f t="shared" si="40"/>
        <v>#REF!</v>
      </c>
      <c r="G30" s="106"/>
      <c r="H30" s="158" t="str">
        <f t="shared" si="30"/>
        <v>#DIV/0!</v>
      </c>
      <c r="I30" s="543"/>
      <c r="J30" s="158" t="str">
        <f t="shared" si="31"/>
        <v>#DIV/0!</v>
      </c>
      <c r="K30" s="158" t="str">
        <f t="shared" si="32"/>
        <v>#DIV/0!</v>
      </c>
      <c r="L30" s="540" t="str">
        <f t="shared" si="33"/>
        <v>#REF!</v>
      </c>
      <c r="M30" s="293" t="str">
        <f t="shared" si="34"/>
        <v>#REF!</v>
      </c>
      <c r="N30" s="293" t="str">
        <f t="shared" si="35"/>
        <v>#REF!</v>
      </c>
      <c r="O30" s="32" t="str">
        <f t="shared" si="36"/>
        <v>#REF!</v>
      </c>
      <c r="P30" s="32"/>
      <c r="Q30" s="32"/>
    </row>
    <row r="31" ht="15.75" customHeight="1">
      <c r="A31" s="222" t="s">
        <v>249</v>
      </c>
      <c r="B31" s="293" t="str">
        <f t="shared" ref="B31:F31" si="41">#REF!</f>
        <v>#REF!</v>
      </c>
      <c r="C31" s="293" t="str">
        <f t="shared" si="41"/>
        <v>#REF!</v>
      </c>
      <c r="D31" s="525" t="str">
        <f t="shared" si="41"/>
        <v>#REF!</v>
      </c>
      <c r="E31" s="293" t="str">
        <f t="shared" si="41"/>
        <v>#REF!</v>
      </c>
      <c r="F31" s="159" t="str">
        <f t="shared" si="41"/>
        <v>#REF!</v>
      </c>
      <c r="G31" s="106"/>
      <c r="H31" s="158" t="str">
        <f t="shared" si="30"/>
        <v>#DIV/0!</v>
      </c>
      <c r="I31" s="543"/>
      <c r="J31" s="158" t="str">
        <f t="shared" si="31"/>
        <v>#DIV/0!</v>
      </c>
      <c r="K31" s="158" t="str">
        <f t="shared" si="32"/>
        <v>#DIV/0!</v>
      </c>
      <c r="L31" s="540" t="str">
        <f t="shared" si="33"/>
        <v>#REF!</v>
      </c>
      <c r="M31" s="293" t="str">
        <f t="shared" si="34"/>
        <v>#REF!</v>
      </c>
      <c r="N31" s="293" t="str">
        <f t="shared" si="35"/>
        <v>#REF!</v>
      </c>
      <c r="O31" s="32" t="str">
        <f t="shared" si="36"/>
        <v>#REF!</v>
      </c>
      <c r="P31" s="32"/>
      <c r="Q31" s="32"/>
    </row>
    <row r="32" ht="15.75" customHeight="1">
      <c r="A32" s="222" t="s">
        <v>1157</v>
      </c>
      <c r="B32" s="293" t="str">
        <f t="shared" ref="B32:F32" si="42">#REF!</f>
        <v>#REF!</v>
      </c>
      <c r="C32" s="293" t="str">
        <f t="shared" si="42"/>
        <v>#REF!</v>
      </c>
      <c r="D32" s="525" t="str">
        <f t="shared" si="42"/>
        <v>#REF!</v>
      </c>
      <c r="E32" s="293" t="str">
        <f t="shared" si="42"/>
        <v>#REF!</v>
      </c>
      <c r="F32" s="159" t="str">
        <f t="shared" si="42"/>
        <v>#REF!</v>
      </c>
      <c r="G32" s="106"/>
      <c r="H32" s="158" t="str">
        <f t="shared" si="30"/>
        <v>#DIV/0!</v>
      </c>
      <c r="I32" s="543"/>
      <c r="J32" s="158" t="str">
        <f t="shared" si="31"/>
        <v>#DIV/0!</v>
      </c>
      <c r="K32" s="158" t="str">
        <f t="shared" si="32"/>
        <v>#DIV/0!</v>
      </c>
      <c r="L32" s="540" t="str">
        <f t="shared" si="33"/>
        <v>#REF!</v>
      </c>
      <c r="M32" s="293" t="str">
        <f t="shared" si="34"/>
        <v>#REF!</v>
      </c>
      <c r="N32" s="293" t="str">
        <f t="shared" si="35"/>
        <v>#REF!</v>
      </c>
      <c r="O32" s="32" t="str">
        <f t="shared" si="36"/>
        <v>#REF!</v>
      </c>
      <c r="P32" s="32"/>
      <c r="Q32" s="32"/>
    </row>
    <row r="33" ht="15.75" customHeight="1">
      <c r="A33" s="222" t="s">
        <v>1173</v>
      </c>
      <c r="B33" s="293" t="str">
        <f t="shared" ref="B33:F33" si="43">#REF!</f>
        <v>#REF!</v>
      </c>
      <c r="C33" s="293" t="str">
        <f t="shared" si="43"/>
        <v>#REF!</v>
      </c>
      <c r="D33" s="525" t="str">
        <f t="shared" si="43"/>
        <v>#REF!</v>
      </c>
      <c r="E33" s="293" t="str">
        <f t="shared" si="43"/>
        <v>#REF!</v>
      </c>
      <c r="F33" s="159" t="str">
        <f t="shared" si="43"/>
        <v>#REF!</v>
      </c>
      <c r="G33" s="106"/>
      <c r="H33" s="158" t="str">
        <f t="shared" si="30"/>
        <v>#DIV/0!</v>
      </c>
      <c r="I33" s="543"/>
      <c r="J33" s="158" t="str">
        <f t="shared" si="31"/>
        <v>#DIV/0!</v>
      </c>
      <c r="K33" s="158" t="str">
        <f t="shared" si="32"/>
        <v>#DIV/0!</v>
      </c>
      <c r="L33" s="540" t="str">
        <f t="shared" si="33"/>
        <v>#REF!</v>
      </c>
      <c r="M33" s="293" t="str">
        <f t="shared" si="34"/>
        <v>#REF!</v>
      </c>
      <c r="N33" s="293" t="str">
        <f t="shared" si="35"/>
        <v>#REF!</v>
      </c>
      <c r="O33" s="32" t="str">
        <f t="shared" si="36"/>
        <v>#REF!</v>
      </c>
      <c r="P33" s="32"/>
      <c r="Q33" s="32"/>
    </row>
    <row r="34" ht="15.75" customHeight="1">
      <c r="A34" s="222" t="s">
        <v>1186</v>
      </c>
      <c r="B34" s="293" t="str">
        <f t="shared" ref="B34:F34" si="44">#REF!</f>
        <v>#REF!</v>
      </c>
      <c r="C34" s="293" t="str">
        <f t="shared" si="44"/>
        <v>#REF!</v>
      </c>
      <c r="D34" s="525" t="str">
        <f t="shared" si="44"/>
        <v>#REF!</v>
      </c>
      <c r="E34" s="293" t="str">
        <f t="shared" si="44"/>
        <v>#REF!</v>
      </c>
      <c r="F34" s="159" t="str">
        <f t="shared" si="44"/>
        <v>#REF!</v>
      </c>
      <c r="G34" s="106"/>
      <c r="H34" s="158" t="str">
        <f t="shared" si="30"/>
        <v>#DIV/0!</v>
      </c>
      <c r="I34" s="543"/>
      <c r="J34" s="158" t="str">
        <f t="shared" si="31"/>
        <v>#DIV/0!</v>
      </c>
      <c r="K34" s="158" t="str">
        <f t="shared" si="32"/>
        <v>#DIV/0!</v>
      </c>
      <c r="L34" s="540" t="str">
        <f t="shared" si="33"/>
        <v>#REF!</v>
      </c>
      <c r="M34" s="293" t="str">
        <f t="shared" si="34"/>
        <v>#REF!</v>
      </c>
      <c r="N34" s="293" t="str">
        <f t="shared" si="35"/>
        <v>#REF!</v>
      </c>
      <c r="O34" s="32" t="str">
        <f t="shared" si="36"/>
        <v>#REF!</v>
      </c>
      <c r="P34" s="32"/>
      <c r="Q34" s="32"/>
    </row>
    <row r="35" ht="15.75" customHeight="1">
      <c r="A35" s="222" t="s">
        <v>271</v>
      </c>
      <c r="B35" s="293" t="str">
        <f t="shared" ref="B35:F35" si="45">#REF!</f>
        <v>#REF!</v>
      </c>
      <c r="C35" s="293" t="str">
        <f t="shared" si="45"/>
        <v>#REF!</v>
      </c>
      <c r="D35" s="525" t="str">
        <f t="shared" si="45"/>
        <v>#REF!</v>
      </c>
      <c r="E35" s="293" t="str">
        <f t="shared" si="45"/>
        <v>#REF!</v>
      </c>
      <c r="F35" s="159" t="str">
        <f t="shared" si="45"/>
        <v>#REF!</v>
      </c>
      <c r="G35" s="548"/>
      <c r="H35" s="71" t="str">
        <f t="shared" si="30"/>
        <v>#DIV/0!</v>
      </c>
      <c r="I35" s="548"/>
      <c r="J35" s="71" t="str">
        <f t="shared" si="31"/>
        <v>#DIV/0!</v>
      </c>
      <c r="K35" s="71" t="str">
        <f t="shared" si="32"/>
        <v>#DIV/0!</v>
      </c>
      <c r="L35" s="549" t="str">
        <f t="shared" si="33"/>
        <v>#REF!</v>
      </c>
      <c r="M35" s="385" t="str">
        <f t="shared" si="34"/>
        <v>#REF!</v>
      </c>
      <c r="N35" s="385" t="str">
        <f t="shared" si="35"/>
        <v>#REF!</v>
      </c>
      <c r="O35" s="384" t="str">
        <f t="shared" si="36"/>
        <v>#REF!</v>
      </c>
      <c r="P35" s="32"/>
      <c r="Q35" s="32"/>
    </row>
    <row r="36" ht="15.75" customHeight="1">
      <c r="A36" s="222"/>
      <c r="B36" s="293"/>
      <c r="C36" s="293"/>
      <c r="D36" s="525"/>
      <c r="E36" s="525"/>
      <c r="F36" s="159"/>
      <c r="G36" s="106">
        <f>SUM(G25:G35)</f>
        <v>0</v>
      </c>
      <c r="H36" s="158"/>
      <c r="I36" s="543">
        <f>SUM(I25:I35)</f>
        <v>0</v>
      </c>
      <c r="J36" s="106">
        <f>G36+I36</f>
        <v>0</v>
      </c>
      <c r="K36" s="106"/>
      <c r="L36" s="540" t="str">
        <f t="shared" ref="L36:N36" si="46">SUM(L25:L35)</f>
        <v>#REF!</v>
      </c>
      <c r="M36" s="293" t="str">
        <f t="shared" si="46"/>
        <v>#REF!</v>
      </c>
      <c r="N36" s="293" t="str">
        <f t="shared" si="46"/>
        <v>#REF!</v>
      </c>
      <c r="O36" s="32"/>
      <c r="P36" s="32"/>
      <c r="Q36" s="32"/>
    </row>
    <row r="37" ht="15.75" customHeight="1">
      <c r="A37" s="222"/>
      <c r="B37" s="293"/>
      <c r="C37" s="293"/>
      <c r="D37" s="525"/>
      <c r="E37" s="525"/>
      <c r="F37" s="159"/>
      <c r="G37" s="106"/>
      <c r="H37" s="158"/>
      <c r="I37" s="543"/>
      <c r="J37" s="158"/>
      <c r="K37" s="158"/>
      <c r="L37" s="540"/>
      <c r="M37" s="293"/>
      <c r="N37" s="293"/>
      <c r="O37" s="32"/>
      <c r="P37" s="32"/>
      <c r="Q37" s="32"/>
    </row>
    <row r="38" ht="15.75" customHeight="1">
      <c r="A38" s="48" t="s">
        <v>313</v>
      </c>
      <c r="B38" s="525" t="str">
        <f>J45/$J$126</f>
        <v>#DIV/0!</v>
      </c>
      <c r="C38" s="293"/>
      <c r="D38" s="525"/>
      <c r="E38" s="525"/>
      <c r="F38" s="159"/>
      <c r="G38" s="538" t="str">
        <f>G45/$G$126</f>
        <v>#DIV/0!</v>
      </c>
      <c r="I38" s="538" t="str">
        <f>I45/$I$126</f>
        <v>#DIV/0!</v>
      </c>
      <c r="K38" s="539"/>
      <c r="L38" s="540"/>
      <c r="M38" s="293"/>
      <c r="N38" s="293"/>
      <c r="O38" s="32"/>
      <c r="P38" s="32"/>
      <c r="Q38" s="32"/>
    </row>
    <row r="39" ht="15.75" customHeight="1">
      <c r="A39" s="222" t="s">
        <v>315</v>
      </c>
      <c r="B39" s="293" t="str">
        <f t="shared" ref="B39:F39" si="47">#REF!</f>
        <v>#REF!</v>
      </c>
      <c r="C39" s="293" t="str">
        <f t="shared" si="47"/>
        <v>#REF!</v>
      </c>
      <c r="D39" s="525" t="str">
        <f t="shared" si="47"/>
        <v>#REF!</v>
      </c>
      <c r="E39" s="293" t="str">
        <f t="shared" si="47"/>
        <v>#REF!</v>
      </c>
      <c r="F39" s="159" t="str">
        <f t="shared" si="47"/>
        <v>#REF!</v>
      </c>
      <c r="G39" s="106"/>
      <c r="H39" s="158" t="str">
        <f t="shared" ref="H39:H44" si="49">G39/$G$45</f>
        <v>#DIV/0!</v>
      </c>
      <c r="I39" s="543"/>
      <c r="J39" s="158" t="str">
        <f t="shared" ref="J39:J44" si="50">I39/$I$45</f>
        <v>#DIV/0!</v>
      </c>
      <c r="K39" s="158" t="str">
        <f t="shared" ref="K39:K44" si="51">(G39+I39)/$J$45</f>
        <v>#DIV/0!</v>
      </c>
      <c r="L39" s="540" t="str">
        <f t="shared" ref="L39:L44" si="52">(G39+I39)*C39</f>
        <v>#REF!</v>
      </c>
      <c r="M39" s="293" t="str">
        <f t="shared" ref="M39:M44" si="53">(G39+I39)*B39</f>
        <v>#REF!</v>
      </c>
      <c r="N39" s="293" t="str">
        <f t="shared" ref="N39:N44" si="54">M39-L39</f>
        <v>#REF!</v>
      </c>
      <c r="O39" s="32" t="str">
        <f t="shared" ref="O39:O44" si="55">IF(E39&lt;$M$1,"Low","High")</f>
        <v>#REF!</v>
      </c>
      <c r="P39" s="32"/>
      <c r="Q39" s="32"/>
    </row>
    <row r="40" ht="15.75" customHeight="1">
      <c r="A40" s="222" t="s">
        <v>328</v>
      </c>
      <c r="B40" s="293" t="str">
        <f t="shared" ref="B40:F40" si="48">#REF!</f>
        <v>#REF!</v>
      </c>
      <c r="C40" s="293" t="str">
        <f t="shared" si="48"/>
        <v>#REF!</v>
      </c>
      <c r="D40" s="525" t="str">
        <f t="shared" si="48"/>
        <v>#REF!</v>
      </c>
      <c r="E40" s="293" t="str">
        <f t="shared" si="48"/>
        <v>#REF!</v>
      </c>
      <c r="F40" s="159" t="str">
        <f t="shared" si="48"/>
        <v>#REF!</v>
      </c>
      <c r="G40" s="106"/>
      <c r="H40" s="158" t="str">
        <f t="shared" si="49"/>
        <v>#DIV/0!</v>
      </c>
      <c r="I40" s="543"/>
      <c r="J40" s="158" t="str">
        <f t="shared" si="50"/>
        <v>#DIV/0!</v>
      </c>
      <c r="K40" s="158" t="str">
        <f t="shared" si="51"/>
        <v>#DIV/0!</v>
      </c>
      <c r="L40" s="540" t="str">
        <f t="shared" si="52"/>
        <v>#REF!</v>
      </c>
      <c r="M40" s="293" t="str">
        <f t="shared" si="53"/>
        <v>#REF!</v>
      </c>
      <c r="N40" s="293" t="str">
        <f t="shared" si="54"/>
        <v>#REF!</v>
      </c>
      <c r="O40" s="32" t="str">
        <f t="shared" si="55"/>
        <v>#REF!</v>
      </c>
      <c r="P40" s="32"/>
      <c r="Q40" s="32"/>
    </row>
    <row r="41" ht="15.75" customHeight="1">
      <c r="A41" s="222" t="s">
        <v>333</v>
      </c>
      <c r="B41" s="293" t="str">
        <f t="shared" ref="B41:F41" si="56">#REF!</f>
        <v>#REF!</v>
      </c>
      <c r="C41" s="293" t="str">
        <f t="shared" si="56"/>
        <v>#REF!</v>
      </c>
      <c r="D41" s="525" t="str">
        <f t="shared" si="56"/>
        <v>#REF!</v>
      </c>
      <c r="E41" s="293" t="str">
        <f t="shared" si="56"/>
        <v>#REF!</v>
      </c>
      <c r="F41" s="159" t="str">
        <f t="shared" si="56"/>
        <v>#REF!</v>
      </c>
      <c r="G41" s="106"/>
      <c r="H41" s="158" t="str">
        <f t="shared" si="49"/>
        <v>#DIV/0!</v>
      </c>
      <c r="I41" s="543"/>
      <c r="J41" s="158" t="str">
        <f t="shared" si="50"/>
        <v>#DIV/0!</v>
      </c>
      <c r="K41" s="158" t="str">
        <f t="shared" si="51"/>
        <v>#DIV/0!</v>
      </c>
      <c r="L41" s="540" t="str">
        <f t="shared" si="52"/>
        <v>#REF!</v>
      </c>
      <c r="M41" s="293" t="str">
        <f t="shared" si="53"/>
        <v>#REF!</v>
      </c>
      <c r="N41" s="293" t="str">
        <f t="shared" si="54"/>
        <v>#REF!</v>
      </c>
      <c r="O41" s="32" t="str">
        <f t="shared" si="55"/>
        <v>#REF!</v>
      </c>
      <c r="P41" s="32"/>
      <c r="Q41" s="32"/>
    </row>
    <row r="42" ht="15.75" customHeight="1">
      <c r="A42" s="222" t="s">
        <v>340</v>
      </c>
      <c r="B42" s="293" t="str">
        <f t="shared" ref="B42:F42" si="57">#REF!</f>
        <v>#REF!</v>
      </c>
      <c r="C42" s="293" t="str">
        <f t="shared" si="57"/>
        <v>#REF!</v>
      </c>
      <c r="D42" s="525" t="str">
        <f t="shared" si="57"/>
        <v>#REF!</v>
      </c>
      <c r="E42" s="293" t="str">
        <f t="shared" si="57"/>
        <v>#REF!</v>
      </c>
      <c r="F42" s="159" t="str">
        <f t="shared" si="57"/>
        <v>#REF!</v>
      </c>
      <c r="G42" s="106"/>
      <c r="H42" s="158" t="str">
        <f t="shared" si="49"/>
        <v>#DIV/0!</v>
      </c>
      <c r="I42" s="543"/>
      <c r="J42" s="158" t="str">
        <f t="shared" si="50"/>
        <v>#DIV/0!</v>
      </c>
      <c r="K42" s="158" t="str">
        <f t="shared" si="51"/>
        <v>#DIV/0!</v>
      </c>
      <c r="L42" s="540" t="str">
        <f t="shared" si="52"/>
        <v>#REF!</v>
      </c>
      <c r="M42" s="293" t="str">
        <f t="shared" si="53"/>
        <v>#REF!</v>
      </c>
      <c r="N42" s="293" t="str">
        <f t="shared" si="54"/>
        <v>#REF!</v>
      </c>
      <c r="O42" s="32" t="str">
        <f t="shared" si="55"/>
        <v>#REF!</v>
      </c>
      <c r="P42" s="32"/>
      <c r="Q42" s="32"/>
    </row>
    <row r="43" ht="15.75" customHeight="1">
      <c r="A43" s="222" t="s">
        <v>345</v>
      </c>
      <c r="B43" s="293" t="str">
        <f t="shared" ref="B43:F43" si="58">#REF!</f>
        <v>#REF!</v>
      </c>
      <c r="C43" s="293" t="str">
        <f t="shared" si="58"/>
        <v>#REF!</v>
      </c>
      <c r="D43" s="525" t="str">
        <f t="shared" si="58"/>
        <v>#REF!</v>
      </c>
      <c r="E43" s="293" t="str">
        <f t="shared" si="58"/>
        <v>#REF!</v>
      </c>
      <c r="F43" s="159" t="str">
        <f t="shared" si="58"/>
        <v>#REF!</v>
      </c>
      <c r="G43" s="106"/>
      <c r="H43" s="158" t="str">
        <f t="shared" si="49"/>
        <v>#DIV/0!</v>
      </c>
      <c r="I43" s="543"/>
      <c r="J43" s="158" t="str">
        <f t="shared" si="50"/>
        <v>#DIV/0!</v>
      </c>
      <c r="K43" s="158" t="str">
        <f t="shared" si="51"/>
        <v>#DIV/0!</v>
      </c>
      <c r="L43" s="540" t="str">
        <f t="shared" si="52"/>
        <v>#REF!</v>
      </c>
      <c r="M43" s="293" t="str">
        <f t="shared" si="53"/>
        <v>#REF!</v>
      </c>
      <c r="N43" s="293" t="str">
        <f t="shared" si="54"/>
        <v>#REF!</v>
      </c>
      <c r="O43" s="32" t="str">
        <f t="shared" si="55"/>
        <v>#REF!</v>
      </c>
      <c r="P43" s="32"/>
      <c r="Q43" s="32"/>
    </row>
    <row r="44" ht="15.75" customHeight="1">
      <c r="A44" s="222" t="s">
        <v>351</v>
      </c>
      <c r="B44" s="293" t="str">
        <f t="shared" ref="B44:F44" si="59">#REF!</f>
        <v>#REF!</v>
      </c>
      <c r="C44" s="293" t="str">
        <f t="shared" si="59"/>
        <v>#REF!</v>
      </c>
      <c r="D44" s="525" t="str">
        <f t="shared" si="59"/>
        <v>#REF!</v>
      </c>
      <c r="E44" s="293" t="str">
        <f t="shared" si="59"/>
        <v>#REF!</v>
      </c>
      <c r="F44" s="159" t="str">
        <f t="shared" si="59"/>
        <v>#REF!</v>
      </c>
      <c r="G44" s="548"/>
      <c r="H44" s="71" t="str">
        <f t="shared" si="49"/>
        <v>#DIV/0!</v>
      </c>
      <c r="I44" s="548"/>
      <c r="J44" s="71" t="str">
        <f t="shared" si="50"/>
        <v>#DIV/0!</v>
      </c>
      <c r="K44" s="71" t="str">
        <f t="shared" si="51"/>
        <v>#DIV/0!</v>
      </c>
      <c r="L44" s="549" t="str">
        <f t="shared" si="52"/>
        <v>#REF!</v>
      </c>
      <c r="M44" s="385" t="str">
        <f t="shared" si="53"/>
        <v>#REF!</v>
      </c>
      <c r="N44" s="385" t="str">
        <f t="shared" si="54"/>
        <v>#REF!</v>
      </c>
      <c r="O44" s="384" t="str">
        <f t="shared" si="55"/>
        <v>#REF!</v>
      </c>
      <c r="P44" s="32"/>
      <c r="Q44" s="32"/>
    </row>
    <row r="45" ht="15.75" customHeight="1">
      <c r="A45" s="222"/>
      <c r="B45" s="293"/>
      <c r="C45" s="293"/>
      <c r="D45" s="525"/>
      <c r="E45" s="525"/>
      <c r="F45" s="159"/>
      <c r="G45" s="106">
        <f>SUM(G39:G44)</f>
        <v>0</v>
      </c>
      <c r="H45" s="158"/>
      <c r="I45" s="543">
        <f>SUM(I39:I44)</f>
        <v>0</v>
      </c>
      <c r="J45" s="106">
        <f>G45+I45</f>
        <v>0</v>
      </c>
      <c r="K45" s="106"/>
      <c r="L45" s="540" t="str">
        <f t="shared" ref="L45:N45" si="60">SUM(L39:L44)</f>
        <v>#REF!</v>
      </c>
      <c r="M45" s="293" t="str">
        <f t="shared" si="60"/>
        <v>#REF!</v>
      </c>
      <c r="N45" s="293" t="str">
        <f t="shared" si="60"/>
        <v>#REF!</v>
      </c>
      <c r="O45" s="32"/>
      <c r="P45" s="32"/>
      <c r="Q45" s="32"/>
    </row>
    <row r="46" ht="15.75" customHeight="1">
      <c r="A46" s="222"/>
      <c r="B46" s="293"/>
      <c r="C46" s="293"/>
      <c r="D46" s="525"/>
      <c r="E46" s="525"/>
      <c r="F46" s="159"/>
      <c r="G46" s="106"/>
      <c r="H46" s="158"/>
      <c r="I46" s="543"/>
      <c r="J46" s="158"/>
      <c r="K46" s="158"/>
      <c r="L46" s="540"/>
      <c r="M46" s="293"/>
      <c r="N46" s="293"/>
      <c r="O46" s="32"/>
      <c r="P46" s="32"/>
      <c r="Q46" s="32"/>
    </row>
    <row r="47" ht="15.75" customHeight="1">
      <c r="A47" s="48" t="s">
        <v>385</v>
      </c>
      <c r="B47" s="525" t="str">
        <f>J53/$J$126</f>
        <v>#DIV/0!</v>
      </c>
      <c r="C47" s="293"/>
      <c r="D47" s="525"/>
      <c r="E47" s="525"/>
      <c r="F47" s="159"/>
      <c r="G47" s="538" t="str">
        <f>G53/$G$126</f>
        <v>#DIV/0!</v>
      </c>
      <c r="I47" s="538" t="str">
        <f>I53/$I$126</f>
        <v>#DIV/0!</v>
      </c>
      <c r="K47" s="539"/>
      <c r="L47" s="540"/>
      <c r="M47" s="293"/>
      <c r="N47" s="293"/>
      <c r="O47" s="32"/>
      <c r="P47" s="32"/>
      <c r="Q47" s="32"/>
    </row>
    <row r="48" ht="15.75" customHeight="1">
      <c r="A48" s="222" t="s">
        <v>388</v>
      </c>
      <c r="B48" s="293" t="str">
        <f t="shared" ref="B48:F48" si="61">#REF!</f>
        <v>#REF!</v>
      </c>
      <c r="C48" s="293" t="str">
        <f t="shared" si="61"/>
        <v>#REF!</v>
      </c>
      <c r="D48" s="525" t="str">
        <f t="shared" si="61"/>
        <v>#REF!</v>
      </c>
      <c r="E48" s="293" t="str">
        <f t="shared" si="61"/>
        <v>#REF!</v>
      </c>
      <c r="F48" s="159" t="str">
        <f t="shared" si="61"/>
        <v>#REF!</v>
      </c>
      <c r="G48" s="106"/>
      <c r="H48" s="158" t="str">
        <f t="shared" ref="H48:H52" si="63">G48/$G$53</f>
        <v>#DIV/0!</v>
      </c>
      <c r="I48" s="543"/>
      <c r="J48" s="158" t="str">
        <f t="shared" ref="J48:J52" si="64">I48/$I$53</f>
        <v>#DIV/0!</v>
      </c>
      <c r="K48" s="158" t="str">
        <f t="shared" ref="K48:K52" si="65">(G48+I48)/$J$53</f>
        <v>#DIV/0!</v>
      </c>
      <c r="L48" s="540" t="str">
        <f t="shared" ref="L48:L52" si="66">(G48+I48)*C48</f>
        <v>#REF!</v>
      </c>
      <c r="M48" s="293" t="str">
        <f t="shared" ref="M48:M52" si="67">(G48+I48)*B48</f>
        <v>#REF!</v>
      </c>
      <c r="N48" s="293" t="str">
        <f t="shared" ref="N48:N52" si="68">M48-L48</f>
        <v>#REF!</v>
      </c>
      <c r="O48" s="32" t="str">
        <f t="shared" ref="O48:O52" si="69">IF(E48&lt;$M$1,"Low","High")</f>
        <v>#REF!</v>
      </c>
      <c r="P48" s="32"/>
      <c r="Q48" s="32"/>
    </row>
    <row r="49" ht="15.75" customHeight="1">
      <c r="A49" s="222" t="s">
        <v>401</v>
      </c>
      <c r="B49" s="293" t="str">
        <f t="shared" ref="B49:F49" si="62">#REF!</f>
        <v>#REF!</v>
      </c>
      <c r="C49" s="293" t="str">
        <f t="shared" si="62"/>
        <v>#REF!</v>
      </c>
      <c r="D49" s="525" t="str">
        <f t="shared" si="62"/>
        <v>#REF!</v>
      </c>
      <c r="E49" s="293" t="str">
        <f t="shared" si="62"/>
        <v>#REF!</v>
      </c>
      <c r="F49" s="159" t="str">
        <f t="shared" si="62"/>
        <v>#REF!</v>
      </c>
      <c r="G49" s="106"/>
      <c r="H49" s="158" t="str">
        <f t="shared" si="63"/>
        <v>#DIV/0!</v>
      </c>
      <c r="I49" s="543"/>
      <c r="J49" s="158" t="str">
        <f t="shared" si="64"/>
        <v>#DIV/0!</v>
      </c>
      <c r="K49" s="158" t="str">
        <f t="shared" si="65"/>
        <v>#DIV/0!</v>
      </c>
      <c r="L49" s="540" t="str">
        <f t="shared" si="66"/>
        <v>#REF!</v>
      </c>
      <c r="M49" s="293" t="str">
        <f t="shared" si="67"/>
        <v>#REF!</v>
      </c>
      <c r="N49" s="293" t="str">
        <f t="shared" si="68"/>
        <v>#REF!</v>
      </c>
      <c r="O49" s="32" t="str">
        <f t="shared" si="69"/>
        <v>#REF!</v>
      </c>
      <c r="P49" s="32"/>
      <c r="Q49" s="32"/>
    </row>
    <row r="50" ht="15.75" customHeight="1">
      <c r="A50" s="222" t="s">
        <v>408</v>
      </c>
      <c r="B50" s="293" t="str">
        <f t="shared" ref="B50:F50" si="70">#REF!</f>
        <v>#REF!</v>
      </c>
      <c r="C50" s="293" t="str">
        <f t="shared" si="70"/>
        <v>#REF!</v>
      </c>
      <c r="D50" s="525" t="str">
        <f t="shared" si="70"/>
        <v>#REF!</v>
      </c>
      <c r="E50" s="293" t="str">
        <f t="shared" si="70"/>
        <v>#REF!</v>
      </c>
      <c r="F50" s="159" t="str">
        <f t="shared" si="70"/>
        <v>#REF!</v>
      </c>
      <c r="G50" s="106"/>
      <c r="H50" s="158" t="str">
        <f t="shared" si="63"/>
        <v>#DIV/0!</v>
      </c>
      <c r="I50" s="543"/>
      <c r="J50" s="158" t="str">
        <f t="shared" si="64"/>
        <v>#DIV/0!</v>
      </c>
      <c r="K50" s="158" t="str">
        <f t="shared" si="65"/>
        <v>#DIV/0!</v>
      </c>
      <c r="L50" s="540" t="str">
        <f t="shared" si="66"/>
        <v>#REF!</v>
      </c>
      <c r="M50" s="293" t="str">
        <f t="shared" si="67"/>
        <v>#REF!</v>
      </c>
      <c r="N50" s="293" t="str">
        <f t="shared" si="68"/>
        <v>#REF!</v>
      </c>
      <c r="O50" s="32" t="str">
        <f t="shared" si="69"/>
        <v>#REF!</v>
      </c>
      <c r="P50" s="32"/>
      <c r="Q50" s="32"/>
    </row>
    <row r="51" ht="15.75" customHeight="1">
      <c r="A51" s="222" t="s">
        <v>411</v>
      </c>
      <c r="B51" s="293" t="str">
        <f t="shared" ref="B51:F51" si="71">#REF!</f>
        <v>#REF!</v>
      </c>
      <c r="C51" s="293" t="str">
        <f t="shared" si="71"/>
        <v>#REF!</v>
      </c>
      <c r="D51" s="525" t="str">
        <f t="shared" si="71"/>
        <v>#REF!</v>
      </c>
      <c r="E51" s="293" t="str">
        <f t="shared" si="71"/>
        <v>#REF!</v>
      </c>
      <c r="F51" s="159" t="str">
        <f t="shared" si="71"/>
        <v>#REF!</v>
      </c>
      <c r="G51" s="106"/>
      <c r="H51" s="158" t="str">
        <f t="shared" si="63"/>
        <v>#DIV/0!</v>
      </c>
      <c r="I51" s="543"/>
      <c r="J51" s="158" t="str">
        <f t="shared" si="64"/>
        <v>#DIV/0!</v>
      </c>
      <c r="K51" s="158" t="str">
        <f t="shared" si="65"/>
        <v>#DIV/0!</v>
      </c>
      <c r="L51" s="540" t="str">
        <f t="shared" si="66"/>
        <v>#REF!</v>
      </c>
      <c r="M51" s="293" t="str">
        <f t="shared" si="67"/>
        <v>#REF!</v>
      </c>
      <c r="N51" s="293" t="str">
        <f t="shared" si="68"/>
        <v>#REF!</v>
      </c>
      <c r="O51" s="32" t="str">
        <f t="shared" si="69"/>
        <v>#REF!</v>
      </c>
      <c r="P51" s="32"/>
      <c r="Q51" s="32"/>
    </row>
    <row r="52" ht="15.75" customHeight="1">
      <c r="A52" s="222" t="s">
        <v>414</v>
      </c>
      <c r="B52" s="293" t="str">
        <f t="shared" ref="B52:F52" si="72">#REF!</f>
        <v>#REF!</v>
      </c>
      <c r="C52" s="293" t="str">
        <f t="shared" si="72"/>
        <v>#REF!</v>
      </c>
      <c r="D52" s="525" t="str">
        <f t="shared" si="72"/>
        <v>#REF!</v>
      </c>
      <c r="E52" s="293" t="str">
        <f t="shared" si="72"/>
        <v>#REF!</v>
      </c>
      <c r="F52" s="159" t="str">
        <f t="shared" si="72"/>
        <v>#REF!</v>
      </c>
      <c r="G52" s="548"/>
      <c r="H52" s="71" t="str">
        <f t="shared" si="63"/>
        <v>#DIV/0!</v>
      </c>
      <c r="I52" s="548"/>
      <c r="J52" s="71" t="str">
        <f t="shared" si="64"/>
        <v>#DIV/0!</v>
      </c>
      <c r="K52" s="71" t="str">
        <f t="shared" si="65"/>
        <v>#DIV/0!</v>
      </c>
      <c r="L52" s="549" t="str">
        <f t="shared" si="66"/>
        <v>#REF!</v>
      </c>
      <c r="M52" s="385" t="str">
        <f t="shared" si="67"/>
        <v>#REF!</v>
      </c>
      <c r="N52" s="385" t="str">
        <f t="shared" si="68"/>
        <v>#REF!</v>
      </c>
      <c r="O52" s="384" t="str">
        <f t="shared" si="69"/>
        <v>#REF!</v>
      </c>
      <c r="P52" s="32"/>
      <c r="Q52" s="32"/>
    </row>
    <row r="53" ht="15.75" customHeight="1">
      <c r="A53" s="222"/>
      <c r="B53" s="293"/>
      <c r="C53" s="293"/>
      <c r="D53" s="525"/>
      <c r="E53" s="525"/>
      <c r="F53" s="159"/>
      <c r="G53" s="106">
        <f>SUM(G48:G52)</f>
        <v>0</v>
      </c>
      <c r="H53" s="158"/>
      <c r="I53" s="543">
        <f>SUM(I48:I52)</f>
        <v>0</v>
      </c>
      <c r="J53" s="106">
        <f>G53+I53</f>
        <v>0</v>
      </c>
      <c r="K53" s="106"/>
      <c r="L53" s="540" t="str">
        <f t="shared" ref="L53:N53" si="73">SUM(L48:L52)</f>
        <v>#REF!</v>
      </c>
      <c r="M53" s="293" t="str">
        <f t="shared" si="73"/>
        <v>#REF!</v>
      </c>
      <c r="N53" s="293" t="str">
        <f t="shared" si="73"/>
        <v>#REF!</v>
      </c>
      <c r="O53" s="32"/>
      <c r="P53" s="32"/>
      <c r="Q53" s="32"/>
    </row>
    <row r="54" ht="15.75" customHeight="1">
      <c r="A54" s="222"/>
      <c r="B54" s="293"/>
      <c r="C54" s="293"/>
      <c r="D54" s="525"/>
      <c r="E54" s="525"/>
      <c r="F54" s="159"/>
      <c r="G54" s="106"/>
      <c r="H54" s="158"/>
      <c r="I54" s="543"/>
      <c r="J54" s="158"/>
      <c r="K54" s="158"/>
      <c r="L54" s="540"/>
      <c r="M54" s="293"/>
      <c r="N54" s="293"/>
      <c r="O54" s="32"/>
      <c r="P54" s="32"/>
      <c r="Q54" s="32"/>
    </row>
    <row r="55" ht="15.75" customHeight="1">
      <c r="A55" s="48" t="s">
        <v>442</v>
      </c>
      <c r="B55" s="525" t="str">
        <f>J64/$J$126</f>
        <v>#DIV/0!</v>
      </c>
      <c r="C55" s="293"/>
      <c r="D55" s="525"/>
      <c r="E55" s="525"/>
      <c r="F55" s="159"/>
      <c r="G55" s="538" t="str">
        <f>G64/$G$126</f>
        <v>#DIV/0!</v>
      </c>
      <c r="I55" s="538" t="str">
        <f>I64/$I$126</f>
        <v>#DIV/0!</v>
      </c>
      <c r="K55" s="539"/>
      <c r="L55" s="540"/>
      <c r="M55" s="293"/>
      <c r="N55" s="293"/>
      <c r="O55" s="32"/>
      <c r="P55" s="32"/>
      <c r="Q55" s="32"/>
    </row>
    <row r="56" ht="15.75" customHeight="1">
      <c r="A56" s="222" t="s">
        <v>443</v>
      </c>
      <c r="B56" s="293" t="str">
        <f t="shared" ref="B56:F56" si="74">#REF!</f>
        <v>#REF!</v>
      </c>
      <c r="C56" s="293" t="str">
        <f t="shared" si="74"/>
        <v>#REF!</v>
      </c>
      <c r="D56" s="525" t="str">
        <f t="shared" si="74"/>
        <v>#REF!</v>
      </c>
      <c r="E56" s="293" t="str">
        <f t="shared" si="74"/>
        <v>#REF!</v>
      </c>
      <c r="F56" s="159" t="str">
        <f t="shared" si="74"/>
        <v>#REF!</v>
      </c>
      <c r="G56" s="106"/>
      <c r="H56" s="158" t="str">
        <f t="shared" ref="H56:H63" si="76">G56/$G$64</f>
        <v>#DIV/0!</v>
      </c>
      <c r="I56" s="543"/>
      <c r="J56" s="158" t="str">
        <f t="shared" ref="J56:J63" si="77">I56/$I$64</f>
        <v>#DIV/0!</v>
      </c>
      <c r="K56" s="158" t="str">
        <f t="shared" ref="K56:K63" si="78">(G56+I56)/$J$64</f>
        <v>#DIV/0!</v>
      </c>
      <c r="L56" s="540" t="str">
        <f t="shared" ref="L56:L63" si="79">(G56+I56)*C56</f>
        <v>#REF!</v>
      </c>
      <c r="M56" s="293" t="str">
        <f t="shared" ref="M56:M63" si="80">(G56+I56)*B56</f>
        <v>#REF!</v>
      </c>
      <c r="N56" s="293" t="str">
        <f t="shared" ref="N56:N63" si="81">M56-L56</f>
        <v>#REF!</v>
      </c>
      <c r="O56" s="32" t="str">
        <f t="shared" ref="O56:O63" si="82">IF(E56&lt;$M$1,"Low","High")</f>
        <v>#REF!</v>
      </c>
      <c r="P56" s="32"/>
      <c r="Q56" s="32"/>
    </row>
    <row r="57" ht="15.75" customHeight="1">
      <c r="A57" s="222" t="s">
        <v>1498</v>
      </c>
      <c r="B57" s="293" t="str">
        <f t="shared" ref="B57:F57" si="75">#REF!</f>
        <v>#REF!</v>
      </c>
      <c r="C57" s="293" t="str">
        <f t="shared" si="75"/>
        <v>#REF!</v>
      </c>
      <c r="D57" s="525" t="str">
        <f t="shared" si="75"/>
        <v>#REF!</v>
      </c>
      <c r="E57" s="293" t="str">
        <f t="shared" si="75"/>
        <v>#REF!</v>
      </c>
      <c r="F57" s="159" t="str">
        <f t="shared" si="75"/>
        <v>#REF!</v>
      </c>
      <c r="G57" s="106"/>
      <c r="H57" s="158" t="str">
        <f t="shared" si="76"/>
        <v>#DIV/0!</v>
      </c>
      <c r="I57" s="543"/>
      <c r="J57" s="158" t="str">
        <f t="shared" si="77"/>
        <v>#DIV/0!</v>
      </c>
      <c r="K57" s="158" t="str">
        <f t="shared" si="78"/>
        <v>#DIV/0!</v>
      </c>
      <c r="L57" s="540" t="str">
        <f t="shared" si="79"/>
        <v>#REF!</v>
      </c>
      <c r="M57" s="293" t="str">
        <f t="shared" si="80"/>
        <v>#REF!</v>
      </c>
      <c r="N57" s="293" t="str">
        <f t="shared" si="81"/>
        <v>#REF!</v>
      </c>
      <c r="O57" s="32" t="str">
        <f t="shared" si="82"/>
        <v>#REF!</v>
      </c>
      <c r="P57" s="32"/>
      <c r="Q57" s="32"/>
    </row>
    <row r="58" ht="15.75" hidden="1" customHeight="1">
      <c r="A58" s="545" t="s">
        <v>1499</v>
      </c>
      <c r="B58" s="293" t="str">
        <f>'Cover D'!#REF!</f>
        <v>#ERROR!</v>
      </c>
      <c r="C58" s="293" t="str">
        <f>'Cover D'!#REF!</f>
        <v>#ERROR!</v>
      </c>
      <c r="D58" s="525" t="str">
        <f>'Cover D'!#REF!</f>
        <v>#ERROR!</v>
      </c>
      <c r="E58" s="293" t="str">
        <f>'Cover D'!#REF!</f>
        <v>#ERROR!</v>
      </c>
      <c r="F58" s="159" t="str">
        <f>'Cover D'!#REF!</f>
        <v>#ERROR!</v>
      </c>
      <c r="G58" s="106"/>
      <c r="H58" s="158" t="str">
        <f t="shared" si="76"/>
        <v>#DIV/0!</v>
      </c>
      <c r="I58" s="543"/>
      <c r="J58" s="158" t="str">
        <f t="shared" si="77"/>
        <v>#DIV/0!</v>
      </c>
      <c r="K58" s="158" t="str">
        <f t="shared" si="78"/>
        <v>#DIV/0!</v>
      </c>
      <c r="L58" s="540" t="str">
        <f t="shared" si="79"/>
        <v>#ERROR!</v>
      </c>
      <c r="M58" s="293" t="str">
        <f t="shared" si="80"/>
        <v>#ERROR!</v>
      </c>
      <c r="N58" s="293" t="str">
        <f t="shared" si="81"/>
        <v>#ERROR!</v>
      </c>
      <c r="O58" s="32" t="str">
        <f t="shared" si="82"/>
        <v>#ERROR!</v>
      </c>
      <c r="P58" s="32"/>
      <c r="Q58" s="32"/>
    </row>
    <row r="59" ht="15.75" customHeight="1">
      <c r="A59" s="222" t="s">
        <v>1500</v>
      </c>
      <c r="B59" s="293" t="str">
        <f t="shared" ref="B59:F59" si="83">#REF!</f>
        <v>#REF!</v>
      </c>
      <c r="C59" s="293" t="str">
        <f t="shared" si="83"/>
        <v>#REF!</v>
      </c>
      <c r="D59" s="525" t="str">
        <f t="shared" si="83"/>
        <v>#REF!</v>
      </c>
      <c r="E59" s="293" t="str">
        <f t="shared" si="83"/>
        <v>#REF!</v>
      </c>
      <c r="F59" s="159" t="str">
        <f t="shared" si="83"/>
        <v>#REF!</v>
      </c>
      <c r="G59" s="106"/>
      <c r="H59" s="158" t="str">
        <f t="shared" si="76"/>
        <v>#DIV/0!</v>
      </c>
      <c r="I59" s="543"/>
      <c r="J59" s="158" t="str">
        <f t="shared" si="77"/>
        <v>#DIV/0!</v>
      </c>
      <c r="K59" s="158" t="str">
        <f t="shared" si="78"/>
        <v>#DIV/0!</v>
      </c>
      <c r="L59" s="540" t="str">
        <f t="shared" si="79"/>
        <v>#REF!</v>
      </c>
      <c r="M59" s="293" t="str">
        <f t="shared" si="80"/>
        <v>#REF!</v>
      </c>
      <c r="N59" s="293" t="str">
        <f t="shared" si="81"/>
        <v>#REF!</v>
      </c>
      <c r="O59" s="32" t="str">
        <f t="shared" si="82"/>
        <v>#REF!</v>
      </c>
      <c r="P59" s="32"/>
      <c r="Q59" s="32"/>
    </row>
    <row r="60" ht="15.75" hidden="1" customHeight="1">
      <c r="A60" s="545" t="s">
        <v>1501</v>
      </c>
      <c r="B60" s="293" t="str">
        <f>'Cover D'!#REF!</f>
        <v>#ERROR!</v>
      </c>
      <c r="C60" s="293" t="str">
        <f>'Cover D'!#REF!</f>
        <v>#ERROR!</v>
      </c>
      <c r="D60" s="525" t="str">
        <f>'Cover D'!#REF!</f>
        <v>#ERROR!</v>
      </c>
      <c r="E60" s="293" t="str">
        <f>'Cover D'!#REF!</f>
        <v>#ERROR!</v>
      </c>
      <c r="F60" s="159" t="str">
        <f>'Cover D'!#REF!</f>
        <v>#ERROR!</v>
      </c>
      <c r="G60" s="106"/>
      <c r="H60" s="158" t="str">
        <f t="shared" si="76"/>
        <v>#DIV/0!</v>
      </c>
      <c r="I60" s="543"/>
      <c r="J60" s="158" t="str">
        <f t="shared" si="77"/>
        <v>#DIV/0!</v>
      </c>
      <c r="K60" s="158" t="str">
        <f t="shared" si="78"/>
        <v>#DIV/0!</v>
      </c>
      <c r="L60" s="540" t="str">
        <f t="shared" si="79"/>
        <v>#ERROR!</v>
      </c>
      <c r="M60" s="293" t="str">
        <f t="shared" si="80"/>
        <v>#ERROR!</v>
      </c>
      <c r="N60" s="293" t="str">
        <f t="shared" si="81"/>
        <v>#ERROR!</v>
      </c>
      <c r="O60" s="32" t="str">
        <f t="shared" si="82"/>
        <v>#ERROR!</v>
      </c>
      <c r="P60" s="32"/>
      <c r="Q60" s="32"/>
    </row>
    <row r="61" ht="15.75" customHeight="1">
      <c r="A61" s="222" t="s">
        <v>468</v>
      </c>
      <c r="B61" s="293" t="str">
        <f t="shared" ref="B61:F61" si="84">#REF!</f>
        <v>#REF!</v>
      </c>
      <c r="C61" s="293" t="str">
        <f t="shared" si="84"/>
        <v>#REF!</v>
      </c>
      <c r="D61" s="525" t="str">
        <f t="shared" si="84"/>
        <v>#REF!</v>
      </c>
      <c r="E61" s="293" t="str">
        <f t="shared" si="84"/>
        <v>#REF!</v>
      </c>
      <c r="F61" s="159" t="str">
        <f t="shared" si="84"/>
        <v>#REF!</v>
      </c>
      <c r="G61" s="106"/>
      <c r="H61" s="158" t="str">
        <f t="shared" si="76"/>
        <v>#DIV/0!</v>
      </c>
      <c r="I61" s="543"/>
      <c r="J61" s="158" t="str">
        <f t="shared" si="77"/>
        <v>#DIV/0!</v>
      </c>
      <c r="K61" s="158" t="str">
        <f t="shared" si="78"/>
        <v>#DIV/0!</v>
      </c>
      <c r="L61" s="540" t="str">
        <f t="shared" si="79"/>
        <v>#REF!</v>
      </c>
      <c r="M61" s="293" t="str">
        <f t="shared" si="80"/>
        <v>#REF!</v>
      </c>
      <c r="N61" s="293" t="str">
        <f t="shared" si="81"/>
        <v>#REF!</v>
      </c>
      <c r="O61" s="32" t="str">
        <f t="shared" si="82"/>
        <v>#REF!</v>
      </c>
      <c r="P61" s="32"/>
      <c r="Q61" s="32"/>
    </row>
    <row r="62" ht="15.75" customHeight="1">
      <c r="A62" s="222" t="s">
        <v>1502</v>
      </c>
      <c r="B62" s="293" t="str">
        <f t="shared" ref="B62:F62" si="85">#REF!</f>
        <v>#REF!</v>
      </c>
      <c r="C62" s="293" t="str">
        <f t="shared" si="85"/>
        <v>#REF!</v>
      </c>
      <c r="D62" s="525" t="str">
        <f t="shared" si="85"/>
        <v>#REF!</v>
      </c>
      <c r="E62" s="293" t="str">
        <f t="shared" si="85"/>
        <v>#REF!</v>
      </c>
      <c r="F62" s="159" t="str">
        <f t="shared" si="85"/>
        <v>#REF!</v>
      </c>
      <c r="G62" s="106"/>
      <c r="H62" s="158" t="str">
        <f t="shared" si="76"/>
        <v>#DIV/0!</v>
      </c>
      <c r="I62" s="543"/>
      <c r="J62" s="158" t="str">
        <f t="shared" si="77"/>
        <v>#DIV/0!</v>
      </c>
      <c r="K62" s="158" t="str">
        <f t="shared" si="78"/>
        <v>#DIV/0!</v>
      </c>
      <c r="L62" s="540" t="str">
        <f t="shared" si="79"/>
        <v>#REF!</v>
      </c>
      <c r="M62" s="293" t="str">
        <f t="shared" si="80"/>
        <v>#REF!</v>
      </c>
      <c r="N62" s="293" t="str">
        <f t="shared" si="81"/>
        <v>#REF!</v>
      </c>
      <c r="O62" s="32" t="str">
        <f t="shared" si="82"/>
        <v>#REF!</v>
      </c>
      <c r="P62" s="32"/>
      <c r="Q62" s="32"/>
    </row>
    <row r="63" ht="15.75" customHeight="1">
      <c r="A63" s="222" t="s">
        <v>1503</v>
      </c>
      <c r="B63" s="293" t="str">
        <f>'Cover D'!#REF!</f>
        <v>#ERROR!</v>
      </c>
      <c r="C63" s="293" t="str">
        <f>'Cover D'!#REF!</f>
        <v>#ERROR!</v>
      </c>
      <c r="D63" s="525" t="str">
        <f>'Cover D'!#REF!</f>
        <v>#ERROR!</v>
      </c>
      <c r="E63" s="293" t="str">
        <f>'Cover D'!#REF!</f>
        <v>#ERROR!</v>
      </c>
      <c r="F63" s="159" t="str">
        <f>'Cover D'!#REF!</f>
        <v>#ERROR!</v>
      </c>
      <c r="G63" s="548">
        <v>0.0</v>
      </c>
      <c r="H63" s="71" t="str">
        <f t="shared" si="76"/>
        <v>#DIV/0!</v>
      </c>
      <c r="I63" s="548"/>
      <c r="J63" s="71" t="str">
        <f t="shared" si="77"/>
        <v>#DIV/0!</v>
      </c>
      <c r="K63" s="71" t="str">
        <f t="shared" si="78"/>
        <v>#DIV/0!</v>
      </c>
      <c r="L63" s="549" t="str">
        <f t="shared" si="79"/>
        <v>#ERROR!</v>
      </c>
      <c r="M63" s="385" t="str">
        <f t="shared" si="80"/>
        <v>#ERROR!</v>
      </c>
      <c r="N63" s="385" t="str">
        <f t="shared" si="81"/>
        <v>#ERROR!</v>
      </c>
      <c r="O63" s="384" t="str">
        <f t="shared" si="82"/>
        <v>#ERROR!</v>
      </c>
      <c r="P63" s="32"/>
      <c r="Q63" s="32"/>
    </row>
    <row r="64" ht="15.75" customHeight="1">
      <c r="A64" s="222"/>
      <c r="B64" s="293"/>
      <c r="C64" s="293"/>
      <c r="D64" s="525"/>
      <c r="E64" s="525"/>
      <c r="F64" s="159"/>
      <c r="G64" s="106">
        <f>SUM(G56:G63)</f>
        <v>0</v>
      </c>
      <c r="H64" s="158"/>
      <c r="I64" s="543">
        <f>SUM(I56:I63)</f>
        <v>0</v>
      </c>
      <c r="J64" s="106">
        <f>G64+I64</f>
        <v>0</v>
      </c>
      <c r="K64" s="106"/>
      <c r="L64" s="540" t="str">
        <f t="shared" ref="L64:N64" si="86">SUM(L56:L63)</f>
        <v>#REF!</v>
      </c>
      <c r="M64" s="293" t="str">
        <f t="shared" si="86"/>
        <v>#REF!</v>
      </c>
      <c r="N64" s="293" t="str">
        <f t="shared" si="86"/>
        <v>#REF!</v>
      </c>
      <c r="O64" s="32"/>
      <c r="P64" s="32"/>
      <c r="Q64" s="32"/>
    </row>
    <row r="65" ht="15.75" customHeight="1">
      <c r="A65" s="222"/>
      <c r="B65" s="293"/>
      <c r="C65" s="293"/>
      <c r="D65" s="525"/>
      <c r="E65" s="525"/>
      <c r="F65" s="159"/>
      <c r="G65" s="106"/>
      <c r="H65" s="158"/>
      <c r="I65" s="543"/>
      <c r="J65" s="158"/>
      <c r="K65" s="158"/>
      <c r="L65" s="540"/>
      <c r="M65" s="293"/>
      <c r="N65" s="293"/>
      <c r="O65" s="32"/>
      <c r="P65" s="32"/>
      <c r="Q65" s="32"/>
    </row>
    <row r="66" ht="15.75" customHeight="1">
      <c r="A66" s="48" t="s">
        <v>500</v>
      </c>
      <c r="B66" s="525" t="str">
        <f>J77/$J$126</f>
        <v>#DIV/0!</v>
      </c>
      <c r="C66" s="293"/>
      <c r="D66" s="525"/>
      <c r="E66" s="525"/>
      <c r="F66" s="159"/>
      <c r="G66" s="538" t="str">
        <f>G77/$G$126</f>
        <v>#DIV/0!</v>
      </c>
      <c r="I66" s="538" t="str">
        <f>I77/$I$126</f>
        <v>#DIV/0!</v>
      </c>
      <c r="K66" s="539"/>
      <c r="L66" s="540"/>
      <c r="M66" s="293"/>
      <c r="N66" s="293"/>
      <c r="O66" s="32"/>
      <c r="P66" s="32"/>
      <c r="Q66" s="32"/>
    </row>
    <row r="67" ht="15.75" hidden="1" customHeight="1">
      <c r="A67" s="545" t="s">
        <v>502</v>
      </c>
      <c r="B67" s="293" t="str">
        <f t="shared" ref="B67:B72" si="87">#REF!</f>
        <v>#REF!</v>
      </c>
      <c r="C67" s="293"/>
      <c r="D67" s="525" t="str">
        <f>#REF!</f>
        <v>#REF!</v>
      </c>
      <c r="E67" s="525"/>
      <c r="F67" s="159" t="str">
        <f>#REF!</f>
        <v>#REF!</v>
      </c>
      <c r="G67" s="106"/>
      <c r="H67" s="158"/>
      <c r="I67" s="543"/>
      <c r="J67" s="158"/>
      <c r="K67" s="158"/>
      <c r="L67" s="540">
        <f t="shared" ref="L67:L76" si="89">(G67+I67)*C67</f>
        <v>0</v>
      </c>
      <c r="M67" s="293" t="str">
        <f t="shared" ref="M67:M76" si="90">(G67+I67)*B67</f>
        <v>#REF!</v>
      </c>
      <c r="N67" s="293" t="str">
        <f t="shared" ref="N67:N76" si="91">M67-L67</f>
        <v>#REF!</v>
      </c>
      <c r="O67" s="32" t="str">
        <f t="shared" ref="O67:O76" si="92">IF(E67&lt;$M$1,"Low","High")</f>
        <v>#REF!</v>
      </c>
      <c r="P67" s="32"/>
      <c r="Q67" s="32"/>
    </row>
    <row r="68" ht="15.75" customHeight="1">
      <c r="A68" s="222" t="s">
        <v>513</v>
      </c>
      <c r="B68" s="293" t="str">
        <f t="shared" si="87"/>
        <v>#REF!</v>
      </c>
      <c r="C68" s="293" t="str">
        <f t="shared" ref="C68:F68" si="88">#REF!</f>
        <v>#REF!</v>
      </c>
      <c r="D68" s="525" t="str">
        <f t="shared" si="88"/>
        <v>#REF!</v>
      </c>
      <c r="E68" s="293" t="str">
        <f t="shared" si="88"/>
        <v>#REF!</v>
      </c>
      <c r="F68" s="159" t="str">
        <f t="shared" si="88"/>
        <v>#REF!</v>
      </c>
      <c r="G68" s="106"/>
      <c r="H68" s="158" t="str">
        <f t="shared" ref="H68:H76" si="94">G68/$G$77</f>
        <v>#DIV/0!</v>
      </c>
      <c r="I68" s="543"/>
      <c r="J68" s="158" t="str">
        <f t="shared" ref="J68:J76" si="95">I68/$I$77</f>
        <v>#DIV/0!</v>
      </c>
      <c r="K68" s="158" t="str">
        <f t="shared" ref="K68:K76" si="96">(G68+I68)/$J$77</f>
        <v>#DIV/0!</v>
      </c>
      <c r="L68" s="540" t="str">
        <f t="shared" si="89"/>
        <v>#REF!</v>
      </c>
      <c r="M68" s="293" t="str">
        <f t="shared" si="90"/>
        <v>#REF!</v>
      </c>
      <c r="N68" s="293" t="str">
        <f t="shared" si="91"/>
        <v>#REF!</v>
      </c>
      <c r="O68" s="32" t="str">
        <f t="shared" si="92"/>
        <v>#REF!</v>
      </c>
      <c r="P68" s="32"/>
      <c r="Q68" s="32"/>
    </row>
    <row r="69" ht="15.75" customHeight="1">
      <c r="A69" s="222" t="s">
        <v>524</v>
      </c>
      <c r="B69" s="293" t="str">
        <f t="shared" si="87"/>
        <v>#REF!</v>
      </c>
      <c r="C69" s="293" t="str">
        <f t="shared" ref="C69:F69" si="93">#REF!</f>
        <v>#REF!</v>
      </c>
      <c r="D69" s="525" t="str">
        <f t="shared" si="93"/>
        <v>#REF!</v>
      </c>
      <c r="E69" s="293" t="str">
        <f t="shared" si="93"/>
        <v>#REF!</v>
      </c>
      <c r="F69" s="159" t="str">
        <f t="shared" si="93"/>
        <v>#REF!</v>
      </c>
      <c r="G69" s="106"/>
      <c r="H69" s="158" t="str">
        <f t="shared" si="94"/>
        <v>#DIV/0!</v>
      </c>
      <c r="I69" s="543"/>
      <c r="J69" s="158" t="str">
        <f t="shared" si="95"/>
        <v>#DIV/0!</v>
      </c>
      <c r="K69" s="158" t="str">
        <f t="shared" si="96"/>
        <v>#DIV/0!</v>
      </c>
      <c r="L69" s="540" t="str">
        <f t="shared" si="89"/>
        <v>#REF!</v>
      </c>
      <c r="M69" s="293" t="str">
        <f t="shared" si="90"/>
        <v>#REF!</v>
      </c>
      <c r="N69" s="293" t="str">
        <f t="shared" si="91"/>
        <v>#REF!</v>
      </c>
      <c r="O69" s="32" t="str">
        <f t="shared" si="92"/>
        <v>#REF!</v>
      </c>
      <c r="P69" s="32"/>
      <c r="Q69" s="32"/>
    </row>
    <row r="70" ht="15.75" customHeight="1">
      <c r="A70" s="222" t="s">
        <v>528</v>
      </c>
      <c r="B70" s="293" t="str">
        <f t="shared" si="87"/>
        <v>#REF!</v>
      </c>
      <c r="C70" s="293" t="str">
        <f t="shared" ref="C70:F70" si="97">#REF!</f>
        <v>#REF!</v>
      </c>
      <c r="D70" s="525" t="str">
        <f t="shared" si="97"/>
        <v>#REF!</v>
      </c>
      <c r="E70" s="293" t="str">
        <f t="shared" si="97"/>
        <v>#REF!</v>
      </c>
      <c r="F70" s="159" t="str">
        <f t="shared" si="97"/>
        <v>#REF!</v>
      </c>
      <c r="G70" s="106"/>
      <c r="H70" s="158" t="str">
        <f t="shared" si="94"/>
        <v>#DIV/0!</v>
      </c>
      <c r="I70" s="543"/>
      <c r="J70" s="158" t="str">
        <f t="shared" si="95"/>
        <v>#DIV/0!</v>
      </c>
      <c r="K70" s="158" t="str">
        <f t="shared" si="96"/>
        <v>#DIV/0!</v>
      </c>
      <c r="L70" s="540" t="str">
        <f t="shared" si="89"/>
        <v>#REF!</v>
      </c>
      <c r="M70" s="293" t="str">
        <f t="shared" si="90"/>
        <v>#REF!</v>
      </c>
      <c r="N70" s="293" t="str">
        <f t="shared" si="91"/>
        <v>#REF!</v>
      </c>
      <c r="O70" s="32" t="str">
        <f t="shared" si="92"/>
        <v>#REF!</v>
      </c>
      <c r="P70" s="32"/>
      <c r="Q70" s="32"/>
    </row>
    <row r="71" ht="15.75" customHeight="1">
      <c r="A71" s="222" t="s">
        <v>534</v>
      </c>
      <c r="B71" s="293" t="str">
        <f t="shared" si="87"/>
        <v>#REF!</v>
      </c>
      <c r="C71" s="293" t="str">
        <f t="shared" ref="C71:F71" si="98">#REF!</f>
        <v>#REF!</v>
      </c>
      <c r="D71" s="525" t="str">
        <f t="shared" si="98"/>
        <v>#REF!</v>
      </c>
      <c r="E71" s="293" t="str">
        <f t="shared" si="98"/>
        <v>#REF!</v>
      </c>
      <c r="F71" s="159" t="str">
        <f t="shared" si="98"/>
        <v>#REF!</v>
      </c>
      <c r="G71" s="106"/>
      <c r="H71" s="158" t="str">
        <f t="shared" si="94"/>
        <v>#DIV/0!</v>
      </c>
      <c r="I71" s="543"/>
      <c r="J71" s="158" t="str">
        <f t="shared" si="95"/>
        <v>#DIV/0!</v>
      </c>
      <c r="K71" s="158" t="str">
        <f t="shared" si="96"/>
        <v>#DIV/0!</v>
      </c>
      <c r="L71" s="540" t="str">
        <f t="shared" si="89"/>
        <v>#REF!</v>
      </c>
      <c r="M71" s="293" t="str">
        <f t="shared" si="90"/>
        <v>#REF!</v>
      </c>
      <c r="N71" s="293" t="str">
        <f t="shared" si="91"/>
        <v>#REF!</v>
      </c>
      <c r="O71" s="32" t="str">
        <f t="shared" si="92"/>
        <v>#REF!</v>
      </c>
      <c r="P71" s="32"/>
      <c r="Q71" s="32"/>
    </row>
    <row r="72" ht="15.75" customHeight="1">
      <c r="A72" s="222" t="s">
        <v>537</v>
      </c>
      <c r="B72" s="293" t="str">
        <f t="shared" si="87"/>
        <v>#REF!</v>
      </c>
      <c r="C72" s="293" t="str">
        <f t="shared" ref="C72:F72" si="99">#REF!</f>
        <v>#REF!</v>
      </c>
      <c r="D72" s="525" t="str">
        <f t="shared" si="99"/>
        <v>#REF!</v>
      </c>
      <c r="E72" s="293" t="str">
        <f t="shared" si="99"/>
        <v>#REF!</v>
      </c>
      <c r="F72" s="159" t="str">
        <f t="shared" si="99"/>
        <v>#REF!</v>
      </c>
      <c r="G72" s="106"/>
      <c r="H72" s="158" t="str">
        <f t="shared" si="94"/>
        <v>#DIV/0!</v>
      </c>
      <c r="I72" s="543"/>
      <c r="J72" s="158" t="str">
        <f t="shared" si="95"/>
        <v>#DIV/0!</v>
      </c>
      <c r="K72" s="158" t="str">
        <f t="shared" si="96"/>
        <v>#DIV/0!</v>
      </c>
      <c r="L72" s="540" t="str">
        <f t="shared" si="89"/>
        <v>#REF!</v>
      </c>
      <c r="M72" s="293" t="str">
        <f t="shared" si="90"/>
        <v>#REF!</v>
      </c>
      <c r="N72" s="293" t="str">
        <f t="shared" si="91"/>
        <v>#REF!</v>
      </c>
      <c r="O72" s="32" t="str">
        <f t="shared" si="92"/>
        <v>#REF!</v>
      </c>
      <c r="P72" s="32"/>
      <c r="Q72" s="32"/>
    </row>
    <row r="73" ht="15.75" hidden="1" customHeight="1">
      <c r="A73" s="545" t="s">
        <v>1036</v>
      </c>
      <c r="B73" s="293" t="str">
        <f>'Cover D'!#REF!</f>
        <v>#ERROR!</v>
      </c>
      <c r="C73" s="293" t="str">
        <f>'Cover D'!#REF!</f>
        <v>#ERROR!</v>
      </c>
      <c r="D73" s="525" t="str">
        <f>'Cover D'!#REF!</f>
        <v>#ERROR!</v>
      </c>
      <c r="E73" s="293" t="str">
        <f>'Cover D'!#REF!</f>
        <v>#ERROR!</v>
      </c>
      <c r="F73" s="159" t="str">
        <f>'Cover D'!#REF!</f>
        <v>#ERROR!</v>
      </c>
      <c r="G73" s="106"/>
      <c r="H73" s="158" t="str">
        <f t="shared" si="94"/>
        <v>#DIV/0!</v>
      </c>
      <c r="I73" s="543"/>
      <c r="J73" s="158" t="str">
        <f t="shared" si="95"/>
        <v>#DIV/0!</v>
      </c>
      <c r="K73" s="158" t="str">
        <f t="shared" si="96"/>
        <v>#DIV/0!</v>
      </c>
      <c r="L73" s="540" t="str">
        <f t="shared" si="89"/>
        <v>#ERROR!</v>
      </c>
      <c r="M73" s="293" t="str">
        <f t="shared" si="90"/>
        <v>#ERROR!</v>
      </c>
      <c r="N73" s="293" t="str">
        <f t="shared" si="91"/>
        <v>#ERROR!</v>
      </c>
      <c r="O73" s="32" t="str">
        <f t="shared" si="92"/>
        <v>#ERROR!</v>
      </c>
      <c r="P73" s="32"/>
      <c r="Q73" s="32"/>
    </row>
    <row r="74" ht="15.75" customHeight="1">
      <c r="A74" s="222" t="s">
        <v>552</v>
      </c>
      <c r="B74" s="293" t="str">
        <f t="shared" ref="B74:F74" si="100">#REF!</f>
        <v>#REF!</v>
      </c>
      <c r="C74" s="293" t="str">
        <f t="shared" si="100"/>
        <v>#REF!</v>
      </c>
      <c r="D74" s="525" t="str">
        <f t="shared" si="100"/>
        <v>#REF!</v>
      </c>
      <c r="E74" s="293" t="str">
        <f t="shared" si="100"/>
        <v>#REF!</v>
      </c>
      <c r="F74" s="159" t="str">
        <f t="shared" si="100"/>
        <v>#REF!</v>
      </c>
      <c r="G74" s="106"/>
      <c r="H74" s="158" t="str">
        <f t="shared" si="94"/>
        <v>#DIV/0!</v>
      </c>
      <c r="I74" s="543"/>
      <c r="J74" s="158" t="str">
        <f t="shared" si="95"/>
        <v>#DIV/0!</v>
      </c>
      <c r="K74" s="158" t="str">
        <f t="shared" si="96"/>
        <v>#DIV/0!</v>
      </c>
      <c r="L74" s="540" t="str">
        <f t="shared" si="89"/>
        <v>#REF!</v>
      </c>
      <c r="M74" s="293" t="str">
        <f t="shared" si="90"/>
        <v>#REF!</v>
      </c>
      <c r="N74" s="293" t="str">
        <f t="shared" si="91"/>
        <v>#REF!</v>
      </c>
      <c r="O74" s="32" t="str">
        <f t="shared" si="92"/>
        <v>#REF!</v>
      </c>
      <c r="P74" s="32"/>
      <c r="Q74" s="32"/>
    </row>
    <row r="75" ht="15.75" customHeight="1">
      <c r="A75" s="222" t="s">
        <v>564</v>
      </c>
      <c r="B75" s="293" t="str">
        <f t="shared" ref="B75:F75" si="101">#REF!</f>
        <v>#REF!</v>
      </c>
      <c r="C75" s="293" t="str">
        <f t="shared" si="101"/>
        <v>#REF!</v>
      </c>
      <c r="D75" s="525" t="str">
        <f t="shared" si="101"/>
        <v>#REF!</v>
      </c>
      <c r="E75" s="293" t="str">
        <f t="shared" si="101"/>
        <v>#REF!</v>
      </c>
      <c r="F75" s="159" t="str">
        <f t="shared" si="101"/>
        <v>#REF!</v>
      </c>
      <c r="G75" s="106"/>
      <c r="H75" s="158" t="str">
        <f t="shared" si="94"/>
        <v>#DIV/0!</v>
      </c>
      <c r="I75" s="543"/>
      <c r="J75" s="158" t="str">
        <f t="shared" si="95"/>
        <v>#DIV/0!</v>
      </c>
      <c r="K75" s="158" t="str">
        <f t="shared" si="96"/>
        <v>#DIV/0!</v>
      </c>
      <c r="L75" s="540" t="str">
        <f t="shared" si="89"/>
        <v>#REF!</v>
      </c>
      <c r="M75" s="293" t="str">
        <f t="shared" si="90"/>
        <v>#REF!</v>
      </c>
      <c r="N75" s="293" t="str">
        <f t="shared" si="91"/>
        <v>#REF!</v>
      </c>
      <c r="O75" s="32" t="str">
        <f t="shared" si="92"/>
        <v>#REF!</v>
      </c>
      <c r="P75" s="32"/>
      <c r="Q75" s="32"/>
    </row>
    <row r="76" ht="15.75" customHeight="1">
      <c r="A76" s="222" t="s">
        <v>574</v>
      </c>
      <c r="B76" s="293" t="str">
        <f t="shared" ref="B76:F76" si="102">#REF!</f>
        <v>#REF!</v>
      </c>
      <c r="C76" s="293" t="str">
        <f t="shared" si="102"/>
        <v>#REF!</v>
      </c>
      <c r="D76" s="525" t="str">
        <f t="shared" si="102"/>
        <v>#REF!</v>
      </c>
      <c r="E76" s="293" t="str">
        <f t="shared" si="102"/>
        <v>#REF!</v>
      </c>
      <c r="F76" s="159" t="str">
        <f t="shared" si="102"/>
        <v>#REF!</v>
      </c>
      <c r="G76" s="548"/>
      <c r="H76" s="71" t="str">
        <f t="shared" si="94"/>
        <v>#DIV/0!</v>
      </c>
      <c r="I76" s="548"/>
      <c r="J76" s="71" t="str">
        <f t="shared" si="95"/>
        <v>#DIV/0!</v>
      </c>
      <c r="K76" s="71" t="str">
        <f t="shared" si="96"/>
        <v>#DIV/0!</v>
      </c>
      <c r="L76" s="549" t="str">
        <f t="shared" si="89"/>
        <v>#REF!</v>
      </c>
      <c r="M76" s="385" t="str">
        <f t="shared" si="90"/>
        <v>#REF!</v>
      </c>
      <c r="N76" s="385" t="str">
        <f t="shared" si="91"/>
        <v>#REF!</v>
      </c>
      <c r="O76" s="384" t="str">
        <f t="shared" si="92"/>
        <v>#REF!</v>
      </c>
      <c r="P76" s="32"/>
      <c r="Q76" s="32"/>
    </row>
    <row r="77" ht="15.75" customHeight="1">
      <c r="A77" s="222"/>
      <c r="B77" s="293"/>
      <c r="C77" s="293"/>
      <c r="D77" s="525"/>
      <c r="E77" s="525"/>
      <c r="F77" s="159"/>
      <c r="G77" s="106">
        <f>SUM(G68:G76)</f>
        <v>0</v>
      </c>
      <c r="H77" s="158"/>
      <c r="I77" s="543">
        <f>SUM(I68:I76)</f>
        <v>0</v>
      </c>
      <c r="J77" s="106">
        <f>G77+I77</f>
        <v>0</v>
      </c>
      <c r="K77" s="106"/>
      <c r="L77" s="540" t="str">
        <f t="shared" ref="L77:N77" si="103">SUM(L68:L76)</f>
        <v>#REF!</v>
      </c>
      <c r="M77" s="293" t="str">
        <f t="shared" si="103"/>
        <v>#REF!</v>
      </c>
      <c r="N77" s="293" t="str">
        <f t="shared" si="103"/>
        <v>#REF!</v>
      </c>
      <c r="O77" s="32"/>
      <c r="P77" s="32"/>
      <c r="Q77" s="32"/>
    </row>
    <row r="78" ht="15.75" customHeight="1">
      <c r="A78" s="222"/>
      <c r="B78" s="293"/>
      <c r="C78" s="293"/>
      <c r="D78" s="525"/>
      <c r="E78" s="525"/>
      <c r="F78" s="159"/>
      <c r="G78" s="106"/>
      <c r="H78" s="158"/>
      <c r="I78" s="543"/>
      <c r="J78" s="158"/>
      <c r="K78" s="158"/>
      <c r="L78" s="540"/>
      <c r="M78" s="293"/>
      <c r="N78" s="293"/>
      <c r="O78" s="32"/>
      <c r="P78" s="32"/>
      <c r="Q78" s="32"/>
    </row>
    <row r="79" ht="15.75" customHeight="1">
      <c r="A79" s="48" t="s">
        <v>626</v>
      </c>
      <c r="B79" s="525" t="str">
        <f>J91/$J$126</f>
        <v>#DIV/0!</v>
      </c>
      <c r="C79" s="293"/>
      <c r="D79" s="525"/>
      <c r="E79" s="525"/>
      <c r="F79" s="159"/>
      <c r="G79" s="538" t="str">
        <f>G91/$G$126</f>
        <v>#DIV/0!</v>
      </c>
      <c r="I79" s="538" t="str">
        <f>I91/$I$126</f>
        <v>#DIV/0!</v>
      </c>
      <c r="K79" s="539"/>
      <c r="L79" s="540"/>
      <c r="M79" s="293"/>
      <c r="N79" s="293"/>
      <c r="O79" s="32"/>
      <c r="P79" s="32"/>
      <c r="Q79" s="32"/>
    </row>
    <row r="80" ht="15.75" customHeight="1">
      <c r="A80" s="222" t="s">
        <v>628</v>
      </c>
      <c r="B80" s="293" t="str">
        <f t="shared" ref="B80:F80" si="104">#REF!</f>
        <v>#REF!</v>
      </c>
      <c r="C80" s="293" t="str">
        <f t="shared" si="104"/>
        <v>#REF!</v>
      </c>
      <c r="D80" s="525" t="str">
        <f t="shared" si="104"/>
        <v>#REF!</v>
      </c>
      <c r="E80" s="293" t="str">
        <f t="shared" si="104"/>
        <v>#REF!</v>
      </c>
      <c r="F80" s="159" t="str">
        <f t="shared" si="104"/>
        <v>#REF!</v>
      </c>
      <c r="G80" s="106"/>
      <c r="H80" s="158" t="str">
        <f t="shared" ref="H80:H90" si="106">G80/$G$91</f>
        <v>#DIV/0!</v>
      </c>
      <c r="I80" s="543"/>
      <c r="J80" s="158" t="str">
        <f t="shared" ref="J80:J90" si="107">I80/$I$91</f>
        <v>#DIV/0!</v>
      </c>
      <c r="K80" s="158" t="str">
        <f t="shared" ref="K80:K90" si="108">(G80+I80)/$J$91</f>
        <v>#DIV/0!</v>
      </c>
      <c r="L80" s="540" t="str">
        <f t="shared" ref="L80:L90" si="109">(G80+I80)*C80</f>
        <v>#REF!</v>
      </c>
      <c r="M80" s="293" t="str">
        <f t="shared" ref="M80:M90" si="110">(G80+I80)*B80</f>
        <v>#REF!</v>
      </c>
      <c r="N80" s="293" t="str">
        <f t="shared" ref="N80:N90" si="111">M80-L80</f>
        <v>#REF!</v>
      </c>
      <c r="O80" s="32" t="str">
        <f t="shared" ref="O80:O90" si="112">IF(E80&lt;$M$1,"Low","High")</f>
        <v>#REF!</v>
      </c>
      <c r="P80" s="32"/>
      <c r="Q80" s="32"/>
    </row>
    <row r="81" ht="15.75" customHeight="1">
      <c r="A81" s="222" t="s">
        <v>647</v>
      </c>
      <c r="B81" s="293" t="str">
        <f t="shared" ref="B81:F81" si="105">#REF!</f>
        <v>#REF!</v>
      </c>
      <c r="C81" s="293" t="str">
        <f t="shared" si="105"/>
        <v>#REF!</v>
      </c>
      <c r="D81" s="525" t="str">
        <f t="shared" si="105"/>
        <v>#REF!</v>
      </c>
      <c r="E81" s="293" t="str">
        <f t="shared" si="105"/>
        <v>#REF!</v>
      </c>
      <c r="F81" s="159" t="str">
        <f t="shared" si="105"/>
        <v>#REF!</v>
      </c>
      <c r="G81" s="106"/>
      <c r="H81" s="158" t="str">
        <f t="shared" si="106"/>
        <v>#DIV/0!</v>
      </c>
      <c r="I81" s="543"/>
      <c r="J81" s="158" t="str">
        <f t="shared" si="107"/>
        <v>#DIV/0!</v>
      </c>
      <c r="K81" s="158" t="str">
        <f t="shared" si="108"/>
        <v>#DIV/0!</v>
      </c>
      <c r="L81" s="540" t="str">
        <f t="shared" si="109"/>
        <v>#REF!</v>
      </c>
      <c r="M81" s="293" t="str">
        <f t="shared" si="110"/>
        <v>#REF!</v>
      </c>
      <c r="N81" s="293" t="str">
        <f t="shared" si="111"/>
        <v>#REF!</v>
      </c>
      <c r="O81" s="32" t="str">
        <f t="shared" si="112"/>
        <v>#REF!</v>
      </c>
      <c r="P81" s="32"/>
      <c r="Q81" s="32"/>
    </row>
    <row r="82" ht="15.75" customHeight="1">
      <c r="A82" s="222" t="s">
        <v>1277</v>
      </c>
      <c r="B82" s="293" t="str">
        <f t="shared" ref="B82:F82" si="113">#REF!</f>
        <v>#REF!</v>
      </c>
      <c r="C82" s="293" t="str">
        <f t="shared" si="113"/>
        <v>#REF!</v>
      </c>
      <c r="D82" s="525" t="str">
        <f t="shared" si="113"/>
        <v>#REF!</v>
      </c>
      <c r="E82" s="293" t="str">
        <f t="shared" si="113"/>
        <v>#REF!</v>
      </c>
      <c r="F82" s="159" t="str">
        <f t="shared" si="113"/>
        <v>#REF!</v>
      </c>
      <c r="G82" s="106"/>
      <c r="H82" s="158" t="str">
        <f t="shared" si="106"/>
        <v>#DIV/0!</v>
      </c>
      <c r="I82" s="543"/>
      <c r="J82" s="158" t="str">
        <f t="shared" si="107"/>
        <v>#DIV/0!</v>
      </c>
      <c r="K82" s="158" t="str">
        <f t="shared" si="108"/>
        <v>#DIV/0!</v>
      </c>
      <c r="L82" s="540" t="str">
        <f t="shared" si="109"/>
        <v>#REF!</v>
      </c>
      <c r="M82" s="293" t="str">
        <f t="shared" si="110"/>
        <v>#REF!</v>
      </c>
      <c r="N82" s="293" t="str">
        <f t="shared" si="111"/>
        <v>#REF!</v>
      </c>
      <c r="O82" s="32" t="str">
        <f t="shared" si="112"/>
        <v>#REF!</v>
      </c>
      <c r="P82" s="32"/>
      <c r="Q82" s="32"/>
    </row>
    <row r="83" ht="15.75" customHeight="1">
      <c r="A83" s="222" t="s">
        <v>544</v>
      </c>
      <c r="B83" s="293" t="str">
        <f t="shared" ref="B83:F83" si="114">#REF!</f>
        <v>#REF!</v>
      </c>
      <c r="C83" s="293" t="str">
        <f t="shared" si="114"/>
        <v>#REF!</v>
      </c>
      <c r="D83" s="525" t="str">
        <f t="shared" si="114"/>
        <v>#REF!</v>
      </c>
      <c r="E83" s="293" t="str">
        <f t="shared" si="114"/>
        <v>#REF!</v>
      </c>
      <c r="F83" s="159" t="str">
        <f t="shared" si="114"/>
        <v>#REF!</v>
      </c>
      <c r="G83" s="106"/>
      <c r="H83" s="158" t="str">
        <f t="shared" si="106"/>
        <v>#DIV/0!</v>
      </c>
      <c r="I83" s="543"/>
      <c r="J83" s="158" t="str">
        <f t="shared" si="107"/>
        <v>#DIV/0!</v>
      </c>
      <c r="K83" s="158" t="str">
        <f t="shared" si="108"/>
        <v>#DIV/0!</v>
      </c>
      <c r="L83" s="540" t="str">
        <f t="shared" si="109"/>
        <v>#REF!</v>
      </c>
      <c r="M83" s="293" t="str">
        <f t="shared" si="110"/>
        <v>#REF!</v>
      </c>
      <c r="N83" s="293" t="str">
        <f t="shared" si="111"/>
        <v>#REF!</v>
      </c>
      <c r="O83" s="32" t="str">
        <f t="shared" si="112"/>
        <v>#REF!</v>
      </c>
      <c r="P83" s="32"/>
      <c r="Q83" s="32"/>
    </row>
    <row r="84" ht="15.75" customHeight="1">
      <c r="A84" s="545" t="s">
        <v>528</v>
      </c>
      <c r="B84" s="293" t="str">
        <f t="shared" ref="B84:F84" si="115">#REF!</f>
        <v>#REF!</v>
      </c>
      <c r="C84" s="293" t="str">
        <f t="shared" si="115"/>
        <v>#REF!</v>
      </c>
      <c r="D84" s="525" t="str">
        <f t="shared" si="115"/>
        <v>#REF!</v>
      </c>
      <c r="E84" s="293" t="str">
        <f t="shared" si="115"/>
        <v>#REF!</v>
      </c>
      <c r="F84" s="159" t="str">
        <f t="shared" si="115"/>
        <v>#REF!</v>
      </c>
      <c r="G84" s="106"/>
      <c r="H84" s="158" t="str">
        <f t="shared" si="106"/>
        <v>#DIV/0!</v>
      </c>
      <c r="I84" s="543"/>
      <c r="J84" s="158" t="str">
        <f t="shared" si="107"/>
        <v>#DIV/0!</v>
      </c>
      <c r="K84" s="158" t="str">
        <f t="shared" si="108"/>
        <v>#DIV/0!</v>
      </c>
      <c r="L84" s="540" t="str">
        <f t="shared" si="109"/>
        <v>#REF!</v>
      </c>
      <c r="M84" s="293" t="str">
        <f t="shared" si="110"/>
        <v>#REF!</v>
      </c>
      <c r="N84" s="293" t="str">
        <f t="shared" si="111"/>
        <v>#REF!</v>
      </c>
      <c r="O84" s="32" t="str">
        <f t="shared" si="112"/>
        <v>#REF!</v>
      </c>
      <c r="P84" s="32"/>
      <c r="Q84" s="32"/>
    </row>
    <row r="85" ht="15.75" customHeight="1">
      <c r="A85" s="222" t="s">
        <v>146</v>
      </c>
      <c r="B85" s="293" t="str">
        <f t="shared" ref="B85:F85" si="116">#REF!</f>
        <v>#REF!</v>
      </c>
      <c r="C85" s="293" t="str">
        <f t="shared" si="116"/>
        <v>#REF!</v>
      </c>
      <c r="D85" s="525" t="str">
        <f t="shared" si="116"/>
        <v>#REF!</v>
      </c>
      <c r="E85" s="293" t="str">
        <f t="shared" si="116"/>
        <v>#REF!</v>
      </c>
      <c r="F85" s="159" t="str">
        <f t="shared" si="116"/>
        <v>#REF!</v>
      </c>
      <c r="G85" s="106"/>
      <c r="H85" s="158" t="str">
        <f t="shared" si="106"/>
        <v>#DIV/0!</v>
      </c>
      <c r="I85" s="543"/>
      <c r="J85" s="158" t="str">
        <f t="shared" si="107"/>
        <v>#DIV/0!</v>
      </c>
      <c r="K85" s="158" t="str">
        <f t="shared" si="108"/>
        <v>#DIV/0!</v>
      </c>
      <c r="L85" s="540" t="str">
        <f t="shared" si="109"/>
        <v>#REF!</v>
      </c>
      <c r="M85" s="293" t="str">
        <f t="shared" si="110"/>
        <v>#REF!</v>
      </c>
      <c r="N85" s="293" t="str">
        <f t="shared" si="111"/>
        <v>#REF!</v>
      </c>
      <c r="O85" s="32" t="str">
        <f t="shared" si="112"/>
        <v>#REF!</v>
      </c>
      <c r="P85" s="32"/>
      <c r="Q85" s="32"/>
    </row>
    <row r="86" ht="15.75" customHeight="1">
      <c r="A86" s="545" t="s">
        <v>1157</v>
      </c>
      <c r="B86" s="293" t="str">
        <f t="shared" ref="B86:F86" si="117">#REF!</f>
        <v>#REF!</v>
      </c>
      <c r="C86" s="293" t="str">
        <f t="shared" si="117"/>
        <v>#REF!</v>
      </c>
      <c r="D86" s="525" t="str">
        <f t="shared" si="117"/>
        <v>#REF!</v>
      </c>
      <c r="E86" s="293" t="str">
        <f t="shared" si="117"/>
        <v>#REF!</v>
      </c>
      <c r="F86" s="159" t="str">
        <f t="shared" si="117"/>
        <v>#REF!</v>
      </c>
      <c r="G86" s="106"/>
      <c r="H86" s="158" t="str">
        <f t="shared" si="106"/>
        <v>#DIV/0!</v>
      </c>
      <c r="I86" s="543"/>
      <c r="J86" s="158" t="str">
        <f t="shared" si="107"/>
        <v>#DIV/0!</v>
      </c>
      <c r="K86" s="158" t="str">
        <f t="shared" si="108"/>
        <v>#DIV/0!</v>
      </c>
      <c r="L86" s="540" t="str">
        <f t="shared" si="109"/>
        <v>#REF!</v>
      </c>
      <c r="M86" s="293" t="str">
        <f t="shared" si="110"/>
        <v>#REF!</v>
      </c>
      <c r="N86" s="293" t="str">
        <f t="shared" si="111"/>
        <v>#REF!</v>
      </c>
      <c r="O86" s="32" t="str">
        <f t="shared" si="112"/>
        <v>#REF!</v>
      </c>
      <c r="P86" s="32"/>
      <c r="Q86" s="32"/>
    </row>
    <row r="87" ht="15.75" customHeight="1">
      <c r="A87" s="222" t="s">
        <v>677</v>
      </c>
      <c r="B87" s="293" t="str">
        <f t="shared" ref="B87:F87" si="118">#REF!</f>
        <v>#REF!</v>
      </c>
      <c r="C87" s="293" t="str">
        <f t="shared" si="118"/>
        <v>#REF!</v>
      </c>
      <c r="D87" s="525" t="str">
        <f t="shared" si="118"/>
        <v>#REF!</v>
      </c>
      <c r="E87" s="293" t="str">
        <f t="shared" si="118"/>
        <v>#REF!</v>
      </c>
      <c r="F87" s="159" t="str">
        <f t="shared" si="118"/>
        <v>#REF!</v>
      </c>
      <c r="G87" s="106"/>
      <c r="H87" s="158" t="str">
        <f t="shared" si="106"/>
        <v>#DIV/0!</v>
      </c>
      <c r="I87" s="543"/>
      <c r="J87" s="158" t="str">
        <f t="shared" si="107"/>
        <v>#DIV/0!</v>
      </c>
      <c r="K87" s="158" t="str">
        <f t="shared" si="108"/>
        <v>#DIV/0!</v>
      </c>
      <c r="L87" s="540" t="str">
        <f t="shared" si="109"/>
        <v>#REF!</v>
      </c>
      <c r="M87" s="293" t="str">
        <f t="shared" si="110"/>
        <v>#REF!</v>
      </c>
      <c r="N87" s="293" t="str">
        <f t="shared" si="111"/>
        <v>#REF!</v>
      </c>
      <c r="O87" s="32" t="str">
        <f t="shared" si="112"/>
        <v>#REF!</v>
      </c>
      <c r="P87" s="32"/>
      <c r="Q87" s="32"/>
    </row>
    <row r="88" ht="15.75" customHeight="1">
      <c r="A88" s="222" t="s">
        <v>679</v>
      </c>
      <c r="B88" s="293" t="str">
        <f t="shared" ref="B88:F88" si="119">#REF!</f>
        <v>#REF!</v>
      </c>
      <c r="C88" s="293" t="str">
        <f t="shared" si="119"/>
        <v>#REF!</v>
      </c>
      <c r="D88" s="525" t="str">
        <f t="shared" si="119"/>
        <v>#REF!</v>
      </c>
      <c r="E88" s="293" t="str">
        <f t="shared" si="119"/>
        <v>#REF!</v>
      </c>
      <c r="F88" s="159" t="str">
        <f t="shared" si="119"/>
        <v>#REF!</v>
      </c>
      <c r="G88" s="106"/>
      <c r="H88" s="158" t="str">
        <f t="shared" si="106"/>
        <v>#DIV/0!</v>
      </c>
      <c r="I88" s="543"/>
      <c r="J88" s="158" t="str">
        <f t="shared" si="107"/>
        <v>#DIV/0!</v>
      </c>
      <c r="K88" s="158" t="str">
        <f t="shared" si="108"/>
        <v>#DIV/0!</v>
      </c>
      <c r="L88" s="540" t="str">
        <f t="shared" si="109"/>
        <v>#REF!</v>
      </c>
      <c r="M88" s="293" t="str">
        <f t="shared" si="110"/>
        <v>#REF!</v>
      </c>
      <c r="N88" s="293" t="str">
        <f t="shared" si="111"/>
        <v>#REF!</v>
      </c>
      <c r="O88" s="32" t="str">
        <f t="shared" si="112"/>
        <v>#REF!</v>
      </c>
      <c r="P88" s="32"/>
      <c r="Q88" s="32"/>
    </row>
    <row r="89" ht="15.75" customHeight="1">
      <c r="A89" s="222" t="s">
        <v>1510</v>
      </c>
      <c r="B89" s="293" t="str">
        <f>'Cover D'!#REF!</f>
        <v>#ERROR!</v>
      </c>
      <c r="C89" s="293" t="str">
        <f>'Cover D'!#REF!</f>
        <v>#ERROR!</v>
      </c>
      <c r="D89" s="525" t="str">
        <f>'Cover D'!#REF!</f>
        <v>#ERROR!</v>
      </c>
      <c r="E89" s="293" t="str">
        <f>'Cover D'!#REF!</f>
        <v>#ERROR!</v>
      </c>
      <c r="F89" s="159" t="str">
        <f>'Cover D'!#REF!</f>
        <v>#ERROR!</v>
      </c>
      <c r="G89" s="106"/>
      <c r="H89" s="158" t="str">
        <f t="shared" si="106"/>
        <v>#DIV/0!</v>
      </c>
      <c r="I89" s="543"/>
      <c r="J89" s="158" t="str">
        <f t="shared" si="107"/>
        <v>#DIV/0!</v>
      </c>
      <c r="K89" s="158" t="str">
        <f t="shared" si="108"/>
        <v>#DIV/0!</v>
      </c>
      <c r="L89" s="540" t="str">
        <f t="shared" si="109"/>
        <v>#ERROR!</v>
      </c>
      <c r="M89" s="293" t="str">
        <f t="shared" si="110"/>
        <v>#ERROR!</v>
      </c>
      <c r="N89" s="293" t="str">
        <f t="shared" si="111"/>
        <v>#ERROR!</v>
      </c>
      <c r="O89" s="32" t="str">
        <f t="shared" si="112"/>
        <v>#ERROR!</v>
      </c>
      <c r="P89" s="32"/>
      <c r="Q89" s="32"/>
    </row>
    <row r="90" ht="15.75" customHeight="1">
      <c r="A90" s="222" t="s">
        <v>1071</v>
      </c>
      <c r="B90" s="293" t="str">
        <f>#REF!</f>
        <v>#REF!</v>
      </c>
      <c r="C90" s="293"/>
      <c r="D90" s="525"/>
      <c r="E90" s="293" t="str">
        <f>'Cover D'!#REF!</f>
        <v>#ERROR!</v>
      </c>
      <c r="F90" s="159" t="str">
        <f>#REF!</f>
        <v>#REF!</v>
      </c>
      <c r="G90" s="548"/>
      <c r="H90" s="71" t="str">
        <f t="shared" si="106"/>
        <v>#DIV/0!</v>
      </c>
      <c r="I90" s="548"/>
      <c r="J90" s="71" t="str">
        <f t="shared" si="107"/>
        <v>#DIV/0!</v>
      </c>
      <c r="K90" s="71" t="str">
        <f t="shared" si="108"/>
        <v>#DIV/0!</v>
      </c>
      <c r="L90" s="549">
        <f t="shared" si="109"/>
        <v>0</v>
      </c>
      <c r="M90" s="385" t="str">
        <f t="shared" si="110"/>
        <v>#REF!</v>
      </c>
      <c r="N90" s="385" t="str">
        <f t="shared" si="111"/>
        <v>#REF!</v>
      </c>
      <c r="O90" s="384" t="str">
        <f t="shared" si="112"/>
        <v>#ERROR!</v>
      </c>
      <c r="P90" s="32"/>
      <c r="Q90" s="32"/>
    </row>
    <row r="91" ht="15.75" customHeight="1">
      <c r="A91" s="222"/>
      <c r="B91" s="293"/>
      <c r="C91" s="293"/>
      <c r="D91" s="525"/>
      <c r="E91" s="525"/>
      <c r="F91" s="159"/>
      <c r="G91" s="106">
        <f>SUM(G80:G90)</f>
        <v>0</v>
      </c>
      <c r="H91" s="158"/>
      <c r="I91" s="543">
        <f>SUM(I80:I90)</f>
        <v>0</v>
      </c>
      <c r="J91" s="106">
        <f>G91+I91</f>
        <v>0</v>
      </c>
      <c r="K91" s="106"/>
      <c r="L91" s="540" t="str">
        <f t="shared" ref="L91:N91" si="120">SUM(L80:L90)</f>
        <v>#REF!</v>
      </c>
      <c r="M91" s="293" t="str">
        <f t="shared" si="120"/>
        <v>#REF!</v>
      </c>
      <c r="N91" s="293" t="str">
        <f t="shared" si="120"/>
        <v>#REF!</v>
      </c>
      <c r="O91" s="32"/>
      <c r="P91" s="32"/>
      <c r="Q91" s="32"/>
    </row>
    <row r="92" ht="15.75" customHeight="1">
      <c r="A92" s="222"/>
      <c r="B92" s="293"/>
      <c r="C92" s="293"/>
      <c r="D92" s="525"/>
      <c r="E92" s="525"/>
      <c r="F92" s="159"/>
      <c r="G92" s="106"/>
      <c r="H92" s="158"/>
      <c r="I92" s="543"/>
      <c r="J92" s="158"/>
      <c r="K92" s="158"/>
      <c r="L92" s="540"/>
      <c r="M92" s="293"/>
      <c r="N92" s="293"/>
      <c r="O92" s="32"/>
      <c r="P92" s="32"/>
      <c r="Q92" s="32"/>
    </row>
    <row r="93" ht="15.75" customHeight="1">
      <c r="A93" s="48" t="s">
        <v>705</v>
      </c>
      <c r="B93" s="525" t="str">
        <f>J106/$J$126</f>
        <v>#DIV/0!</v>
      </c>
      <c r="C93" s="293"/>
      <c r="D93" s="525"/>
      <c r="E93" s="525"/>
      <c r="F93" s="159"/>
      <c r="G93" s="538" t="str">
        <f>G106/$G$126</f>
        <v>#DIV/0!</v>
      </c>
      <c r="I93" s="538" t="str">
        <f>I106/$I$126</f>
        <v>#DIV/0!</v>
      </c>
      <c r="K93" s="539"/>
      <c r="L93" s="540"/>
      <c r="M93" s="293"/>
      <c r="N93" s="293"/>
      <c r="O93" s="32"/>
      <c r="P93" s="32"/>
      <c r="Q93" s="32"/>
    </row>
    <row r="94" ht="15.75" customHeight="1">
      <c r="A94" s="222" t="s">
        <v>709</v>
      </c>
      <c r="B94" s="293" t="str">
        <f t="shared" ref="B94:F94" si="121">#REF!</f>
        <v>#REF!</v>
      </c>
      <c r="C94" s="293" t="str">
        <f t="shared" si="121"/>
        <v>#REF!</v>
      </c>
      <c r="D94" s="525" t="str">
        <f t="shared" si="121"/>
        <v>#REF!</v>
      </c>
      <c r="E94" s="293" t="str">
        <f t="shared" si="121"/>
        <v>#REF!</v>
      </c>
      <c r="F94" s="159" t="str">
        <f t="shared" si="121"/>
        <v>#REF!</v>
      </c>
      <c r="G94" s="106"/>
      <c r="H94" s="158" t="str">
        <f t="shared" ref="H94:H105" si="123">G94/$G$106</f>
        <v>#DIV/0!</v>
      </c>
      <c r="I94" s="543"/>
      <c r="J94" s="158" t="str">
        <f t="shared" ref="J94:J105" si="124">I94/$I$106</f>
        <v>#DIV/0!</v>
      </c>
      <c r="K94" s="158" t="str">
        <f t="shared" ref="K94:K105" si="125">(G94+I94)/$J$106</f>
        <v>#DIV/0!</v>
      </c>
      <c r="L94" s="540" t="str">
        <f t="shared" ref="L94:L105" si="126">(G94+I94)*C94</f>
        <v>#REF!</v>
      </c>
      <c r="M94" s="293" t="str">
        <f t="shared" ref="M94:M105" si="127">(G94+I94)*B94</f>
        <v>#REF!</v>
      </c>
      <c r="N94" s="293" t="str">
        <f t="shared" ref="N94:N105" si="128">M94-L94</f>
        <v>#REF!</v>
      </c>
      <c r="O94" s="32" t="str">
        <f t="shared" ref="O94:O105" si="129">IF(E94&lt;$M$1,"Low","High")</f>
        <v>#REF!</v>
      </c>
      <c r="P94" s="32"/>
      <c r="Q94" s="32"/>
    </row>
    <row r="95" ht="15.75" customHeight="1">
      <c r="A95" s="222" t="s">
        <v>722</v>
      </c>
      <c r="B95" s="293" t="str">
        <f t="shared" ref="B95:F95" si="122">#REF!</f>
        <v>#REF!</v>
      </c>
      <c r="C95" s="293" t="str">
        <f t="shared" si="122"/>
        <v>#REF!</v>
      </c>
      <c r="D95" s="525" t="str">
        <f t="shared" si="122"/>
        <v>#REF!</v>
      </c>
      <c r="E95" s="293" t="str">
        <f t="shared" si="122"/>
        <v>#REF!</v>
      </c>
      <c r="F95" s="159" t="str">
        <f t="shared" si="122"/>
        <v>#REF!</v>
      </c>
      <c r="G95" s="106"/>
      <c r="H95" s="158" t="str">
        <f t="shared" si="123"/>
        <v>#DIV/0!</v>
      </c>
      <c r="I95" s="543"/>
      <c r="J95" s="158" t="str">
        <f t="shared" si="124"/>
        <v>#DIV/0!</v>
      </c>
      <c r="K95" s="158" t="str">
        <f t="shared" si="125"/>
        <v>#DIV/0!</v>
      </c>
      <c r="L95" s="540" t="str">
        <f t="shared" si="126"/>
        <v>#REF!</v>
      </c>
      <c r="M95" s="293" t="str">
        <f t="shared" si="127"/>
        <v>#REF!</v>
      </c>
      <c r="N95" s="293" t="str">
        <f t="shared" si="128"/>
        <v>#REF!</v>
      </c>
      <c r="O95" s="32" t="str">
        <f t="shared" si="129"/>
        <v>#REF!</v>
      </c>
      <c r="P95" s="32"/>
      <c r="Q95" s="32"/>
    </row>
    <row r="96" ht="15.75" customHeight="1">
      <c r="A96" s="222" t="s">
        <v>672</v>
      </c>
      <c r="B96" s="293" t="str">
        <f t="shared" ref="B96:F96" si="130">#REF!</f>
        <v>#REF!</v>
      </c>
      <c r="C96" s="293" t="str">
        <f t="shared" si="130"/>
        <v>#REF!</v>
      </c>
      <c r="D96" s="525" t="str">
        <f t="shared" si="130"/>
        <v>#REF!</v>
      </c>
      <c r="E96" s="293" t="str">
        <f t="shared" si="130"/>
        <v>#REF!</v>
      </c>
      <c r="F96" s="159" t="str">
        <f t="shared" si="130"/>
        <v>#REF!</v>
      </c>
      <c r="G96" s="106"/>
      <c r="H96" s="158" t="str">
        <f t="shared" si="123"/>
        <v>#DIV/0!</v>
      </c>
      <c r="I96" s="543"/>
      <c r="J96" s="158" t="str">
        <f t="shared" si="124"/>
        <v>#DIV/0!</v>
      </c>
      <c r="K96" s="158" t="str">
        <f t="shared" si="125"/>
        <v>#DIV/0!</v>
      </c>
      <c r="L96" s="540" t="str">
        <f t="shared" si="126"/>
        <v>#REF!</v>
      </c>
      <c r="M96" s="293" t="str">
        <f t="shared" si="127"/>
        <v>#REF!</v>
      </c>
      <c r="N96" s="293" t="str">
        <f t="shared" si="128"/>
        <v>#REF!</v>
      </c>
      <c r="O96" s="32" t="str">
        <f t="shared" si="129"/>
        <v>#REF!</v>
      </c>
      <c r="P96" s="32"/>
      <c r="Q96" s="32"/>
    </row>
    <row r="97" ht="15.75" customHeight="1">
      <c r="A97" s="222" t="s">
        <v>731</v>
      </c>
      <c r="B97" s="293" t="str">
        <f t="shared" ref="B97:F97" si="131">#REF!</f>
        <v>#REF!</v>
      </c>
      <c r="C97" s="293" t="str">
        <f t="shared" si="131"/>
        <v>#REF!</v>
      </c>
      <c r="D97" s="525" t="str">
        <f t="shared" si="131"/>
        <v>#REF!</v>
      </c>
      <c r="E97" s="293" t="str">
        <f t="shared" si="131"/>
        <v>#REF!</v>
      </c>
      <c r="F97" s="159" t="str">
        <f t="shared" si="131"/>
        <v>#REF!</v>
      </c>
      <c r="G97" s="106"/>
      <c r="H97" s="158" t="str">
        <f t="shared" si="123"/>
        <v>#DIV/0!</v>
      </c>
      <c r="I97" s="543"/>
      <c r="J97" s="158" t="str">
        <f t="shared" si="124"/>
        <v>#DIV/0!</v>
      </c>
      <c r="K97" s="158" t="str">
        <f t="shared" si="125"/>
        <v>#DIV/0!</v>
      </c>
      <c r="L97" s="540" t="str">
        <f t="shared" si="126"/>
        <v>#REF!</v>
      </c>
      <c r="M97" s="293" t="str">
        <f t="shared" si="127"/>
        <v>#REF!</v>
      </c>
      <c r="N97" s="293" t="str">
        <f t="shared" si="128"/>
        <v>#REF!</v>
      </c>
      <c r="O97" s="32" t="str">
        <f t="shared" si="129"/>
        <v>#REF!</v>
      </c>
      <c r="P97" s="32"/>
      <c r="Q97" s="32"/>
    </row>
    <row r="98" ht="15.75" customHeight="1">
      <c r="A98" s="222" t="s">
        <v>444</v>
      </c>
      <c r="B98" s="293" t="str">
        <f t="shared" ref="B98:F98" si="132">#REF!</f>
        <v>#REF!</v>
      </c>
      <c r="C98" s="293" t="str">
        <f t="shared" si="132"/>
        <v>#REF!</v>
      </c>
      <c r="D98" s="525" t="str">
        <f t="shared" si="132"/>
        <v>#REF!</v>
      </c>
      <c r="E98" s="293" t="str">
        <f t="shared" si="132"/>
        <v>#REF!</v>
      </c>
      <c r="F98" s="159" t="str">
        <f t="shared" si="132"/>
        <v>#REF!</v>
      </c>
      <c r="G98" s="106"/>
      <c r="H98" s="158" t="str">
        <f t="shared" si="123"/>
        <v>#DIV/0!</v>
      </c>
      <c r="I98" s="543"/>
      <c r="J98" s="158" t="str">
        <f t="shared" si="124"/>
        <v>#DIV/0!</v>
      </c>
      <c r="K98" s="158" t="str">
        <f t="shared" si="125"/>
        <v>#DIV/0!</v>
      </c>
      <c r="L98" s="540" t="str">
        <f t="shared" si="126"/>
        <v>#REF!</v>
      </c>
      <c r="M98" s="293" t="str">
        <f t="shared" si="127"/>
        <v>#REF!</v>
      </c>
      <c r="N98" s="293" t="str">
        <f t="shared" si="128"/>
        <v>#REF!</v>
      </c>
      <c r="O98" s="32" t="str">
        <f t="shared" si="129"/>
        <v>#REF!</v>
      </c>
      <c r="P98" s="32"/>
      <c r="Q98" s="32"/>
    </row>
    <row r="99" ht="15.75" customHeight="1">
      <c r="A99" s="222" t="s">
        <v>741</v>
      </c>
      <c r="B99" s="293" t="str">
        <f t="shared" ref="B99:F99" si="133">#REF!</f>
        <v>#REF!</v>
      </c>
      <c r="C99" s="293" t="str">
        <f t="shared" si="133"/>
        <v>#REF!</v>
      </c>
      <c r="D99" s="525" t="str">
        <f t="shared" si="133"/>
        <v>#REF!</v>
      </c>
      <c r="E99" s="293" t="str">
        <f t="shared" si="133"/>
        <v>#REF!</v>
      </c>
      <c r="F99" s="159" t="str">
        <f t="shared" si="133"/>
        <v>#REF!</v>
      </c>
      <c r="G99" s="106"/>
      <c r="H99" s="158" t="str">
        <f t="shared" si="123"/>
        <v>#DIV/0!</v>
      </c>
      <c r="I99" s="543"/>
      <c r="J99" s="158" t="str">
        <f t="shared" si="124"/>
        <v>#DIV/0!</v>
      </c>
      <c r="K99" s="158" t="str">
        <f t="shared" si="125"/>
        <v>#DIV/0!</v>
      </c>
      <c r="L99" s="540" t="str">
        <f t="shared" si="126"/>
        <v>#REF!</v>
      </c>
      <c r="M99" s="293" t="str">
        <f t="shared" si="127"/>
        <v>#REF!</v>
      </c>
      <c r="N99" s="293" t="str">
        <f t="shared" si="128"/>
        <v>#REF!</v>
      </c>
      <c r="O99" s="32" t="str">
        <f t="shared" si="129"/>
        <v>#REF!</v>
      </c>
      <c r="P99" s="32"/>
      <c r="Q99" s="32"/>
    </row>
    <row r="100" ht="15.75" customHeight="1">
      <c r="A100" s="222" t="s">
        <v>747</v>
      </c>
      <c r="B100" s="293" t="str">
        <f t="shared" ref="B100:F100" si="134">#REF!</f>
        <v>#REF!</v>
      </c>
      <c r="C100" s="293" t="str">
        <f t="shared" si="134"/>
        <v>#REF!</v>
      </c>
      <c r="D100" s="525" t="str">
        <f t="shared" si="134"/>
        <v>#REF!</v>
      </c>
      <c r="E100" s="293" t="str">
        <f t="shared" si="134"/>
        <v>#REF!</v>
      </c>
      <c r="F100" s="159" t="str">
        <f t="shared" si="134"/>
        <v>#REF!</v>
      </c>
      <c r="G100" s="106"/>
      <c r="H100" s="158" t="str">
        <f t="shared" si="123"/>
        <v>#DIV/0!</v>
      </c>
      <c r="I100" s="543"/>
      <c r="J100" s="158" t="str">
        <f t="shared" si="124"/>
        <v>#DIV/0!</v>
      </c>
      <c r="K100" s="158" t="str">
        <f t="shared" si="125"/>
        <v>#DIV/0!</v>
      </c>
      <c r="L100" s="540" t="str">
        <f t="shared" si="126"/>
        <v>#REF!</v>
      </c>
      <c r="M100" s="293" t="str">
        <f t="shared" si="127"/>
        <v>#REF!</v>
      </c>
      <c r="N100" s="293" t="str">
        <f t="shared" si="128"/>
        <v>#REF!</v>
      </c>
      <c r="O100" s="32" t="str">
        <f t="shared" si="129"/>
        <v>#REF!</v>
      </c>
      <c r="P100" s="32"/>
      <c r="Q100" s="32"/>
    </row>
    <row r="101" ht="15.75" customHeight="1">
      <c r="A101" s="222" t="s">
        <v>752</v>
      </c>
      <c r="B101" s="293" t="str">
        <f t="shared" ref="B101:F101" si="135">#REF!</f>
        <v>#REF!</v>
      </c>
      <c r="C101" s="293" t="str">
        <f t="shared" si="135"/>
        <v>#REF!</v>
      </c>
      <c r="D101" s="525" t="str">
        <f t="shared" si="135"/>
        <v>#REF!</v>
      </c>
      <c r="E101" s="293" t="str">
        <f t="shared" si="135"/>
        <v>#REF!</v>
      </c>
      <c r="F101" s="159" t="str">
        <f t="shared" si="135"/>
        <v>#REF!</v>
      </c>
      <c r="G101" s="106"/>
      <c r="H101" s="158" t="str">
        <f t="shared" si="123"/>
        <v>#DIV/0!</v>
      </c>
      <c r="I101" s="543"/>
      <c r="J101" s="158" t="str">
        <f t="shared" si="124"/>
        <v>#DIV/0!</v>
      </c>
      <c r="K101" s="158" t="str">
        <f t="shared" si="125"/>
        <v>#DIV/0!</v>
      </c>
      <c r="L101" s="540" t="str">
        <f t="shared" si="126"/>
        <v>#REF!</v>
      </c>
      <c r="M101" s="293" t="str">
        <f t="shared" si="127"/>
        <v>#REF!</v>
      </c>
      <c r="N101" s="293" t="str">
        <f t="shared" si="128"/>
        <v>#REF!</v>
      </c>
      <c r="O101" s="32" t="str">
        <f t="shared" si="129"/>
        <v>#REF!</v>
      </c>
      <c r="P101" s="32"/>
      <c r="Q101" s="32"/>
    </row>
    <row r="102" ht="15.75" customHeight="1">
      <c r="A102" s="222" t="s">
        <v>255</v>
      </c>
      <c r="B102" s="293" t="str">
        <f t="shared" ref="B102:F102" si="136">#REF!</f>
        <v>#REF!</v>
      </c>
      <c r="C102" s="293" t="str">
        <f t="shared" si="136"/>
        <v>#REF!</v>
      </c>
      <c r="D102" s="525" t="str">
        <f t="shared" si="136"/>
        <v>#REF!</v>
      </c>
      <c r="E102" s="293" t="str">
        <f t="shared" si="136"/>
        <v>#REF!</v>
      </c>
      <c r="F102" s="159" t="str">
        <f t="shared" si="136"/>
        <v>#REF!</v>
      </c>
      <c r="G102" s="106"/>
      <c r="H102" s="158" t="str">
        <f t="shared" si="123"/>
        <v>#DIV/0!</v>
      </c>
      <c r="I102" s="543"/>
      <c r="J102" s="158" t="str">
        <f t="shared" si="124"/>
        <v>#DIV/0!</v>
      </c>
      <c r="K102" s="158" t="str">
        <f t="shared" si="125"/>
        <v>#DIV/0!</v>
      </c>
      <c r="L102" s="540" t="str">
        <f t="shared" si="126"/>
        <v>#REF!</v>
      </c>
      <c r="M102" s="293" t="str">
        <f t="shared" si="127"/>
        <v>#REF!</v>
      </c>
      <c r="N102" s="293" t="str">
        <f t="shared" si="128"/>
        <v>#REF!</v>
      </c>
      <c r="O102" s="32" t="str">
        <f t="shared" si="129"/>
        <v>#REF!</v>
      </c>
      <c r="P102" s="32"/>
      <c r="Q102" s="32"/>
    </row>
    <row r="103" ht="15.75" customHeight="1">
      <c r="A103" s="222" t="s">
        <v>763</v>
      </c>
      <c r="B103" s="293" t="str">
        <f t="shared" ref="B103:F103" si="137">#REF!</f>
        <v>#REF!</v>
      </c>
      <c r="C103" s="293" t="str">
        <f t="shared" si="137"/>
        <v>#REF!</v>
      </c>
      <c r="D103" s="525" t="str">
        <f t="shared" si="137"/>
        <v>#REF!</v>
      </c>
      <c r="E103" s="293" t="str">
        <f t="shared" si="137"/>
        <v>#REF!</v>
      </c>
      <c r="F103" s="159" t="str">
        <f t="shared" si="137"/>
        <v>#REF!</v>
      </c>
      <c r="G103" s="106"/>
      <c r="H103" s="158" t="str">
        <f t="shared" si="123"/>
        <v>#DIV/0!</v>
      </c>
      <c r="I103" s="543"/>
      <c r="J103" s="158" t="str">
        <f t="shared" si="124"/>
        <v>#DIV/0!</v>
      </c>
      <c r="K103" s="158" t="str">
        <f t="shared" si="125"/>
        <v>#DIV/0!</v>
      </c>
      <c r="L103" s="540" t="str">
        <f t="shared" si="126"/>
        <v>#REF!</v>
      </c>
      <c r="M103" s="293" t="str">
        <f t="shared" si="127"/>
        <v>#REF!</v>
      </c>
      <c r="N103" s="293" t="str">
        <f t="shared" si="128"/>
        <v>#REF!</v>
      </c>
      <c r="O103" s="32" t="str">
        <f t="shared" si="129"/>
        <v>#REF!</v>
      </c>
      <c r="P103" s="32"/>
      <c r="Q103" s="32"/>
    </row>
    <row r="104" ht="15.75" customHeight="1">
      <c r="A104" s="222" t="s">
        <v>185</v>
      </c>
      <c r="B104" s="293" t="str">
        <f t="shared" ref="B104:F104" si="138">#REF!</f>
        <v>#REF!</v>
      </c>
      <c r="C104" s="293" t="str">
        <f t="shared" si="138"/>
        <v>#REF!</v>
      </c>
      <c r="D104" s="525" t="str">
        <f t="shared" si="138"/>
        <v>#REF!</v>
      </c>
      <c r="E104" s="293" t="str">
        <f t="shared" si="138"/>
        <v>#REF!</v>
      </c>
      <c r="F104" s="159" t="str">
        <f t="shared" si="138"/>
        <v>#REF!</v>
      </c>
      <c r="G104" s="106"/>
      <c r="H104" s="158" t="str">
        <f t="shared" si="123"/>
        <v>#DIV/0!</v>
      </c>
      <c r="I104" s="543"/>
      <c r="J104" s="158" t="str">
        <f t="shared" si="124"/>
        <v>#DIV/0!</v>
      </c>
      <c r="K104" s="158" t="str">
        <f t="shared" si="125"/>
        <v>#DIV/0!</v>
      </c>
      <c r="L104" s="540" t="str">
        <f t="shared" si="126"/>
        <v>#REF!</v>
      </c>
      <c r="M104" s="293" t="str">
        <f t="shared" si="127"/>
        <v>#REF!</v>
      </c>
      <c r="N104" s="293" t="str">
        <f t="shared" si="128"/>
        <v>#REF!</v>
      </c>
      <c r="O104" s="32" t="str">
        <f t="shared" si="129"/>
        <v>#REF!</v>
      </c>
      <c r="P104" s="32"/>
      <c r="Q104" s="32"/>
    </row>
    <row r="105" ht="15.75" customHeight="1">
      <c r="A105" s="222" t="s">
        <v>432</v>
      </c>
      <c r="B105" s="293" t="str">
        <f t="shared" ref="B105:F105" si="139">#REF!</f>
        <v>#REF!</v>
      </c>
      <c r="C105" s="293" t="str">
        <f t="shared" si="139"/>
        <v>#REF!</v>
      </c>
      <c r="D105" s="525" t="str">
        <f t="shared" si="139"/>
        <v>#REF!</v>
      </c>
      <c r="E105" s="293" t="str">
        <f t="shared" si="139"/>
        <v>#REF!</v>
      </c>
      <c r="F105" s="159" t="str">
        <f t="shared" si="139"/>
        <v>#REF!</v>
      </c>
      <c r="G105" s="548"/>
      <c r="H105" s="71" t="str">
        <f t="shared" si="123"/>
        <v>#DIV/0!</v>
      </c>
      <c r="I105" s="548"/>
      <c r="J105" s="71" t="str">
        <f t="shared" si="124"/>
        <v>#DIV/0!</v>
      </c>
      <c r="K105" s="71" t="str">
        <f t="shared" si="125"/>
        <v>#DIV/0!</v>
      </c>
      <c r="L105" s="549" t="str">
        <f t="shared" si="126"/>
        <v>#REF!</v>
      </c>
      <c r="M105" s="385" t="str">
        <f t="shared" si="127"/>
        <v>#REF!</v>
      </c>
      <c r="N105" s="385" t="str">
        <f t="shared" si="128"/>
        <v>#REF!</v>
      </c>
      <c r="O105" s="384" t="str">
        <f t="shared" si="129"/>
        <v>#REF!</v>
      </c>
      <c r="P105" s="32"/>
      <c r="Q105" s="32"/>
    </row>
    <row r="106" ht="15.75" customHeight="1">
      <c r="A106" s="222"/>
      <c r="B106" s="293"/>
      <c r="C106" s="293"/>
      <c r="D106" s="525"/>
      <c r="E106" s="525"/>
      <c r="F106" s="159"/>
      <c r="G106" s="106">
        <f>SUM(G94:G105)</f>
        <v>0</v>
      </c>
      <c r="H106" s="158"/>
      <c r="I106" s="543">
        <f>SUM(I94:I105)</f>
        <v>0</v>
      </c>
      <c r="J106" s="106">
        <f>G106+I106</f>
        <v>0</v>
      </c>
      <c r="K106" s="106"/>
      <c r="L106" s="540" t="str">
        <f t="shared" ref="L106:N106" si="140">SUM(L94:L105)</f>
        <v>#REF!</v>
      </c>
      <c r="M106" s="293" t="str">
        <f t="shared" si="140"/>
        <v>#REF!</v>
      </c>
      <c r="N106" s="293" t="str">
        <f t="shared" si="140"/>
        <v>#REF!</v>
      </c>
      <c r="O106" s="32"/>
      <c r="P106" s="32"/>
      <c r="Q106" s="32"/>
    </row>
    <row r="107" ht="15.75" customHeight="1">
      <c r="A107" s="222"/>
      <c r="B107" s="293"/>
      <c r="C107" s="293"/>
      <c r="D107" s="525"/>
      <c r="E107" s="525"/>
      <c r="F107" s="159"/>
      <c r="G107" s="106"/>
      <c r="H107" s="158"/>
      <c r="I107" s="543"/>
      <c r="J107" s="158"/>
      <c r="K107" s="158"/>
      <c r="L107" s="540"/>
      <c r="M107" s="293"/>
      <c r="N107" s="293"/>
      <c r="O107" s="32"/>
      <c r="P107" s="32"/>
      <c r="Q107" s="32"/>
    </row>
    <row r="108" ht="15.75" customHeight="1">
      <c r="A108" s="48" t="s">
        <v>798</v>
      </c>
      <c r="B108" s="525" t="str">
        <f>J115/$J$126</f>
        <v>#DIV/0!</v>
      </c>
      <c r="C108" s="293"/>
      <c r="D108" s="525"/>
      <c r="E108" s="525"/>
      <c r="F108" s="159"/>
      <c r="G108" s="538" t="str">
        <f>G115/$G$126</f>
        <v>#DIV/0!</v>
      </c>
      <c r="I108" s="538" t="str">
        <f>I115/$I$126</f>
        <v>#DIV/0!</v>
      </c>
      <c r="K108" s="539"/>
      <c r="L108" s="540"/>
      <c r="M108" s="293"/>
      <c r="N108" s="293"/>
      <c r="O108" s="32"/>
      <c r="P108" s="32"/>
      <c r="Q108" s="32"/>
    </row>
    <row r="109" ht="15.75" customHeight="1">
      <c r="A109" s="222" t="s">
        <v>799</v>
      </c>
      <c r="B109" s="293" t="str">
        <f t="shared" ref="B109:F109" si="141">#REF!</f>
        <v>#REF!</v>
      </c>
      <c r="C109" s="293" t="str">
        <f t="shared" si="141"/>
        <v>#REF!</v>
      </c>
      <c r="D109" s="525" t="str">
        <f t="shared" si="141"/>
        <v>#REF!</v>
      </c>
      <c r="E109" s="293" t="str">
        <f t="shared" si="141"/>
        <v>#REF!</v>
      </c>
      <c r="F109" s="159" t="str">
        <f t="shared" si="141"/>
        <v>#REF!</v>
      </c>
      <c r="G109" s="106"/>
      <c r="H109" s="158" t="str">
        <f t="shared" ref="H109:H114" si="143">G109/$G$115</f>
        <v>#DIV/0!</v>
      </c>
      <c r="I109" s="543"/>
      <c r="J109" s="158" t="str">
        <f t="shared" ref="J109:J114" si="144">I109/$I$115</f>
        <v>#DIV/0!</v>
      </c>
      <c r="K109" s="158" t="str">
        <f t="shared" ref="K109:K114" si="145">(G109+I109)/$J$115</f>
        <v>#DIV/0!</v>
      </c>
      <c r="L109" s="540" t="str">
        <f t="shared" ref="L109:L114" si="146">(G109+I109)*C109</f>
        <v>#REF!</v>
      </c>
      <c r="M109" s="293" t="str">
        <f t="shared" ref="M109:M114" si="147">(G109+I109)*B109</f>
        <v>#REF!</v>
      </c>
      <c r="N109" s="293" t="str">
        <f t="shared" ref="N109:N114" si="148">M109-L109</f>
        <v>#REF!</v>
      </c>
      <c r="O109" s="32" t="str">
        <f t="shared" ref="O109:O114" si="149">IF(E109&lt;$M$1,"Low","High")</f>
        <v>#REF!</v>
      </c>
      <c r="P109" s="32"/>
      <c r="Q109" s="32"/>
    </row>
    <row r="110" ht="15.75" customHeight="1">
      <c r="A110" s="222" t="s">
        <v>800</v>
      </c>
      <c r="B110" s="293" t="str">
        <f t="shared" ref="B110:F110" si="142">#REF!</f>
        <v>#REF!</v>
      </c>
      <c r="C110" s="293" t="str">
        <f t="shared" si="142"/>
        <v>#REF!</v>
      </c>
      <c r="D110" s="525" t="str">
        <f t="shared" si="142"/>
        <v>#REF!</v>
      </c>
      <c r="E110" s="293" t="str">
        <f t="shared" si="142"/>
        <v>#REF!</v>
      </c>
      <c r="F110" s="159" t="str">
        <f t="shared" si="142"/>
        <v>#REF!</v>
      </c>
      <c r="G110" s="106"/>
      <c r="H110" s="158" t="str">
        <f t="shared" si="143"/>
        <v>#DIV/0!</v>
      </c>
      <c r="I110" s="543"/>
      <c r="J110" s="158" t="str">
        <f t="shared" si="144"/>
        <v>#DIV/0!</v>
      </c>
      <c r="K110" s="158" t="str">
        <f t="shared" si="145"/>
        <v>#DIV/0!</v>
      </c>
      <c r="L110" s="540" t="str">
        <f t="shared" si="146"/>
        <v>#REF!</v>
      </c>
      <c r="M110" s="293" t="str">
        <f t="shared" si="147"/>
        <v>#REF!</v>
      </c>
      <c r="N110" s="293" t="str">
        <f t="shared" si="148"/>
        <v>#REF!</v>
      </c>
      <c r="O110" s="32" t="str">
        <f t="shared" si="149"/>
        <v>#REF!</v>
      </c>
      <c r="P110" s="32"/>
      <c r="Q110" s="32"/>
    </row>
    <row r="111" ht="15.75" customHeight="1">
      <c r="A111" s="222" t="s">
        <v>804</v>
      </c>
      <c r="B111" s="293" t="str">
        <f t="shared" ref="B111:F111" si="150">#REF!</f>
        <v>#REF!</v>
      </c>
      <c r="C111" s="293" t="str">
        <f t="shared" si="150"/>
        <v>#REF!</v>
      </c>
      <c r="D111" s="525" t="str">
        <f t="shared" si="150"/>
        <v>#REF!</v>
      </c>
      <c r="E111" s="293" t="str">
        <f t="shared" si="150"/>
        <v>#REF!</v>
      </c>
      <c r="F111" s="159" t="str">
        <f t="shared" si="150"/>
        <v>#REF!</v>
      </c>
      <c r="G111" s="106"/>
      <c r="H111" s="158" t="str">
        <f t="shared" si="143"/>
        <v>#DIV/0!</v>
      </c>
      <c r="I111" s="543"/>
      <c r="J111" s="158" t="str">
        <f t="shared" si="144"/>
        <v>#DIV/0!</v>
      </c>
      <c r="K111" s="158" t="str">
        <f t="shared" si="145"/>
        <v>#DIV/0!</v>
      </c>
      <c r="L111" s="540" t="str">
        <f t="shared" si="146"/>
        <v>#REF!</v>
      </c>
      <c r="M111" s="293" t="str">
        <f t="shared" si="147"/>
        <v>#REF!</v>
      </c>
      <c r="N111" s="293" t="str">
        <f t="shared" si="148"/>
        <v>#REF!</v>
      </c>
      <c r="O111" s="32" t="str">
        <f t="shared" si="149"/>
        <v>#REF!</v>
      </c>
      <c r="P111" s="32"/>
      <c r="Q111" s="32"/>
    </row>
    <row r="112" ht="15.75" customHeight="1">
      <c r="A112" s="222" t="s">
        <v>805</v>
      </c>
      <c r="B112" s="293" t="str">
        <f t="shared" ref="B112:F112" si="151">#REF!</f>
        <v>#REF!</v>
      </c>
      <c r="C112" s="293" t="str">
        <f t="shared" si="151"/>
        <v>#REF!</v>
      </c>
      <c r="D112" s="525" t="str">
        <f t="shared" si="151"/>
        <v>#REF!</v>
      </c>
      <c r="E112" s="293" t="str">
        <f t="shared" si="151"/>
        <v>#REF!</v>
      </c>
      <c r="F112" s="159" t="str">
        <f t="shared" si="151"/>
        <v>#REF!</v>
      </c>
      <c r="G112" s="106"/>
      <c r="H112" s="158" t="str">
        <f t="shared" si="143"/>
        <v>#DIV/0!</v>
      </c>
      <c r="I112" s="543"/>
      <c r="J112" s="158" t="str">
        <f t="shared" si="144"/>
        <v>#DIV/0!</v>
      </c>
      <c r="K112" s="158" t="str">
        <f t="shared" si="145"/>
        <v>#DIV/0!</v>
      </c>
      <c r="L112" s="540" t="str">
        <f t="shared" si="146"/>
        <v>#REF!</v>
      </c>
      <c r="M112" s="293" t="str">
        <f t="shared" si="147"/>
        <v>#REF!</v>
      </c>
      <c r="N112" s="293" t="str">
        <f t="shared" si="148"/>
        <v>#REF!</v>
      </c>
      <c r="O112" s="32" t="str">
        <f t="shared" si="149"/>
        <v>#REF!</v>
      </c>
      <c r="P112" s="32"/>
      <c r="Q112" s="32"/>
    </row>
    <row r="113" ht="15.75" customHeight="1">
      <c r="A113" s="222" t="s">
        <v>807</v>
      </c>
      <c r="B113" s="293" t="str">
        <f t="shared" ref="B113:F113" si="152">#REF!</f>
        <v>#REF!</v>
      </c>
      <c r="C113" s="293" t="str">
        <f t="shared" si="152"/>
        <v>#REF!</v>
      </c>
      <c r="D113" s="525" t="str">
        <f t="shared" si="152"/>
        <v>#REF!</v>
      </c>
      <c r="E113" s="293" t="str">
        <f t="shared" si="152"/>
        <v>#REF!</v>
      </c>
      <c r="F113" s="159" t="str">
        <f t="shared" si="152"/>
        <v>#REF!</v>
      </c>
      <c r="G113" s="106"/>
      <c r="H113" s="158" t="str">
        <f t="shared" si="143"/>
        <v>#DIV/0!</v>
      </c>
      <c r="I113" s="543"/>
      <c r="J113" s="158" t="str">
        <f t="shared" si="144"/>
        <v>#DIV/0!</v>
      </c>
      <c r="K113" s="158" t="str">
        <f t="shared" si="145"/>
        <v>#DIV/0!</v>
      </c>
      <c r="L113" s="540" t="str">
        <f t="shared" si="146"/>
        <v>#REF!</v>
      </c>
      <c r="M113" s="293" t="str">
        <f t="shared" si="147"/>
        <v>#REF!</v>
      </c>
      <c r="N113" s="293" t="str">
        <f t="shared" si="148"/>
        <v>#REF!</v>
      </c>
      <c r="O113" s="32" t="str">
        <f t="shared" si="149"/>
        <v>#REF!</v>
      </c>
      <c r="P113" s="32"/>
      <c r="Q113" s="32"/>
    </row>
    <row r="114" ht="15.75" customHeight="1">
      <c r="A114" s="222" t="s">
        <v>334</v>
      </c>
      <c r="B114" s="293" t="str">
        <f t="shared" ref="B114:F114" si="153">#REF!</f>
        <v>#REF!</v>
      </c>
      <c r="C114" s="293" t="str">
        <f t="shared" si="153"/>
        <v>#REF!</v>
      </c>
      <c r="D114" s="525" t="str">
        <f t="shared" si="153"/>
        <v>#REF!</v>
      </c>
      <c r="E114" s="293" t="str">
        <f t="shared" si="153"/>
        <v>#REF!</v>
      </c>
      <c r="F114" s="159" t="str">
        <f t="shared" si="153"/>
        <v>#REF!</v>
      </c>
      <c r="G114" s="548"/>
      <c r="H114" s="71" t="str">
        <f t="shared" si="143"/>
        <v>#DIV/0!</v>
      </c>
      <c r="I114" s="548"/>
      <c r="J114" s="71" t="str">
        <f t="shared" si="144"/>
        <v>#DIV/0!</v>
      </c>
      <c r="K114" s="71" t="str">
        <f t="shared" si="145"/>
        <v>#DIV/0!</v>
      </c>
      <c r="L114" s="549" t="str">
        <f t="shared" si="146"/>
        <v>#REF!</v>
      </c>
      <c r="M114" s="385" t="str">
        <f t="shared" si="147"/>
        <v>#REF!</v>
      </c>
      <c r="N114" s="385" t="str">
        <f t="shared" si="148"/>
        <v>#REF!</v>
      </c>
      <c r="O114" s="384" t="str">
        <f t="shared" si="149"/>
        <v>#REF!</v>
      </c>
      <c r="P114" s="32"/>
      <c r="Q114" s="32"/>
    </row>
    <row r="115" ht="15.75" customHeight="1">
      <c r="A115" s="222"/>
      <c r="B115" s="293"/>
      <c r="C115" s="293"/>
      <c r="D115" s="525"/>
      <c r="E115" s="525"/>
      <c r="F115" s="159"/>
      <c r="G115" s="106">
        <f>SUM(G109:G114)</f>
        <v>0</v>
      </c>
      <c r="H115" s="158"/>
      <c r="I115" s="543">
        <f>SUM(I109:I114)</f>
        <v>0</v>
      </c>
      <c r="J115" s="106">
        <f>G115+I115</f>
        <v>0</v>
      </c>
      <c r="K115" s="106"/>
      <c r="L115" s="540" t="str">
        <f t="shared" ref="L115:N115" si="154">SUM(L109:L114)</f>
        <v>#REF!</v>
      </c>
      <c r="M115" s="293" t="str">
        <f t="shared" si="154"/>
        <v>#REF!</v>
      </c>
      <c r="N115" s="293" t="str">
        <f t="shared" si="154"/>
        <v>#REF!</v>
      </c>
      <c r="O115" s="32"/>
      <c r="P115" s="32"/>
      <c r="Q115" s="32"/>
    </row>
    <row r="116" ht="15.75" customHeight="1">
      <c r="A116" s="222"/>
      <c r="B116" s="293"/>
      <c r="C116" s="293"/>
      <c r="D116" s="525"/>
      <c r="E116" s="525"/>
      <c r="F116" s="159"/>
      <c r="G116" s="106"/>
      <c r="H116" s="158"/>
      <c r="I116" s="543"/>
      <c r="J116" s="158"/>
      <c r="K116" s="158"/>
      <c r="L116" s="540"/>
      <c r="M116" s="293"/>
      <c r="N116" s="293"/>
      <c r="O116" s="32"/>
      <c r="P116" s="32"/>
      <c r="Q116" s="32"/>
    </row>
    <row r="117" ht="15.75" customHeight="1">
      <c r="A117" s="48" t="s">
        <v>844</v>
      </c>
      <c r="B117" s="525" t="str">
        <f>J125/$J$126</f>
        <v>#DIV/0!</v>
      </c>
      <c r="C117" s="293"/>
      <c r="D117" s="525"/>
      <c r="E117" s="525"/>
      <c r="F117" s="159"/>
      <c r="G117" s="538" t="str">
        <f>G125/$G$126</f>
        <v>#DIV/0!</v>
      </c>
      <c r="I117" s="538" t="str">
        <f>I125/$I$126</f>
        <v>#DIV/0!</v>
      </c>
      <c r="K117" s="539"/>
      <c r="L117" s="540"/>
      <c r="M117" s="293"/>
      <c r="N117" s="293"/>
      <c r="O117" s="32"/>
      <c r="P117" s="32"/>
      <c r="Q117" s="32"/>
    </row>
    <row r="118" ht="15.75" customHeight="1">
      <c r="A118" s="32" t="s">
        <v>846</v>
      </c>
      <c r="B118" s="293" t="str">
        <f t="shared" ref="B118:F118" si="155">#REF!</f>
        <v>#REF!</v>
      </c>
      <c r="C118" s="293" t="str">
        <f t="shared" si="155"/>
        <v>#REF!</v>
      </c>
      <c r="D118" s="525" t="str">
        <f t="shared" si="155"/>
        <v>#REF!</v>
      </c>
      <c r="E118" s="293" t="str">
        <f t="shared" si="155"/>
        <v>#REF!</v>
      </c>
      <c r="F118" s="159" t="str">
        <f t="shared" si="155"/>
        <v>#REF!</v>
      </c>
      <c r="G118" s="106"/>
      <c r="H118" s="158" t="str">
        <f t="shared" ref="H118:H124" si="157">G118/$G$125</f>
        <v>#DIV/0!</v>
      </c>
      <c r="I118" s="543"/>
      <c r="J118" s="158" t="str">
        <f t="shared" ref="J118:J124" si="158">I118/$I$125</f>
        <v>#DIV/0!</v>
      </c>
      <c r="K118" s="158" t="str">
        <f t="shared" ref="K118:K124" si="159">(G118+I118)/$J$125</f>
        <v>#DIV/0!</v>
      </c>
      <c r="L118" s="540" t="str">
        <f t="shared" ref="L118:L124" si="160">(G118+I118)*C118</f>
        <v>#REF!</v>
      </c>
      <c r="M118" s="293" t="str">
        <f t="shared" ref="M118:M124" si="161">(G118+I118)*B118</f>
        <v>#REF!</v>
      </c>
      <c r="N118" s="293" t="str">
        <f t="shared" ref="N118:N124" si="162">M118-L118</f>
        <v>#REF!</v>
      </c>
      <c r="O118" s="32" t="str">
        <f t="shared" ref="O118:O124" si="163">IF(E118&lt;$M$1,"Low","High")</f>
        <v>#REF!</v>
      </c>
      <c r="P118" s="32"/>
      <c r="Q118" s="32"/>
    </row>
    <row r="119" ht="15.75" customHeight="1">
      <c r="A119" s="32" t="s">
        <v>851</v>
      </c>
      <c r="B119" s="293" t="str">
        <f t="shared" ref="B119:F119" si="156">#REF!</f>
        <v>#REF!</v>
      </c>
      <c r="C119" s="293" t="str">
        <f t="shared" si="156"/>
        <v>#REF!</v>
      </c>
      <c r="D119" s="525" t="str">
        <f t="shared" si="156"/>
        <v>#REF!</v>
      </c>
      <c r="E119" s="293" t="str">
        <f t="shared" si="156"/>
        <v>#REF!</v>
      </c>
      <c r="F119" s="159" t="str">
        <f t="shared" si="156"/>
        <v>#REF!</v>
      </c>
      <c r="G119" s="106"/>
      <c r="H119" s="158" t="str">
        <f t="shared" si="157"/>
        <v>#DIV/0!</v>
      </c>
      <c r="I119" s="543"/>
      <c r="J119" s="158" t="str">
        <f t="shared" si="158"/>
        <v>#DIV/0!</v>
      </c>
      <c r="K119" s="158" t="str">
        <f t="shared" si="159"/>
        <v>#DIV/0!</v>
      </c>
      <c r="L119" s="540" t="str">
        <f t="shared" si="160"/>
        <v>#REF!</v>
      </c>
      <c r="M119" s="293" t="str">
        <f t="shared" si="161"/>
        <v>#REF!</v>
      </c>
      <c r="N119" s="293" t="str">
        <f t="shared" si="162"/>
        <v>#REF!</v>
      </c>
      <c r="O119" s="32" t="str">
        <f t="shared" si="163"/>
        <v>#REF!</v>
      </c>
      <c r="P119" s="32"/>
      <c r="Q119" s="32"/>
    </row>
    <row r="120" ht="15.75" customHeight="1">
      <c r="A120" s="32" t="s">
        <v>854</v>
      </c>
      <c r="B120" s="293" t="str">
        <f t="shared" ref="B120:F120" si="164">#REF!</f>
        <v>#REF!</v>
      </c>
      <c r="C120" s="293" t="str">
        <f t="shared" si="164"/>
        <v>#REF!</v>
      </c>
      <c r="D120" s="525" t="str">
        <f t="shared" si="164"/>
        <v>#REF!</v>
      </c>
      <c r="E120" s="293" t="str">
        <f t="shared" si="164"/>
        <v>#REF!</v>
      </c>
      <c r="F120" s="159" t="str">
        <f t="shared" si="164"/>
        <v>#REF!</v>
      </c>
      <c r="G120" s="106"/>
      <c r="H120" s="158" t="str">
        <f t="shared" si="157"/>
        <v>#DIV/0!</v>
      </c>
      <c r="I120" s="543"/>
      <c r="J120" s="158" t="str">
        <f t="shared" si="158"/>
        <v>#DIV/0!</v>
      </c>
      <c r="K120" s="158" t="str">
        <f t="shared" si="159"/>
        <v>#DIV/0!</v>
      </c>
      <c r="L120" s="540" t="str">
        <f t="shared" si="160"/>
        <v>#REF!</v>
      </c>
      <c r="M120" s="293" t="str">
        <f t="shared" si="161"/>
        <v>#REF!</v>
      </c>
      <c r="N120" s="293" t="str">
        <f t="shared" si="162"/>
        <v>#REF!</v>
      </c>
      <c r="O120" s="32" t="str">
        <f t="shared" si="163"/>
        <v>#REF!</v>
      </c>
      <c r="P120" s="32"/>
      <c r="Q120" s="32"/>
    </row>
    <row r="121" ht="15.75" customHeight="1">
      <c r="A121" s="32" t="s">
        <v>858</v>
      </c>
      <c r="B121" s="293" t="str">
        <f t="shared" ref="B121:F121" si="165">#REF!</f>
        <v>#REF!</v>
      </c>
      <c r="C121" s="293" t="str">
        <f t="shared" si="165"/>
        <v>#REF!</v>
      </c>
      <c r="D121" s="525" t="str">
        <f t="shared" si="165"/>
        <v>#REF!</v>
      </c>
      <c r="E121" s="293" t="str">
        <f t="shared" si="165"/>
        <v>#REF!</v>
      </c>
      <c r="F121" s="159" t="str">
        <f t="shared" si="165"/>
        <v>#REF!</v>
      </c>
      <c r="G121" s="106"/>
      <c r="H121" s="158" t="str">
        <f t="shared" si="157"/>
        <v>#DIV/0!</v>
      </c>
      <c r="I121" s="543"/>
      <c r="J121" s="158" t="str">
        <f t="shared" si="158"/>
        <v>#DIV/0!</v>
      </c>
      <c r="K121" s="158" t="str">
        <f t="shared" si="159"/>
        <v>#DIV/0!</v>
      </c>
      <c r="L121" s="540" t="str">
        <f t="shared" si="160"/>
        <v>#REF!</v>
      </c>
      <c r="M121" s="293" t="str">
        <f t="shared" si="161"/>
        <v>#REF!</v>
      </c>
      <c r="N121" s="293" t="str">
        <f t="shared" si="162"/>
        <v>#REF!</v>
      </c>
      <c r="O121" s="32" t="str">
        <f t="shared" si="163"/>
        <v>#REF!</v>
      </c>
      <c r="P121" s="32"/>
      <c r="Q121" s="32"/>
    </row>
    <row r="122" ht="15.75" customHeight="1">
      <c r="A122" s="32" t="s">
        <v>868</v>
      </c>
      <c r="B122" s="293" t="str">
        <f t="shared" ref="B122:F122" si="166">#REF!</f>
        <v>#REF!</v>
      </c>
      <c r="C122" s="293" t="str">
        <f t="shared" si="166"/>
        <v>#REF!</v>
      </c>
      <c r="D122" s="525" t="str">
        <f t="shared" si="166"/>
        <v>#REF!</v>
      </c>
      <c r="E122" s="293" t="str">
        <f t="shared" si="166"/>
        <v>#REF!</v>
      </c>
      <c r="F122" s="159" t="str">
        <f t="shared" si="166"/>
        <v>#REF!</v>
      </c>
      <c r="G122" s="106"/>
      <c r="H122" s="158" t="str">
        <f t="shared" si="157"/>
        <v>#DIV/0!</v>
      </c>
      <c r="I122" s="543"/>
      <c r="J122" s="158" t="str">
        <f t="shared" si="158"/>
        <v>#DIV/0!</v>
      </c>
      <c r="K122" s="158" t="str">
        <f t="shared" si="159"/>
        <v>#DIV/0!</v>
      </c>
      <c r="L122" s="540" t="str">
        <f t="shared" si="160"/>
        <v>#REF!</v>
      </c>
      <c r="M122" s="293" t="str">
        <f t="shared" si="161"/>
        <v>#REF!</v>
      </c>
      <c r="N122" s="293" t="str">
        <f t="shared" si="162"/>
        <v>#REF!</v>
      </c>
      <c r="O122" s="32" t="str">
        <f t="shared" si="163"/>
        <v>#REF!</v>
      </c>
      <c r="P122" s="32"/>
      <c r="Q122" s="32"/>
    </row>
    <row r="123" ht="15.75" customHeight="1">
      <c r="A123" s="32" t="s">
        <v>870</v>
      </c>
      <c r="B123" s="293" t="str">
        <f t="shared" ref="B123:F123" si="167">#REF!</f>
        <v>#REF!</v>
      </c>
      <c r="C123" s="293" t="str">
        <f t="shared" si="167"/>
        <v>#REF!</v>
      </c>
      <c r="D123" s="525" t="str">
        <f t="shared" si="167"/>
        <v>#REF!</v>
      </c>
      <c r="E123" s="293" t="str">
        <f t="shared" si="167"/>
        <v>#REF!</v>
      </c>
      <c r="F123" s="159" t="str">
        <f t="shared" si="167"/>
        <v>#REF!</v>
      </c>
      <c r="G123" s="106"/>
      <c r="H123" s="158" t="str">
        <f t="shared" si="157"/>
        <v>#DIV/0!</v>
      </c>
      <c r="I123" s="543"/>
      <c r="J123" s="158" t="str">
        <f t="shared" si="158"/>
        <v>#DIV/0!</v>
      </c>
      <c r="K123" s="158" t="str">
        <f t="shared" si="159"/>
        <v>#DIV/0!</v>
      </c>
      <c r="L123" s="540" t="str">
        <f t="shared" si="160"/>
        <v>#REF!</v>
      </c>
      <c r="M123" s="293" t="str">
        <f t="shared" si="161"/>
        <v>#REF!</v>
      </c>
      <c r="N123" s="293" t="str">
        <f t="shared" si="162"/>
        <v>#REF!</v>
      </c>
      <c r="O123" s="32" t="str">
        <f t="shared" si="163"/>
        <v>#REF!</v>
      </c>
      <c r="P123" s="32"/>
      <c r="Q123" s="32"/>
    </row>
    <row r="124" ht="15.75" customHeight="1">
      <c r="A124" s="32" t="s">
        <v>874</v>
      </c>
      <c r="B124" s="293" t="str">
        <f t="shared" ref="B124:F124" si="168">#REF!</f>
        <v>#REF!</v>
      </c>
      <c r="C124" s="293" t="str">
        <f t="shared" si="168"/>
        <v>#REF!</v>
      </c>
      <c r="D124" s="525" t="str">
        <f t="shared" si="168"/>
        <v>#REF!</v>
      </c>
      <c r="E124" s="293" t="str">
        <f t="shared" si="168"/>
        <v>#REF!</v>
      </c>
      <c r="F124" s="159" t="str">
        <f t="shared" si="168"/>
        <v>#REF!</v>
      </c>
      <c r="G124" s="543"/>
      <c r="H124" s="158" t="str">
        <f t="shared" si="157"/>
        <v>#DIV/0!</v>
      </c>
      <c r="I124" s="543"/>
      <c r="J124" s="158" t="str">
        <f t="shared" si="158"/>
        <v>#DIV/0!</v>
      </c>
      <c r="K124" s="158" t="str">
        <f t="shared" si="159"/>
        <v>#DIV/0!</v>
      </c>
      <c r="L124" s="540" t="str">
        <f t="shared" si="160"/>
        <v>#REF!</v>
      </c>
      <c r="M124" s="293" t="str">
        <f t="shared" si="161"/>
        <v>#REF!</v>
      </c>
      <c r="N124" s="293" t="str">
        <f t="shared" si="162"/>
        <v>#REF!</v>
      </c>
      <c r="O124" s="32" t="str">
        <f t="shared" si="163"/>
        <v>#REF!</v>
      </c>
      <c r="P124" s="32"/>
      <c r="Q124" s="32"/>
    </row>
    <row r="125" ht="15.75" customHeight="1">
      <c r="A125" s="32"/>
      <c r="B125" s="293"/>
      <c r="C125" s="293"/>
      <c r="D125" s="525"/>
      <c r="E125" s="525"/>
      <c r="F125" s="159"/>
      <c r="G125" s="553">
        <f>SUM(G118:G124)</f>
        <v>0</v>
      </c>
      <c r="H125" s="554"/>
      <c r="I125" s="553">
        <f>SUM(I118:I124)</f>
        <v>0</v>
      </c>
      <c r="J125" s="555">
        <f t="shared" ref="J125:J126" si="170">G125+I125</f>
        <v>0</v>
      </c>
      <c r="K125" s="555"/>
      <c r="L125" s="556" t="str">
        <f t="shared" ref="L125:N125" si="169">SUM(L118:L124)</f>
        <v>#REF!</v>
      </c>
      <c r="M125" s="390" t="str">
        <f t="shared" si="169"/>
        <v>#REF!</v>
      </c>
      <c r="N125" s="390" t="str">
        <f t="shared" si="169"/>
        <v>#REF!</v>
      </c>
      <c r="O125" s="557"/>
      <c r="P125" s="32"/>
      <c r="Q125" s="32"/>
    </row>
    <row r="126" ht="15.75" customHeight="1">
      <c r="A126" s="32"/>
      <c r="B126" s="293"/>
      <c r="C126" s="293"/>
      <c r="D126" s="525"/>
      <c r="E126" s="525"/>
      <c r="F126" s="159"/>
      <c r="G126" s="106">
        <f>G125+G115+G106+G91+G77+G64+G53+G45+G36+G22</f>
        <v>0</v>
      </c>
      <c r="H126" s="158"/>
      <c r="I126" s="543">
        <f>I125+I115+I106+I91+I77+I64+I45+I53+I36+I22</f>
        <v>0</v>
      </c>
      <c r="J126" s="106">
        <f t="shared" si="170"/>
        <v>0</v>
      </c>
      <c r="K126" s="106"/>
      <c r="L126" s="540"/>
      <c r="M126" s="293"/>
      <c r="N126" s="293"/>
      <c r="O126" s="32"/>
      <c r="P126" s="32"/>
      <c r="Q126" s="32"/>
    </row>
    <row r="127" ht="9.0" customHeight="1">
      <c r="A127" s="558"/>
      <c r="B127" s="559"/>
      <c r="C127" s="559"/>
      <c r="D127" s="560"/>
      <c r="E127" s="560"/>
      <c r="F127" s="561"/>
      <c r="G127" s="562"/>
      <c r="H127" s="563"/>
      <c r="I127" s="564"/>
      <c r="J127" s="563"/>
      <c r="K127" s="563"/>
      <c r="L127" s="565"/>
      <c r="M127" s="563"/>
      <c r="N127" s="563"/>
      <c r="O127" s="563"/>
      <c r="P127" s="32"/>
      <c r="Q127" s="32"/>
    </row>
    <row r="128" ht="15.75" customHeight="1">
      <c r="A128" s="537" t="s">
        <v>936</v>
      </c>
      <c r="B128" s="293"/>
      <c r="C128" s="293"/>
      <c r="D128" s="525"/>
      <c r="E128" s="525"/>
      <c r="F128" s="159"/>
      <c r="G128" s="566"/>
      <c r="I128" s="566"/>
      <c r="K128" s="286"/>
      <c r="L128" s="540"/>
      <c r="M128" s="293"/>
      <c r="N128" s="293"/>
      <c r="O128" s="32"/>
      <c r="P128" s="32"/>
      <c r="Q128" s="32"/>
    </row>
    <row r="129" ht="15.75" customHeight="1">
      <c r="A129" s="32" t="s">
        <v>937</v>
      </c>
      <c r="B129" s="293" t="str">
        <f t="shared" ref="B129:D129" si="171">#REF!</f>
        <v>#REF!</v>
      </c>
      <c r="C129" s="293" t="str">
        <f t="shared" si="171"/>
        <v>#REF!</v>
      </c>
      <c r="D129" s="525" t="str">
        <f t="shared" si="171"/>
        <v>#REF!</v>
      </c>
      <c r="E129" s="293"/>
      <c r="F129" s="159" t="str">
        <f t="shared" ref="F129:F132" si="173">#REF!</f>
        <v>#REF!</v>
      </c>
      <c r="G129" s="106"/>
      <c r="H129" s="158" t="str">
        <f t="shared" ref="H129:H132" si="174">G129/$G$133</f>
        <v>#DIV/0!</v>
      </c>
      <c r="I129" s="543"/>
      <c r="J129" s="158" t="str">
        <f t="shared" ref="J129:J132" si="175">I129/$I$133</f>
        <v>#DIV/0!</v>
      </c>
      <c r="K129" s="158"/>
      <c r="L129" s="540"/>
      <c r="M129" s="293" t="str">
        <f t="shared" ref="M129:M132" si="176">(G129+I129)*B129</f>
        <v>#REF!</v>
      </c>
      <c r="N129" s="293" t="str">
        <f t="shared" ref="N129:N132" si="177">M129-L129</f>
        <v>#REF!</v>
      </c>
      <c r="O129" s="32"/>
      <c r="P129" s="32"/>
      <c r="Q129" s="32"/>
    </row>
    <row r="130" ht="15.75" customHeight="1">
      <c r="A130" s="32" t="s">
        <v>944</v>
      </c>
      <c r="B130" s="293" t="str">
        <f t="shared" ref="B130:D130" si="172">#REF!</f>
        <v>#REF!</v>
      </c>
      <c r="C130" s="293" t="str">
        <f t="shared" si="172"/>
        <v>#REF!</v>
      </c>
      <c r="D130" s="525" t="str">
        <f t="shared" si="172"/>
        <v>#REF!</v>
      </c>
      <c r="E130" s="293"/>
      <c r="F130" s="159" t="str">
        <f t="shared" si="173"/>
        <v>#REF!</v>
      </c>
      <c r="G130" s="106"/>
      <c r="H130" s="158" t="str">
        <f t="shared" si="174"/>
        <v>#DIV/0!</v>
      </c>
      <c r="I130" s="543"/>
      <c r="J130" s="158" t="str">
        <f t="shared" si="175"/>
        <v>#DIV/0!</v>
      </c>
      <c r="K130" s="158"/>
      <c r="L130" s="540" t="str">
        <f t="shared" ref="L130:L132" si="179">(G130+I130)*C130</f>
        <v>#REF!</v>
      </c>
      <c r="M130" s="293" t="str">
        <f t="shared" si="176"/>
        <v>#REF!</v>
      </c>
      <c r="N130" s="293" t="str">
        <f t="shared" si="177"/>
        <v>#REF!</v>
      </c>
      <c r="O130" s="32"/>
      <c r="P130" s="32"/>
      <c r="Q130" s="32"/>
    </row>
    <row r="131" ht="15.75" customHeight="1">
      <c r="A131" s="32" t="s">
        <v>945</v>
      </c>
      <c r="B131" s="293" t="str">
        <f t="shared" ref="B131:D131" si="178">#REF!</f>
        <v>#REF!</v>
      </c>
      <c r="C131" s="293" t="str">
        <f t="shared" si="178"/>
        <v>#REF!</v>
      </c>
      <c r="D131" s="525" t="str">
        <f t="shared" si="178"/>
        <v>#REF!</v>
      </c>
      <c r="E131" s="293"/>
      <c r="F131" s="159" t="str">
        <f t="shared" si="173"/>
        <v>#REF!</v>
      </c>
      <c r="G131" s="106"/>
      <c r="H131" s="158" t="str">
        <f t="shared" si="174"/>
        <v>#DIV/0!</v>
      </c>
      <c r="I131" s="543"/>
      <c r="J131" s="158" t="str">
        <f t="shared" si="175"/>
        <v>#DIV/0!</v>
      </c>
      <c r="K131" s="158"/>
      <c r="L131" s="540" t="str">
        <f t="shared" si="179"/>
        <v>#REF!</v>
      </c>
      <c r="M131" s="293" t="str">
        <f t="shared" si="176"/>
        <v>#REF!</v>
      </c>
      <c r="N131" s="293" t="str">
        <f t="shared" si="177"/>
        <v>#REF!</v>
      </c>
      <c r="O131" s="32"/>
      <c r="P131" s="32"/>
      <c r="Q131" s="32"/>
    </row>
    <row r="132" ht="15.75" customHeight="1">
      <c r="A132" s="32" t="s">
        <v>947</v>
      </c>
      <c r="B132" s="293" t="str">
        <f t="shared" ref="B132:D132" si="180">#REF!</f>
        <v>#REF!</v>
      </c>
      <c r="C132" s="293" t="str">
        <f t="shared" si="180"/>
        <v>#REF!</v>
      </c>
      <c r="D132" s="525" t="str">
        <f t="shared" si="180"/>
        <v>#REF!</v>
      </c>
      <c r="E132" s="293"/>
      <c r="F132" s="159" t="str">
        <f t="shared" si="173"/>
        <v>#REF!</v>
      </c>
      <c r="G132" s="548"/>
      <c r="H132" s="158" t="str">
        <f t="shared" si="174"/>
        <v>#DIV/0!</v>
      </c>
      <c r="I132" s="548"/>
      <c r="J132" s="158" t="str">
        <f t="shared" si="175"/>
        <v>#DIV/0!</v>
      </c>
      <c r="K132" s="158"/>
      <c r="L132" s="540" t="str">
        <f t="shared" si="179"/>
        <v>#REF!</v>
      </c>
      <c r="M132" s="293" t="str">
        <f t="shared" si="176"/>
        <v>#REF!</v>
      </c>
      <c r="N132" s="293" t="str">
        <f t="shared" si="177"/>
        <v>#REF!</v>
      </c>
      <c r="O132" s="32"/>
      <c r="P132" s="32"/>
      <c r="Q132" s="32"/>
    </row>
    <row r="133" ht="15.75" customHeight="1">
      <c r="A133" s="32"/>
      <c r="B133" s="293"/>
      <c r="C133" s="293"/>
      <c r="D133" s="525"/>
      <c r="E133" s="525"/>
      <c r="F133" s="159"/>
      <c r="G133" s="106">
        <f>SUM(G129:G132)</f>
        <v>0</v>
      </c>
      <c r="H133" s="158"/>
      <c r="I133" s="543">
        <f>SUM(I129:I132)</f>
        <v>0</v>
      </c>
      <c r="J133" s="158"/>
      <c r="K133" s="158"/>
      <c r="L133" s="540"/>
      <c r="M133" s="32"/>
      <c r="N133" s="293"/>
      <c r="O133" s="32"/>
      <c r="P133" s="32"/>
      <c r="Q133" s="32"/>
    </row>
    <row r="134" ht="15.75" customHeight="1">
      <c r="A134" s="32"/>
      <c r="B134" s="293"/>
      <c r="C134" s="293"/>
      <c r="D134" s="525"/>
      <c r="E134" s="525"/>
      <c r="F134" s="155"/>
      <c r="G134" s="106"/>
      <c r="H134" s="158"/>
      <c r="I134" s="32"/>
      <c r="J134" s="32"/>
      <c r="K134" s="32"/>
      <c r="L134" s="293"/>
      <c r="M134" s="32"/>
      <c r="N134" s="32"/>
      <c r="O134" s="32"/>
      <c r="P134" s="32"/>
      <c r="Q134" s="32"/>
    </row>
    <row r="135" ht="15.75" customHeight="1">
      <c r="A135" s="32"/>
      <c r="B135" s="293"/>
      <c r="C135" s="293"/>
      <c r="D135" s="525"/>
      <c r="E135" s="525"/>
      <c r="F135" s="155"/>
      <c r="G135" s="106"/>
      <c r="H135" s="158"/>
      <c r="I135" s="32"/>
      <c r="J135" s="32"/>
      <c r="K135" s="32"/>
      <c r="L135" s="293"/>
      <c r="M135" s="32"/>
      <c r="N135" s="32"/>
      <c r="O135" s="32"/>
      <c r="P135" s="32"/>
      <c r="Q135" s="32"/>
    </row>
    <row r="136" ht="9.0" customHeight="1">
      <c r="A136" s="558"/>
      <c r="B136" s="559"/>
      <c r="C136" s="559"/>
      <c r="D136" s="560"/>
      <c r="E136" s="560"/>
      <c r="F136" s="560"/>
      <c r="G136" s="560"/>
      <c r="H136" s="560"/>
      <c r="I136" s="560"/>
      <c r="J136" s="560"/>
      <c r="K136" s="560"/>
      <c r="L136" s="560"/>
      <c r="M136" s="563"/>
      <c r="N136" s="563"/>
      <c r="O136" s="563"/>
      <c r="P136" s="32"/>
      <c r="Q136" s="32"/>
    </row>
    <row r="137" ht="15.75" customHeight="1">
      <c r="A137" s="32"/>
      <c r="B137" s="567" t="s">
        <v>1531</v>
      </c>
      <c r="C137" s="567" t="s">
        <v>1532</v>
      </c>
      <c r="D137" s="568" t="s">
        <v>1533</v>
      </c>
      <c r="E137" s="568" t="s">
        <v>975</v>
      </c>
      <c r="F137" s="569" t="s">
        <v>1534</v>
      </c>
      <c r="G137" s="570" t="s">
        <v>1533</v>
      </c>
      <c r="H137" s="158"/>
      <c r="I137" s="32"/>
      <c r="J137" s="32"/>
      <c r="K137" s="32"/>
      <c r="L137" s="293"/>
      <c r="M137" s="32"/>
      <c r="N137" s="32"/>
      <c r="O137" s="32"/>
      <c r="P137" s="32"/>
      <c r="Q137" s="32"/>
    </row>
    <row r="138" ht="15.75" customHeight="1">
      <c r="A138" s="32" t="s">
        <v>703</v>
      </c>
      <c r="B138" s="293"/>
      <c r="C138" s="293"/>
      <c r="D138" s="525"/>
      <c r="E138" s="525"/>
      <c r="F138" s="155"/>
      <c r="G138" s="106"/>
      <c r="H138" s="158"/>
      <c r="I138" s="32"/>
      <c r="J138" s="32"/>
      <c r="K138" s="32"/>
      <c r="L138" s="293"/>
      <c r="M138" s="32"/>
      <c r="N138" s="32"/>
      <c r="O138" s="32"/>
      <c r="P138" s="32"/>
      <c r="Q138" s="32"/>
    </row>
    <row r="139" ht="15.75" customHeight="1">
      <c r="A139" s="32" t="s">
        <v>1271</v>
      </c>
      <c r="B139" s="293"/>
      <c r="C139" s="293"/>
      <c r="D139" s="525"/>
      <c r="E139" s="525"/>
      <c r="F139" s="155"/>
      <c r="G139" s="106"/>
      <c r="H139" s="158"/>
      <c r="I139" s="32"/>
      <c r="J139" s="32"/>
      <c r="K139" s="32"/>
      <c r="L139" s="293"/>
      <c r="M139" s="32"/>
      <c r="N139" s="32"/>
      <c r="O139" s="32"/>
      <c r="P139" s="32"/>
      <c r="Q139" s="32"/>
    </row>
    <row r="140" ht="15.75" customHeight="1">
      <c r="A140" s="32" t="s">
        <v>1037</v>
      </c>
      <c r="B140" s="293"/>
      <c r="C140" s="293"/>
      <c r="D140" s="525"/>
      <c r="E140" s="525"/>
      <c r="F140" s="155"/>
      <c r="G140" s="106"/>
      <c r="H140" s="158"/>
      <c r="I140" s="32"/>
      <c r="J140" s="32"/>
      <c r="K140" s="32"/>
      <c r="L140" s="293"/>
      <c r="M140" s="32"/>
      <c r="N140" s="32"/>
      <c r="O140" s="32"/>
      <c r="P140" s="32"/>
      <c r="Q140" s="32"/>
    </row>
    <row r="141" ht="15.75" customHeight="1">
      <c r="A141" s="32" t="s">
        <v>1280</v>
      </c>
      <c r="B141" s="293"/>
      <c r="C141" s="293"/>
      <c r="D141" s="525"/>
      <c r="E141" s="525"/>
      <c r="F141" s="155"/>
      <c r="G141" s="106"/>
      <c r="H141" s="158"/>
      <c r="I141" s="32"/>
      <c r="J141" s="32"/>
      <c r="K141" s="32"/>
      <c r="L141" s="293"/>
      <c r="M141" s="32"/>
      <c r="N141" s="32"/>
      <c r="O141" s="32"/>
      <c r="P141" s="32"/>
      <c r="Q141" s="32"/>
    </row>
    <row r="142" ht="15.75" customHeight="1">
      <c r="A142" s="32" t="s">
        <v>1535</v>
      </c>
      <c r="B142" s="293"/>
      <c r="C142" s="293"/>
      <c r="D142" s="525"/>
      <c r="E142" s="525"/>
      <c r="F142" s="155"/>
      <c r="G142" s="106"/>
      <c r="H142" s="158"/>
      <c r="I142" s="32"/>
      <c r="J142" s="32"/>
      <c r="K142" s="32"/>
      <c r="L142" s="293"/>
      <c r="M142" s="32"/>
      <c r="N142" s="32"/>
      <c r="O142" s="32"/>
      <c r="P142" s="32"/>
      <c r="Q142" s="32"/>
    </row>
    <row r="143" ht="15.75" customHeight="1">
      <c r="A143" s="32" t="s">
        <v>604</v>
      </c>
      <c r="B143" s="293"/>
      <c r="C143" s="293"/>
      <c r="D143" s="525"/>
      <c r="E143" s="525"/>
      <c r="F143" s="155"/>
      <c r="G143" s="106"/>
      <c r="H143" s="158"/>
      <c r="I143" s="32"/>
      <c r="J143" s="32"/>
      <c r="K143" s="32"/>
      <c r="L143" s="293"/>
      <c r="M143" s="32"/>
      <c r="N143" s="32"/>
      <c r="O143" s="32"/>
      <c r="P143" s="32"/>
      <c r="Q143" s="32"/>
    </row>
    <row r="144" ht="15.75" customHeight="1">
      <c r="A144" s="32" t="s">
        <v>33</v>
      </c>
      <c r="B144" s="293"/>
      <c r="C144" s="293"/>
      <c r="D144" s="525"/>
      <c r="E144" s="525"/>
      <c r="F144" s="155"/>
      <c r="G144" s="106"/>
      <c r="H144" s="158"/>
      <c r="I144" s="32"/>
      <c r="J144" s="32"/>
      <c r="K144" s="32"/>
      <c r="L144" s="293"/>
      <c r="M144" s="32"/>
      <c r="N144" s="32"/>
      <c r="O144" s="32"/>
      <c r="P144" s="32"/>
      <c r="Q144" s="32"/>
    </row>
    <row r="145" ht="15.75" customHeight="1">
      <c r="A145" s="32" t="s">
        <v>850</v>
      </c>
      <c r="B145" s="293"/>
      <c r="C145" s="293"/>
      <c r="D145" s="525"/>
      <c r="E145" s="525"/>
      <c r="F145" s="155"/>
      <c r="G145" s="106"/>
      <c r="H145" s="158"/>
      <c r="I145" s="32"/>
      <c r="J145" s="32"/>
      <c r="K145" s="32"/>
      <c r="L145" s="293"/>
      <c r="M145" s="32"/>
      <c r="N145" s="32"/>
      <c r="O145" s="32"/>
      <c r="P145" s="32"/>
      <c r="Q145" s="32"/>
    </row>
    <row r="146" ht="15.75" customHeight="1">
      <c r="A146" s="32" t="s">
        <v>1537</v>
      </c>
      <c r="B146" s="293"/>
      <c r="C146" s="293"/>
      <c r="D146" s="525"/>
      <c r="E146" s="525"/>
      <c r="F146" s="155"/>
      <c r="G146" s="106"/>
      <c r="H146" s="158"/>
      <c r="I146" s="32"/>
      <c r="J146" s="32"/>
      <c r="K146" s="32"/>
      <c r="L146" s="293"/>
      <c r="M146" s="32"/>
      <c r="N146" s="32"/>
      <c r="O146" s="32"/>
      <c r="P146" s="32"/>
      <c r="Q146" s="32"/>
    </row>
    <row r="147" ht="15.75" customHeight="1">
      <c r="A147" s="32" t="s">
        <v>1538</v>
      </c>
      <c r="B147" s="293"/>
      <c r="C147" s="293"/>
      <c r="D147" s="525"/>
      <c r="E147" s="525"/>
      <c r="F147" s="155"/>
      <c r="G147" s="106"/>
      <c r="H147" s="158"/>
      <c r="I147" s="32"/>
      <c r="J147" s="32"/>
      <c r="K147" s="32"/>
      <c r="L147" s="293"/>
      <c r="M147" s="32"/>
      <c r="N147" s="32"/>
      <c r="O147" s="32"/>
      <c r="P147" s="32"/>
      <c r="Q147" s="32"/>
    </row>
    <row r="148" ht="15.75" customHeight="1">
      <c r="A148" s="32" t="s">
        <v>1416</v>
      </c>
      <c r="B148" s="293"/>
      <c r="C148" s="293"/>
      <c r="D148" s="525"/>
      <c r="E148" s="525"/>
      <c r="F148" s="155"/>
      <c r="G148" s="106"/>
      <c r="H148" s="158"/>
      <c r="I148" s="32"/>
      <c r="J148" s="32"/>
      <c r="K148" s="32"/>
      <c r="L148" s="293"/>
      <c r="M148" s="32"/>
      <c r="N148" s="32"/>
      <c r="O148" s="32"/>
      <c r="P148" s="32"/>
      <c r="Q148" s="32"/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C1:D1"/>
    <mergeCell ref="C2:D2"/>
    <mergeCell ref="G2:H2"/>
    <mergeCell ref="I2:J2"/>
    <mergeCell ref="G4:H4"/>
    <mergeCell ref="I4:J4"/>
    <mergeCell ref="I24:J24"/>
    <mergeCell ref="G24:H24"/>
    <mergeCell ref="G38:H38"/>
    <mergeCell ref="I38:J38"/>
    <mergeCell ref="G47:H47"/>
    <mergeCell ref="I47:J47"/>
    <mergeCell ref="G55:H55"/>
    <mergeCell ref="I55:J55"/>
    <mergeCell ref="G108:H108"/>
    <mergeCell ref="G117:H117"/>
    <mergeCell ref="I117:J117"/>
    <mergeCell ref="G128:H128"/>
    <mergeCell ref="I128:J128"/>
    <mergeCell ref="G66:H66"/>
    <mergeCell ref="I66:J66"/>
    <mergeCell ref="G79:H79"/>
    <mergeCell ref="I79:J79"/>
    <mergeCell ref="G93:H93"/>
    <mergeCell ref="I93:J93"/>
    <mergeCell ref="I108:J108"/>
  </mergeCells>
  <conditionalFormatting sqref="O1:O126 O128:O135 O137:O148">
    <cfRule type="cellIs" dxfId="6" priority="1" operator="equal">
      <formula>"High"</formula>
    </cfRule>
  </conditionalFormatting>
  <conditionalFormatting sqref="Q3">
    <cfRule type="cellIs" dxfId="6" priority="2" operator="equal">
      <formula>"High"</formula>
    </cfRule>
  </conditionalFormatting>
  <conditionalFormatting sqref="Q5:Q26">
    <cfRule type="cellIs" dxfId="7" priority="3" operator="equal">
      <formula>"High"</formula>
    </cfRule>
  </conditionalFormatting>
  <printOptions/>
  <pageMargins bottom="0.75" footer="0.0" header="0.0" left="0.7" right="0.7" top="0.75"/>
  <pageSetup fitToHeight="0" orientation="landscape"/>
  <drawing r:id="rId1"/>
</worksheet>
</file>